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ohn\Documents\GitHub\QMacGs\10_ToMONGOLICA\04_Admixture\"/>
    </mc:Choice>
  </mc:AlternateContent>
  <xr:revisionPtr revIDLastSave="0" documentId="13_ncr:1_{C943C12D-BE4A-4D6A-AC64-9E8B7A497101}" xr6:coauthVersionLast="47" xr6:coauthVersionMax="47" xr10:uidLastSave="{00000000-0000-0000-0000-000000000000}"/>
  <bookViews>
    <workbookView xWindow="-17388" yWindow="-108" windowWidth="17496" windowHeight="10296" activeTab="2" xr2:uid="{32AA43B3-A3CE-4A68-A4D2-BFFE67F1B8D7}"/>
  </bookViews>
  <sheets>
    <sheet name="Sheet1" sheetId="1" r:id="rId1"/>
    <sheet name="Sheet2" sheetId="2" r:id="rId2"/>
    <sheet name="ForMarlene" sheetId="5" r:id="rId3"/>
    <sheet name="Sheet4" sheetId="4" r:id="rId4"/>
    <sheet name="Sheet3" sheetId="3" r:id="rId5"/>
  </sheets>
  <definedNames>
    <definedName name="_xlnm._FilterDatabase" localSheetId="0" hidden="1">Sheet1!$A$1:$AY$694</definedName>
    <definedName name="_xlnm._FilterDatabase" localSheetId="1" hidden="1">Sheet2!$A$1:$BC$694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" i="2" l="1"/>
  <c r="L10" i="2"/>
  <c r="L12" i="2"/>
  <c r="L13" i="2"/>
  <c r="L20" i="2"/>
  <c r="L22" i="2"/>
  <c r="L24" i="2"/>
  <c r="L25" i="2"/>
  <c r="L32" i="2"/>
  <c r="L34" i="2"/>
  <c r="L36" i="2"/>
  <c r="L37" i="2"/>
  <c r="L44" i="2"/>
  <c r="L46" i="2"/>
  <c r="L48" i="2"/>
  <c r="L49" i="2"/>
  <c r="L56" i="2"/>
  <c r="L58" i="2"/>
  <c r="L60" i="2"/>
  <c r="L61" i="2"/>
  <c r="L68" i="2"/>
  <c r="L70" i="2"/>
  <c r="L72" i="2"/>
  <c r="L73" i="2"/>
  <c r="L80" i="2"/>
  <c r="L82" i="2"/>
  <c r="L84" i="2"/>
  <c r="L85" i="2"/>
  <c r="L92" i="2"/>
  <c r="L94" i="2"/>
  <c r="L96" i="2"/>
  <c r="L97" i="2"/>
  <c r="L104" i="2"/>
  <c r="L106" i="2"/>
  <c r="L108" i="2"/>
  <c r="L109" i="2"/>
  <c r="L116" i="2"/>
  <c r="L118" i="2"/>
  <c r="L120" i="2"/>
  <c r="L121" i="2"/>
  <c r="L128" i="2"/>
  <c r="L130" i="2"/>
  <c r="L132" i="2"/>
  <c r="L133" i="2"/>
  <c r="L140" i="2"/>
  <c r="L142" i="2"/>
  <c r="L144" i="2"/>
  <c r="L145" i="2"/>
  <c r="L152" i="2"/>
  <c r="L154" i="2"/>
  <c r="L156" i="2"/>
  <c r="L157" i="2"/>
  <c r="L164" i="2"/>
  <c r="L166" i="2"/>
  <c r="L168" i="2"/>
  <c r="L169" i="2"/>
  <c r="L176" i="2"/>
  <c r="L178" i="2"/>
  <c r="L180" i="2"/>
  <c r="L181" i="2"/>
  <c r="L188" i="2"/>
  <c r="L190" i="2"/>
  <c r="L192" i="2"/>
  <c r="L193" i="2"/>
  <c r="L200" i="2"/>
  <c r="L202" i="2"/>
  <c r="L204" i="2"/>
  <c r="L205" i="2"/>
  <c r="L212" i="2"/>
  <c r="L214" i="2"/>
  <c r="L216" i="2"/>
  <c r="L217" i="2"/>
  <c r="L224" i="2"/>
  <c r="L226" i="2"/>
  <c r="L228" i="2"/>
  <c r="L229" i="2"/>
  <c r="L236" i="2"/>
  <c r="L238" i="2"/>
  <c r="L240" i="2"/>
  <c r="L241" i="2"/>
  <c r="L248" i="2"/>
  <c r="L250" i="2"/>
  <c r="L252" i="2"/>
  <c r="L253" i="2"/>
  <c r="L260" i="2"/>
  <c r="L262" i="2"/>
  <c r="L264" i="2"/>
  <c r="L265" i="2"/>
  <c r="L272" i="2"/>
  <c r="L274" i="2"/>
  <c r="L276" i="2"/>
  <c r="L277" i="2"/>
  <c r="L284" i="2"/>
  <c r="L286" i="2"/>
  <c r="L288" i="2"/>
  <c r="L289" i="2"/>
  <c r="L296" i="2"/>
  <c r="L298" i="2"/>
  <c r="L300" i="2"/>
  <c r="L301" i="2"/>
  <c r="L308" i="2"/>
  <c r="L310" i="2"/>
  <c r="L312" i="2"/>
  <c r="L313" i="2"/>
  <c r="L320" i="2"/>
  <c r="L322" i="2"/>
  <c r="L324" i="2"/>
  <c r="L325" i="2"/>
  <c r="L332" i="2"/>
  <c r="L334" i="2"/>
  <c r="L336" i="2"/>
  <c r="L337" i="2"/>
  <c r="L344" i="2"/>
  <c r="L346" i="2"/>
  <c r="L348" i="2"/>
  <c r="L349" i="2"/>
  <c r="L358" i="2"/>
  <c r="L360" i="2"/>
  <c r="L361" i="2"/>
  <c r="L370" i="2"/>
  <c r="L372" i="2"/>
  <c r="L373" i="2"/>
  <c r="L382" i="2"/>
  <c r="L384" i="2"/>
  <c r="L385" i="2"/>
  <c r="L394" i="2"/>
  <c r="L396" i="2"/>
  <c r="L397" i="2"/>
  <c r="L406" i="2"/>
  <c r="L408" i="2"/>
  <c r="L409" i="2"/>
  <c r="L418" i="2"/>
  <c r="L420" i="2"/>
  <c r="L421" i="2"/>
  <c r="L430" i="2"/>
  <c r="L432" i="2"/>
  <c r="L433" i="2"/>
  <c r="L442" i="2"/>
  <c r="L444" i="2"/>
  <c r="L445" i="2"/>
  <c r="L454" i="2"/>
  <c r="L456" i="2"/>
  <c r="L457" i="2"/>
  <c r="L466" i="2"/>
  <c r="L468" i="2"/>
  <c r="L469" i="2"/>
  <c r="L478" i="2"/>
  <c r="L480" i="2"/>
  <c r="L481" i="2"/>
  <c r="L490" i="2"/>
  <c r="L492" i="2"/>
  <c r="L493" i="2"/>
  <c r="L502" i="2"/>
  <c r="L504" i="2"/>
  <c r="L505" i="2"/>
  <c r="L514" i="2"/>
  <c r="L516" i="2"/>
  <c r="L517" i="2"/>
  <c r="L526" i="2"/>
  <c r="L528" i="2"/>
  <c r="L529" i="2"/>
  <c r="L538" i="2"/>
  <c r="L540" i="2"/>
  <c r="L541" i="2"/>
  <c r="L550" i="2"/>
  <c r="L552" i="2"/>
  <c r="L553" i="2"/>
  <c r="L562" i="2"/>
  <c r="L564" i="2"/>
  <c r="L565" i="2"/>
  <c r="L574" i="2"/>
  <c r="L576" i="2"/>
  <c r="L577" i="2"/>
  <c r="L586" i="2"/>
  <c r="L588" i="2"/>
  <c r="L589" i="2"/>
  <c r="L600" i="2"/>
  <c r="L601" i="2"/>
  <c r="L612" i="2"/>
  <c r="L613" i="2"/>
  <c r="L624" i="2"/>
  <c r="L625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K3" i="2"/>
  <c r="L3" i="2" s="1"/>
  <c r="K4" i="2"/>
  <c r="L4" i="2" s="1"/>
  <c r="K5" i="2"/>
  <c r="L5" i="2" s="1"/>
  <c r="K6" i="2"/>
  <c r="L6" i="2" s="1"/>
  <c r="K7" i="2"/>
  <c r="L7" i="2" s="1"/>
  <c r="K8" i="2"/>
  <c r="K9" i="2"/>
  <c r="L9" i="2" s="1"/>
  <c r="K10" i="2"/>
  <c r="K11" i="2"/>
  <c r="L11" i="2" s="1"/>
  <c r="K12" i="2"/>
  <c r="K13" i="2"/>
  <c r="K14" i="2"/>
  <c r="L14" i="2" s="1"/>
  <c r="K15" i="2"/>
  <c r="L15" i="2" s="1"/>
  <c r="K16" i="2"/>
  <c r="L16" i="2" s="1"/>
  <c r="K17" i="2"/>
  <c r="L17" i="2" s="1"/>
  <c r="K18" i="2"/>
  <c r="L18" i="2" s="1"/>
  <c r="K19" i="2"/>
  <c r="L19" i="2" s="1"/>
  <c r="K20" i="2"/>
  <c r="K21" i="2"/>
  <c r="L21" i="2" s="1"/>
  <c r="K22" i="2"/>
  <c r="K23" i="2"/>
  <c r="L23" i="2" s="1"/>
  <c r="K24" i="2"/>
  <c r="K25" i="2"/>
  <c r="K26" i="2"/>
  <c r="L26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K33" i="2"/>
  <c r="L33" i="2" s="1"/>
  <c r="K34" i="2"/>
  <c r="K35" i="2"/>
  <c r="L35" i="2" s="1"/>
  <c r="K36" i="2"/>
  <c r="K37" i="2"/>
  <c r="K38" i="2"/>
  <c r="L38" i="2" s="1"/>
  <c r="K39" i="2"/>
  <c r="L39" i="2" s="1"/>
  <c r="K40" i="2"/>
  <c r="L40" i="2" s="1"/>
  <c r="K41" i="2"/>
  <c r="L41" i="2" s="1"/>
  <c r="K42" i="2"/>
  <c r="L42" i="2" s="1"/>
  <c r="K43" i="2"/>
  <c r="L43" i="2" s="1"/>
  <c r="K44" i="2"/>
  <c r="K45" i="2"/>
  <c r="L45" i="2" s="1"/>
  <c r="K46" i="2"/>
  <c r="K47" i="2"/>
  <c r="L47" i="2" s="1"/>
  <c r="K48" i="2"/>
  <c r="K49" i="2"/>
  <c r="K50" i="2"/>
  <c r="L50" i="2" s="1"/>
  <c r="K51" i="2"/>
  <c r="L51" i="2" s="1"/>
  <c r="K52" i="2"/>
  <c r="L52" i="2" s="1"/>
  <c r="K53" i="2"/>
  <c r="L53" i="2" s="1"/>
  <c r="K54" i="2"/>
  <c r="L54" i="2" s="1"/>
  <c r="K55" i="2"/>
  <c r="L55" i="2" s="1"/>
  <c r="K56" i="2"/>
  <c r="K57" i="2"/>
  <c r="L57" i="2" s="1"/>
  <c r="K58" i="2"/>
  <c r="K59" i="2"/>
  <c r="L59" i="2" s="1"/>
  <c r="K60" i="2"/>
  <c r="K61" i="2"/>
  <c r="K62" i="2"/>
  <c r="L62" i="2" s="1"/>
  <c r="K63" i="2"/>
  <c r="L63" i="2" s="1"/>
  <c r="K64" i="2"/>
  <c r="L64" i="2" s="1"/>
  <c r="K65" i="2"/>
  <c r="L65" i="2" s="1"/>
  <c r="K66" i="2"/>
  <c r="L66" i="2" s="1"/>
  <c r="K67" i="2"/>
  <c r="L67" i="2" s="1"/>
  <c r="K68" i="2"/>
  <c r="K69" i="2"/>
  <c r="L69" i="2" s="1"/>
  <c r="K70" i="2"/>
  <c r="K71" i="2"/>
  <c r="L71" i="2" s="1"/>
  <c r="K72" i="2"/>
  <c r="K73" i="2"/>
  <c r="K74" i="2"/>
  <c r="L74" i="2" s="1"/>
  <c r="K75" i="2"/>
  <c r="L75" i="2" s="1"/>
  <c r="K76" i="2"/>
  <c r="L76" i="2" s="1"/>
  <c r="K77" i="2"/>
  <c r="L77" i="2" s="1"/>
  <c r="K78" i="2"/>
  <c r="L78" i="2" s="1"/>
  <c r="K79" i="2"/>
  <c r="L79" i="2" s="1"/>
  <c r="K80" i="2"/>
  <c r="K81" i="2"/>
  <c r="L81" i="2" s="1"/>
  <c r="K82" i="2"/>
  <c r="K83" i="2"/>
  <c r="L83" i="2" s="1"/>
  <c r="K84" i="2"/>
  <c r="K85" i="2"/>
  <c r="K86" i="2"/>
  <c r="L86" i="2" s="1"/>
  <c r="K87" i="2"/>
  <c r="L87" i="2" s="1"/>
  <c r="K88" i="2"/>
  <c r="L88" i="2" s="1"/>
  <c r="K89" i="2"/>
  <c r="L89" i="2" s="1"/>
  <c r="K90" i="2"/>
  <c r="L90" i="2" s="1"/>
  <c r="K91" i="2"/>
  <c r="L91" i="2" s="1"/>
  <c r="K92" i="2"/>
  <c r="K93" i="2"/>
  <c r="L93" i="2" s="1"/>
  <c r="K94" i="2"/>
  <c r="K95" i="2"/>
  <c r="L95" i="2" s="1"/>
  <c r="K96" i="2"/>
  <c r="K97" i="2"/>
  <c r="K98" i="2"/>
  <c r="L98" i="2" s="1"/>
  <c r="K99" i="2"/>
  <c r="L99" i="2" s="1"/>
  <c r="K100" i="2"/>
  <c r="L100" i="2" s="1"/>
  <c r="K101" i="2"/>
  <c r="L101" i="2" s="1"/>
  <c r="K102" i="2"/>
  <c r="L102" i="2" s="1"/>
  <c r="K103" i="2"/>
  <c r="L103" i="2" s="1"/>
  <c r="K104" i="2"/>
  <c r="K105" i="2"/>
  <c r="L105" i="2" s="1"/>
  <c r="K106" i="2"/>
  <c r="K107" i="2"/>
  <c r="L107" i="2" s="1"/>
  <c r="K108" i="2"/>
  <c r="K109" i="2"/>
  <c r="K110" i="2"/>
  <c r="L110" i="2" s="1"/>
  <c r="K111" i="2"/>
  <c r="L111" i="2" s="1"/>
  <c r="K112" i="2"/>
  <c r="L112" i="2" s="1"/>
  <c r="K113" i="2"/>
  <c r="L113" i="2" s="1"/>
  <c r="K114" i="2"/>
  <c r="L114" i="2" s="1"/>
  <c r="K115" i="2"/>
  <c r="L115" i="2" s="1"/>
  <c r="K116" i="2"/>
  <c r="K117" i="2"/>
  <c r="L117" i="2" s="1"/>
  <c r="K118" i="2"/>
  <c r="K119" i="2"/>
  <c r="L119" i="2" s="1"/>
  <c r="K120" i="2"/>
  <c r="K121" i="2"/>
  <c r="K122" i="2"/>
  <c r="L122" i="2" s="1"/>
  <c r="K123" i="2"/>
  <c r="L123" i="2" s="1"/>
  <c r="K124" i="2"/>
  <c r="L124" i="2" s="1"/>
  <c r="K125" i="2"/>
  <c r="L125" i="2" s="1"/>
  <c r="K126" i="2"/>
  <c r="L126" i="2" s="1"/>
  <c r="K127" i="2"/>
  <c r="L127" i="2" s="1"/>
  <c r="K128" i="2"/>
  <c r="K129" i="2"/>
  <c r="L129" i="2" s="1"/>
  <c r="K130" i="2"/>
  <c r="K131" i="2"/>
  <c r="L131" i="2" s="1"/>
  <c r="K132" i="2"/>
  <c r="K133" i="2"/>
  <c r="K134" i="2"/>
  <c r="L134" i="2" s="1"/>
  <c r="K135" i="2"/>
  <c r="L135" i="2" s="1"/>
  <c r="K136" i="2"/>
  <c r="L136" i="2" s="1"/>
  <c r="K137" i="2"/>
  <c r="L137" i="2" s="1"/>
  <c r="K138" i="2"/>
  <c r="L138" i="2" s="1"/>
  <c r="K139" i="2"/>
  <c r="L139" i="2" s="1"/>
  <c r="K140" i="2"/>
  <c r="K141" i="2"/>
  <c r="L141" i="2" s="1"/>
  <c r="K142" i="2"/>
  <c r="K143" i="2"/>
  <c r="L143" i="2" s="1"/>
  <c r="K144" i="2"/>
  <c r="K145" i="2"/>
  <c r="K146" i="2"/>
  <c r="L146" i="2" s="1"/>
  <c r="K147" i="2"/>
  <c r="L147" i="2" s="1"/>
  <c r="K148" i="2"/>
  <c r="L148" i="2" s="1"/>
  <c r="K149" i="2"/>
  <c r="L149" i="2" s="1"/>
  <c r="K150" i="2"/>
  <c r="L150" i="2" s="1"/>
  <c r="K151" i="2"/>
  <c r="L151" i="2" s="1"/>
  <c r="K152" i="2"/>
  <c r="K153" i="2"/>
  <c r="L153" i="2" s="1"/>
  <c r="K154" i="2"/>
  <c r="K155" i="2"/>
  <c r="L155" i="2" s="1"/>
  <c r="K156" i="2"/>
  <c r="K157" i="2"/>
  <c r="K158" i="2"/>
  <c r="L158" i="2" s="1"/>
  <c r="K159" i="2"/>
  <c r="L159" i="2" s="1"/>
  <c r="K160" i="2"/>
  <c r="L160" i="2" s="1"/>
  <c r="K161" i="2"/>
  <c r="L161" i="2" s="1"/>
  <c r="K162" i="2"/>
  <c r="L162" i="2" s="1"/>
  <c r="K163" i="2"/>
  <c r="L163" i="2" s="1"/>
  <c r="K164" i="2"/>
  <c r="K165" i="2"/>
  <c r="L165" i="2" s="1"/>
  <c r="K166" i="2"/>
  <c r="K167" i="2"/>
  <c r="L167" i="2" s="1"/>
  <c r="K168" i="2"/>
  <c r="K169" i="2"/>
  <c r="K170" i="2"/>
  <c r="L170" i="2" s="1"/>
  <c r="K171" i="2"/>
  <c r="L171" i="2" s="1"/>
  <c r="K172" i="2"/>
  <c r="L172" i="2" s="1"/>
  <c r="K173" i="2"/>
  <c r="L173" i="2" s="1"/>
  <c r="K174" i="2"/>
  <c r="L174" i="2" s="1"/>
  <c r="K175" i="2"/>
  <c r="L175" i="2" s="1"/>
  <c r="K176" i="2"/>
  <c r="K177" i="2"/>
  <c r="L177" i="2" s="1"/>
  <c r="K178" i="2"/>
  <c r="K179" i="2"/>
  <c r="L179" i="2" s="1"/>
  <c r="K180" i="2"/>
  <c r="K181" i="2"/>
  <c r="K182" i="2"/>
  <c r="L182" i="2" s="1"/>
  <c r="K183" i="2"/>
  <c r="L183" i="2" s="1"/>
  <c r="K184" i="2"/>
  <c r="L184" i="2" s="1"/>
  <c r="K185" i="2"/>
  <c r="L185" i="2" s="1"/>
  <c r="K186" i="2"/>
  <c r="L186" i="2" s="1"/>
  <c r="K187" i="2"/>
  <c r="L187" i="2" s="1"/>
  <c r="K188" i="2"/>
  <c r="K189" i="2"/>
  <c r="L189" i="2" s="1"/>
  <c r="K190" i="2"/>
  <c r="K191" i="2"/>
  <c r="L191" i="2" s="1"/>
  <c r="K192" i="2"/>
  <c r="K193" i="2"/>
  <c r="K194" i="2"/>
  <c r="L194" i="2" s="1"/>
  <c r="K195" i="2"/>
  <c r="L195" i="2" s="1"/>
  <c r="K196" i="2"/>
  <c r="L196" i="2" s="1"/>
  <c r="K197" i="2"/>
  <c r="L197" i="2" s="1"/>
  <c r="K198" i="2"/>
  <c r="L198" i="2" s="1"/>
  <c r="K199" i="2"/>
  <c r="L199" i="2" s="1"/>
  <c r="K200" i="2"/>
  <c r="K201" i="2"/>
  <c r="L201" i="2" s="1"/>
  <c r="K202" i="2"/>
  <c r="K203" i="2"/>
  <c r="L203" i="2" s="1"/>
  <c r="K204" i="2"/>
  <c r="K205" i="2"/>
  <c r="K206" i="2"/>
  <c r="L206" i="2" s="1"/>
  <c r="K207" i="2"/>
  <c r="L207" i="2" s="1"/>
  <c r="K208" i="2"/>
  <c r="L208" i="2" s="1"/>
  <c r="K209" i="2"/>
  <c r="L209" i="2" s="1"/>
  <c r="K210" i="2"/>
  <c r="L210" i="2" s="1"/>
  <c r="K211" i="2"/>
  <c r="L211" i="2" s="1"/>
  <c r="K212" i="2"/>
  <c r="K213" i="2"/>
  <c r="L213" i="2" s="1"/>
  <c r="K214" i="2"/>
  <c r="K215" i="2"/>
  <c r="L215" i="2" s="1"/>
  <c r="K216" i="2"/>
  <c r="K217" i="2"/>
  <c r="K218" i="2"/>
  <c r="L218" i="2" s="1"/>
  <c r="K219" i="2"/>
  <c r="L219" i="2" s="1"/>
  <c r="K220" i="2"/>
  <c r="L220" i="2" s="1"/>
  <c r="K221" i="2"/>
  <c r="L221" i="2" s="1"/>
  <c r="K222" i="2"/>
  <c r="L222" i="2" s="1"/>
  <c r="K223" i="2"/>
  <c r="L223" i="2" s="1"/>
  <c r="K224" i="2"/>
  <c r="K225" i="2"/>
  <c r="L225" i="2" s="1"/>
  <c r="K226" i="2"/>
  <c r="K227" i="2"/>
  <c r="L227" i="2" s="1"/>
  <c r="K228" i="2"/>
  <c r="K229" i="2"/>
  <c r="K230" i="2"/>
  <c r="L230" i="2" s="1"/>
  <c r="K231" i="2"/>
  <c r="L231" i="2" s="1"/>
  <c r="K232" i="2"/>
  <c r="L232" i="2" s="1"/>
  <c r="K233" i="2"/>
  <c r="L233" i="2" s="1"/>
  <c r="K234" i="2"/>
  <c r="L234" i="2" s="1"/>
  <c r="K235" i="2"/>
  <c r="L235" i="2" s="1"/>
  <c r="K236" i="2"/>
  <c r="K237" i="2"/>
  <c r="L237" i="2" s="1"/>
  <c r="K238" i="2"/>
  <c r="K239" i="2"/>
  <c r="L239" i="2" s="1"/>
  <c r="K240" i="2"/>
  <c r="K241" i="2"/>
  <c r="K242" i="2"/>
  <c r="L242" i="2" s="1"/>
  <c r="K243" i="2"/>
  <c r="L243" i="2" s="1"/>
  <c r="K244" i="2"/>
  <c r="L244" i="2" s="1"/>
  <c r="K245" i="2"/>
  <c r="L245" i="2" s="1"/>
  <c r="K246" i="2"/>
  <c r="L246" i="2" s="1"/>
  <c r="K247" i="2"/>
  <c r="L247" i="2" s="1"/>
  <c r="K248" i="2"/>
  <c r="K249" i="2"/>
  <c r="L249" i="2" s="1"/>
  <c r="K250" i="2"/>
  <c r="K251" i="2"/>
  <c r="L251" i="2" s="1"/>
  <c r="K252" i="2"/>
  <c r="K253" i="2"/>
  <c r="K254" i="2"/>
  <c r="L254" i="2" s="1"/>
  <c r="K255" i="2"/>
  <c r="L255" i="2" s="1"/>
  <c r="K256" i="2"/>
  <c r="L256" i="2" s="1"/>
  <c r="K257" i="2"/>
  <c r="L257" i="2" s="1"/>
  <c r="K258" i="2"/>
  <c r="L258" i="2" s="1"/>
  <c r="K259" i="2"/>
  <c r="L259" i="2" s="1"/>
  <c r="K260" i="2"/>
  <c r="K261" i="2"/>
  <c r="L261" i="2" s="1"/>
  <c r="K262" i="2"/>
  <c r="K263" i="2"/>
  <c r="L263" i="2" s="1"/>
  <c r="K264" i="2"/>
  <c r="K265" i="2"/>
  <c r="K266" i="2"/>
  <c r="L266" i="2" s="1"/>
  <c r="K267" i="2"/>
  <c r="L267" i="2" s="1"/>
  <c r="K268" i="2"/>
  <c r="L268" i="2" s="1"/>
  <c r="K269" i="2"/>
  <c r="L269" i="2" s="1"/>
  <c r="K270" i="2"/>
  <c r="L270" i="2" s="1"/>
  <c r="K271" i="2"/>
  <c r="L271" i="2" s="1"/>
  <c r="K272" i="2"/>
  <c r="K273" i="2"/>
  <c r="L273" i="2" s="1"/>
  <c r="K274" i="2"/>
  <c r="K275" i="2"/>
  <c r="L275" i="2" s="1"/>
  <c r="K276" i="2"/>
  <c r="K277" i="2"/>
  <c r="K278" i="2"/>
  <c r="L278" i="2" s="1"/>
  <c r="K279" i="2"/>
  <c r="L279" i="2" s="1"/>
  <c r="K280" i="2"/>
  <c r="L280" i="2" s="1"/>
  <c r="K281" i="2"/>
  <c r="L281" i="2" s="1"/>
  <c r="K282" i="2"/>
  <c r="L282" i="2" s="1"/>
  <c r="K283" i="2"/>
  <c r="L283" i="2" s="1"/>
  <c r="K284" i="2"/>
  <c r="K285" i="2"/>
  <c r="L285" i="2" s="1"/>
  <c r="K286" i="2"/>
  <c r="K287" i="2"/>
  <c r="L287" i="2" s="1"/>
  <c r="K288" i="2"/>
  <c r="K289" i="2"/>
  <c r="K290" i="2"/>
  <c r="L290" i="2" s="1"/>
  <c r="K291" i="2"/>
  <c r="L291" i="2" s="1"/>
  <c r="K292" i="2"/>
  <c r="L292" i="2" s="1"/>
  <c r="K293" i="2"/>
  <c r="L293" i="2" s="1"/>
  <c r="K294" i="2"/>
  <c r="L294" i="2" s="1"/>
  <c r="K295" i="2"/>
  <c r="L295" i="2" s="1"/>
  <c r="K296" i="2"/>
  <c r="K297" i="2"/>
  <c r="L297" i="2" s="1"/>
  <c r="K298" i="2"/>
  <c r="K299" i="2"/>
  <c r="L299" i="2" s="1"/>
  <c r="K300" i="2"/>
  <c r="K301" i="2"/>
  <c r="K302" i="2"/>
  <c r="L302" i="2" s="1"/>
  <c r="K303" i="2"/>
  <c r="L303" i="2" s="1"/>
  <c r="K304" i="2"/>
  <c r="L304" i="2" s="1"/>
  <c r="K305" i="2"/>
  <c r="L305" i="2" s="1"/>
  <c r="K306" i="2"/>
  <c r="L306" i="2" s="1"/>
  <c r="K307" i="2"/>
  <c r="L307" i="2" s="1"/>
  <c r="K308" i="2"/>
  <c r="K309" i="2"/>
  <c r="L309" i="2" s="1"/>
  <c r="K310" i="2"/>
  <c r="K311" i="2"/>
  <c r="L311" i="2" s="1"/>
  <c r="K312" i="2"/>
  <c r="K313" i="2"/>
  <c r="K314" i="2"/>
  <c r="L314" i="2" s="1"/>
  <c r="K315" i="2"/>
  <c r="L315" i="2" s="1"/>
  <c r="K316" i="2"/>
  <c r="L316" i="2" s="1"/>
  <c r="K317" i="2"/>
  <c r="L317" i="2" s="1"/>
  <c r="K318" i="2"/>
  <c r="L318" i="2" s="1"/>
  <c r="K319" i="2"/>
  <c r="L319" i="2" s="1"/>
  <c r="K320" i="2"/>
  <c r="K321" i="2"/>
  <c r="L321" i="2" s="1"/>
  <c r="K322" i="2"/>
  <c r="K323" i="2"/>
  <c r="L323" i="2" s="1"/>
  <c r="K324" i="2"/>
  <c r="K325" i="2"/>
  <c r="K326" i="2"/>
  <c r="L326" i="2" s="1"/>
  <c r="K327" i="2"/>
  <c r="L327" i="2" s="1"/>
  <c r="K328" i="2"/>
  <c r="L328" i="2" s="1"/>
  <c r="K329" i="2"/>
  <c r="L329" i="2" s="1"/>
  <c r="K330" i="2"/>
  <c r="L330" i="2" s="1"/>
  <c r="K331" i="2"/>
  <c r="L331" i="2" s="1"/>
  <c r="K332" i="2"/>
  <c r="K333" i="2"/>
  <c r="L333" i="2" s="1"/>
  <c r="K334" i="2"/>
  <c r="K335" i="2"/>
  <c r="L335" i="2" s="1"/>
  <c r="K336" i="2"/>
  <c r="K337" i="2"/>
  <c r="K338" i="2"/>
  <c r="L338" i="2" s="1"/>
  <c r="K339" i="2"/>
  <c r="L339" i="2" s="1"/>
  <c r="K340" i="2"/>
  <c r="L340" i="2" s="1"/>
  <c r="K341" i="2"/>
  <c r="L341" i="2" s="1"/>
  <c r="K342" i="2"/>
  <c r="L342" i="2" s="1"/>
  <c r="K343" i="2"/>
  <c r="L343" i="2" s="1"/>
  <c r="K344" i="2"/>
  <c r="K345" i="2"/>
  <c r="L345" i="2" s="1"/>
  <c r="K346" i="2"/>
  <c r="K347" i="2"/>
  <c r="L347" i="2" s="1"/>
  <c r="K348" i="2"/>
  <c r="K349" i="2"/>
  <c r="K350" i="2"/>
  <c r="L350" i="2" s="1"/>
  <c r="K351" i="2"/>
  <c r="L351" i="2" s="1"/>
  <c r="K352" i="2"/>
  <c r="L352" i="2" s="1"/>
  <c r="K353" i="2"/>
  <c r="L353" i="2" s="1"/>
  <c r="K354" i="2"/>
  <c r="L354" i="2" s="1"/>
  <c r="K355" i="2"/>
  <c r="L355" i="2" s="1"/>
  <c r="K356" i="2"/>
  <c r="L356" i="2" s="1"/>
  <c r="K357" i="2"/>
  <c r="L357" i="2" s="1"/>
  <c r="K358" i="2"/>
  <c r="K359" i="2"/>
  <c r="L359" i="2" s="1"/>
  <c r="K360" i="2"/>
  <c r="K361" i="2"/>
  <c r="K362" i="2"/>
  <c r="L362" i="2" s="1"/>
  <c r="K363" i="2"/>
  <c r="L363" i="2" s="1"/>
  <c r="K364" i="2"/>
  <c r="L364" i="2" s="1"/>
  <c r="K365" i="2"/>
  <c r="L365" i="2" s="1"/>
  <c r="K366" i="2"/>
  <c r="L366" i="2" s="1"/>
  <c r="K367" i="2"/>
  <c r="L367" i="2" s="1"/>
  <c r="K368" i="2"/>
  <c r="L368" i="2" s="1"/>
  <c r="K369" i="2"/>
  <c r="L369" i="2" s="1"/>
  <c r="K370" i="2"/>
  <c r="K371" i="2"/>
  <c r="L371" i="2" s="1"/>
  <c r="K372" i="2"/>
  <c r="K373" i="2"/>
  <c r="K374" i="2"/>
  <c r="L374" i="2" s="1"/>
  <c r="K375" i="2"/>
  <c r="L375" i="2" s="1"/>
  <c r="K376" i="2"/>
  <c r="L376" i="2" s="1"/>
  <c r="K377" i="2"/>
  <c r="L377" i="2" s="1"/>
  <c r="K378" i="2"/>
  <c r="L378" i="2" s="1"/>
  <c r="K379" i="2"/>
  <c r="L379" i="2" s="1"/>
  <c r="K380" i="2"/>
  <c r="L380" i="2" s="1"/>
  <c r="K381" i="2"/>
  <c r="L381" i="2" s="1"/>
  <c r="K382" i="2"/>
  <c r="K383" i="2"/>
  <c r="L383" i="2" s="1"/>
  <c r="K384" i="2"/>
  <c r="K385" i="2"/>
  <c r="K386" i="2"/>
  <c r="L386" i="2" s="1"/>
  <c r="K387" i="2"/>
  <c r="L387" i="2" s="1"/>
  <c r="K388" i="2"/>
  <c r="L388" i="2" s="1"/>
  <c r="K389" i="2"/>
  <c r="L389" i="2" s="1"/>
  <c r="K390" i="2"/>
  <c r="L390" i="2" s="1"/>
  <c r="K391" i="2"/>
  <c r="L391" i="2" s="1"/>
  <c r="K392" i="2"/>
  <c r="L392" i="2" s="1"/>
  <c r="K393" i="2"/>
  <c r="L393" i="2" s="1"/>
  <c r="K394" i="2"/>
  <c r="K395" i="2"/>
  <c r="L395" i="2" s="1"/>
  <c r="K396" i="2"/>
  <c r="K397" i="2"/>
  <c r="K398" i="2"/>
  <c r="L398" i="2" s="1"/>
  <c r="K399" i="2"/>
  <c r="L399" i="2" s="1"/>
  <c r="K400" i="2"/>
  <c r="L400" i="2" s="1"/>
  <c r="K401" i="2"/>
  <c r="L401" i="2" s="1"/>
  <c r="K402" i="2"/>
  <c r="L402" i="2" s="1"/>
  <c r="K403" i="2"/>
  <c r="L403" i="2" s="1"/>
  <c r="K404" i="2"/>
  <c r="L404" i="2" s="1"/>
  <c r="K405" i="2"/>
  <c r="L405" i="2" s="1"/>
  <c r="K406" i="2"/>
  <c r="K407" i="2"/>
  <c r="L407" i="2" s="1"/>
  <c r="K408" i="2"/>
  <c r="K409" i="2"/>
  <c r="K410" i="2"/>
  <c r="L410" i="2" s="1"/>
  <c r="K411" i="2"/>
  <c r="L411" i="2" s="1"/>
  <c r="K412" i="2"/>
  <c r="L412" i="2" s="1"/>
  <c r="K413" i="2"/>
  <c r="L413" i="2" s="1"/>
  <c r="K414" i="2"/>
  <c r="L414" i="2" s="1"/>
  <c r="K415" i="2"/>
  <c r="L415" i="2" s="1"/>
  <c r="K416" i="2"/>
  <c r="L416" i="2" s="1"/>
  <c r="K417" i="2"/>
  <c r="L417" i="2" s="1"/>
  <c r="K418" i="2"/>
  <c r="K419" i="2"/>
  <c r="L419" i="2" s="1"/>
  <c r="K420" i="2"/>
  <c r="K421" i="2"/>
  <c r="K422" i="2"/>
  <c r="L422" i="2" s="1"/>
  <c r="K423" i="2"/>
  <c r="L423" i="2" s="1"/>
  <c r="K424" i="2"/>
  <c r="L424" i="2" s="1"/>
  <c r="K425" i="2"/>
  <c r="L425" i="2" s="1"/>
  <c r="K426" i="2"/>
  <c r="L426" i="2" s="1"/>
  <c r="K427" i="2"/>
  <c r="L427" i="2" s="1"/>
  <c r="K428" i="2"/>
  <c r="L428" i="2" s="1"/>
  <c r="K429" i="2"/>
  <c r="L429" i="2" s="1"/>
  <c r="K430" i="2"/>
  <c r="K431" i="2"/>
  <c r="L431" i="2" s="1"/>
  <c r="K432" i="2"/>
  <c r="K433" i="2"/>
  <c r="K434" i="2"/>
  <c r="L434" i="2" s="1"/>
  <c r="K435" i="2"/>
  <c r="L435" i="2" s="1"/>
  <c r="K436" i="2"/>
  <c r="L436" i="2" s="1"/>
  <c r="K437" i="2"/>
  <c r="L437" i="2" s="1"/>
  <c r="K438" i="2"/>
  <c r="L438" i="2" s="1"/>
  <c r="K439" i="2"/>
  <c r="L439" i="2" s="1"/>
  <c r="K440" i="2"/>
  <c r="L440" i="2" s="1"/>
  <c r="K441" i="2"/>
  <c r="L441" i="2" s="1"/>
  <c r="K442" i="2"/>
  <c r="K443" i="2"/>
  <c r="L443" i="2" s="1"/>
  <c r="K444" i="2"/>
  <c r="K445" i="2"/>
  <c r="K446" i="2"/>
  <c r="L446" i="2" s="1"/>
  <c r="K447" i="2"/>
  <c r="L447" i="2" s="1"/>
  <c r="K448" i="2"/>
  <c r="L448" i="2" s="1"/>
  <c r="K449" i="2"/>
  <c r="L449" i="2" s="1"/>
  <c r="K450" i="2"/>
  <c r="L450" i="2" s="1"/>
  <c r="K451" i="2"/>
  <c r="L451" i="2" s="1"/>
  <c r="K452" i="2"/>
  <c r="L452" i="2" s="1"/>
  <c r="K453" i="2"/>
  <c r="L453" i="2" s="1"/>
  <c r="K454" i="2"/>
  <c r="K455" i="2"/>
  <c r="L455" i="2" s="1"/>
  <c r="K456" i="2"/>
  <c r="K457" i="2"/>
  <c r="K458" i="2"/>
  <c r="L458" i="2" s="1"/>
  <c r="K459" i="2"/>
  <c r="L459" i="2" s="1"/>
  <c r="K460" i="2"/>
  <c r="L460" i="2" s="1"/>
  <c r="K461" i="2"/>
  <c r="L461" i="2" s="1"/>
  <c r="K462" i="2"/>
  <c r="L462" i="2" s="1"/>
  <c r="K463" i="2"/>
  <c r="L463" i="2" s="1"/>
  <c r="K464" i="2"/>
  <c r="L464" i="2" s="1"/>
  <c r="K465" i="2"/>
  <c r="L465" i="2" s="1"/>
  <c r="K466" i="2"/>
  <c r="K467" i="2"/>
  <c r="L467" i="2" s="1"/>
  <c r="K468" i="2"/>
  <c r="K469" i="2"/>
  <c r="K470" i="2"/>
  <c r="L470" i="2" s="1"/>
  <c r="K471" i="2"/>
  <c r="L471" i="2" s="1"/>
  <c r="K472" i="2"/>
  <c r="L472" i="2" s="1"/>
  <c r="K473" i="2"/>
  <c r="L473" i="2" s="1"/>
  <c r="K474" i="2"/>
  <c r="L474" i="2" s="1"/>
  <c r="K475" i="2"/>
  <c r="L475" i="2" s="1"/>
  <c r="K476" i="2"/>
  <c r="L476" i="2" s="1"/>
  <c r="K477" i="2"/>
  <c r="L477" i="2" s="1"/>
  <c r="K478" i="2"/>
  <c r="K479" i="2"/>
  <c r="L479" i="2" s="1"/>
  <c r="K480" i="2"/>
  <c r="K481" i="2"/>
  <c r="K482" i="2"/>
  <c r="L482" i="2" s="1"/>
  <c r="K483" i="2"/>
  <c r="L483" i="2" s="1"/>
  <c r="K484" i="2"/>
  <c r="L484" i="2" s="1"/>
  <c r="K485" i="2"/>
  <c r="L485" i="2" s="1"/>
  <c r="K486" i="2"/>
  <c r="L486" i="2" s="1"/>
  <c r="K487" i="2"/>
  <c r="L487" i="2" s="1"/>
  <c r="K488" i="2"/>
  <c r="L488" i="2" s="1"/>
  <c r="K489" i="2"/>
  <c r="L489" i="2" s="1"/>
  <c r="K490" i="2"/>
  <c r="K491" i="2"/>
  <c r="L491" i="2" s="1"/>
  <c r="K492" i="2"/>
  <c r="K493" i="2"/>
  <c r="K494" i="2"/>
  <c r="L494" i="2" s="1"/>
  <c r="K495" i="2"/>
  <c r="L495" i="2" s="1"/>
  <c r="K496" i="2"/>
  <c r="L496" i="2" s="1"/>
  <c r="K497" i="2"/>
  <c r="L497" i="2" s="1"/>
  <c r="K498" i="2"/>
  <c r="L498" i="2" s="1"/>
  <c r="K499" i="2"/>
  <c r="L499" i="2" s="1"/>
  <c r="K500" i="2"/>
  <c r="L500" i="2" s="1"/>
  <c r="K501" i="2"/>
  <c r="L501" i="2" s="1"/>
  <c r="K502" i="2"/>
  <c r="K503" i="2"/>
  <c r="L503" i="2" s="1"/>
  <c r="K504" i="2"/>
  <c r="K505" i="2"/>
  <c r="K506" i="2"/>
  <c r="L506" i="2" s="1"/>
  <c r="K507" i="2"/>
  <c r="L507" i="2" s="1"/>
  <c r="K508" i="2"/>
  <c r="L508" i="2" s="1"/>
  <c r="K509" i="2"/>
  <c r="L509" i="2" s="1"/>
  <c r="K510" i="2"/>
  <c r="L510" i="2" s="1"/>
  <c r="K511" i="2"/>
  <c r="L511" i="2" s="1"/>
  <c r="K512" i="2"/>
  <c r="L512" i="2" s="1"/>
  <c r="K513" i="2"/>
  <c r="L513" i="2" s="1"/>
  <c r="K514" i="2"/>
  <c r="K515" i="2"/>
  <c r="L515" i="2" s="1"/>
  <c r="K516" i="2"/>
  <c r="K517" i="2"/>
  <c r="K518" i="2"/>
  <c r="L518" i="2" s="1"/>
  <c r="K519" i="2"/>
  <c r="L519" i="2" s="1"/>
  <c r="K520" i="2"/>
  <c r="L520" i="2" s="1"/>
  <c r="K521" i="2"/>
  <c r="L521" i="2" s="1"/>
  <c r="K522" i="2"/>
  <c r="L522" i="2" s="1"/>
  <c r="K523" i="2"/>
  <c r="L523" i="2" s="1"/>
  <c r="K524" i="2"/>
  <c r="L524" i="2" s="1"/>
  <c r="K525" i="2"/>
  <c r="L525" i="2" s="1"/>
  <c r="K526" i="2"/>
  <c r="K527" i="2"/>
  <c r="L527" i="2" s="1"/>
  <c r="K528" i="2"/>
  <c r="K529" i="2"/>
  <c r="K530" i="2"/>
  <c r="L530" i="2" s="1"/>
  <c r="K531" i="2"/>
  <c r="L531" i="2" s="1"/>
  <c r="K532" i="2"/>
  <c r="L532" i="2" s="1"/>
  <c r="K533" i="2"/>
  <c r="L533" i="2" s="1"/>
  <c r="K534" i="2"/>
  <c r="L534" i="2" s="1"/>
  <c r="K535" i="2"/>
  <c r="L535" i="2" s="1"/>
  <c r="K536" i="2"/>
  <c r="L536" i="2" s="1"/>
  <c r="K537" i="2"/>
  <c r="L537" i="2" s="1"/>
  <c r="K538" i="2"/>
  <c r="K539" i="2"/>
  <c r="L539" i="2" s="1"/>
  <c r="K540" i="2"/>
  <c r="K541" i="2"/>
  <c r="K542" i="2"/>
  <c r="L542" i="2" s="1"/>
  <c r="K543" i="2"/>
  <c r="L543" i="2" s="1"/>
  <c r="K544" i="2"/>
  <c r="L544" i="2" s="1"/>
  <c r="K545" i="2"/>
  <c r="L545" i="2" s="1"/>
  <c r="K546" i="2"/>
  <c r="L546" i="2" s="1"/>
  <c r="K547" i="2"/>
  <c r="L547" i="2" s="1"/>
  <c r="K548" i="2"/>
  <c r="L548" i="2" s="1"/>
  <c r="K549" i="2"/>
  <c r="L549" i="2" s="1"/>
  <c r="K550" i="2"/>
  <c r="K551" i="2"/>
  <c r="L551" i="2" s="1"/>
  <c r="K552" i="2"/>
  <c r="K553" i="2"/>
  <c r="K554" i="2"/>
  <c r="L554" i="2" s="1"/>
  <c r="K555" i="2"/>
  <c r="L555" i="2" s="1"/>
  <c r="K556" i="2"/>
  <c r="L556" i="2" s="1"/>
  <c r="K557" i="2"/>
  <c r="L557" i="2" s="1"/>
  <c r="K558" i="2"/>
  <c r="L558" i="2" s="1"/>
  <c r="K559" i="2"/>
  <c r="L559" i="2" s="1"/>
  <c r="K560" i="2"/>
  <c r="L560" i="2" s="1"/>
  <c r="K561" i="2"/>
  <c r="L561" i="2" s="1"/>
  <c r="K562" i="2"/>
  <c r="K563" i="2"/>
  <c r="L563" i="2" s="1"/>
  <c r="K564" i="2"/>
  <c r="K565" i="2"/>
  <c r="K566" i="2"/>
  <c r="L566" i="2" s="1"/>
  <c r="K567" i="2"/>
  <c r="L567" i="2" s="1"/>
  <c r="K568" i="2"/>
  <c r="L568" i="2" s="1"/>
  <c r="K569" i="2"/>
  <c r="L569" i="2" s="1"/>
  <c r="K570" i="2"/>
  <c r="L570" i="2" s="1"/>
  <c r="K571" i="2"/>
  <c r="L571" i="2" s="1"/>
  <c r="K572" i="2"/>
  <c r="L572" i="2" s="1"/>
  <c r="K573" i="2"/>
  <c r="L573" i="2" s="1"/>
  <c r="K574" i="2"/>
  <c r="K575" i="2"/>
  <c r="L575" i="2" s="1"/>
  <c r="K576" i="2"/>
  <c r="K577" i="2"/>
  <c r="K578" i="2"/>
  <c r="L578" i="2" s="1"/>
  <c r="K579" i="2"/>
  <c r="L579" i="2" s="1"/>
  <c r="K580" i="2"/>
  <c r="L580" i="2" s="1"/>
  <c r="K581" i="2"/>
  <c r="L581" i="2" s="1"/>
  <c r="K582" i="2"/>
  <c r="L582" i="2" s="1"/>
  <c r="K583" i="2"/>
  <c r="L583" i="2" s="1"/>
  <c r="K584" i="2"/>
  <c r="L584" i="2" s="1"/>
  <c r="K585" i="2"/>
  <c r="L585" i="2" s="1"/>
  <c r="K586" i="2"/>
  <c r="K587" i="2"/>
  <c r="L587" i="2" s="1"/>
  <c r="K588" i="2"/>
  <c r="K589" i="2"/>
  <c r="K590" i="2"/>
  <c r="L590" i="2" s="1"/>
  <c r="K591" i="2"/>
  <c r="L591" i="2" s="1"/>
  <c r="K592" i="2"/>
  <c r="L592" i="2" s="1"/>
  <c r="K593" i="2"/>
  <c r="L593" i="2" s="1"/>
  <c r="K594" i="2"/>
  <c r="L594" i="2" s="1"/>
  <c r="K595" i="2"/>
  <c r="L595" i="2" s="1"/>
  <c r="K596" i="2"/>
  <c r="L596" i="2" s="1"/>
  <c r="K597" i="2"/>
  <c r="L597" i="2" s="1"/>
  <c r="K598" i="2"/>
  <c r="L598" i="2" s="1"/>
  <c r="K599" i="2"/>
  <c r="L599" i="2" s="1"/>
  <c r="K600" i="2"/>
  <c r="K601" i="2"/>
  <c r="K602" i="2"/>
  <c r="L602" i="2" s="1"/>
  <c r="K603" i="2"/>
  <c r="L603" i="2" s="1"/>
  <c r="K604" i="2"/>
  <c r="L604" i="2" s="1"/>
  <c r="K605" i="2"/>
  <c r="L605" i="2" s="1"/>
  <c r="K606" i="2"/>
  <c r="L606" i="2" s="1"/>
  <c r="K607" i="2"/>
  <c r="L607" i="2" s="1"/>
  <c r="K608" i="2"/>
  <c r="L608" i="2" s="1"/>
  <c r="K609" i="2"/>
  <c r="L609" i="2" s="1"/>
  <c r="K610" i="2"/>
  <c r="L610" i="2" s="1"/>
  <c r="K611" i="2"/>
  <c r="L611" i="2" s="1"/>
  <c r="K612" i="2"/>
  <c r="K613" i="2"/>
  <c r="K614" i="2"/>
  <c r="L614" i="2" s="1"/>
  <c r="K615" i="2"/>
  <c r="L615" i="2" s="1"/>
  <c r="K616" i="2"/>
  <c r="L616" i="2" s="1"/>
  <c r="K617" i="2"/>
  <c r="L617" i="2" s="1"/>
  <c r="K618" i="2"/>
  <c r="L618" i="2" s="1"/>
  <c r="K619" i="2"/>
  <c r="L619" i="2" s="1"/>
  <c r="K620" i="2"/>
  <c r="L620" i="2" s="1"/>
  <c r="K621" i="2"/>
  <c r="L621" i="2" s="1"/>
  <c r="K622" i="2"/>
  <c r="L622" i="2" s="1"/>
  <c r="K623" i="2"/>
  <c r="L623" i="2" s="1"/>
  <c r="K624" i="2"/>
  <c r="K625" i="2"/>
  <c r="K626" i="2"/>
  <c r="L626" i="2" s="1"/>
  <c r="K627" i="2"/>
  <c r="L627" i="2" s="1"/>
  <c r="K628" i="2"/>
  <c r="L628" i="2" s="1"/>
  <c r="K629" i="2"/>
  <c r="L629" i="2" s="1"/>
  <c r="K2" i="2"/>
  <c r="L2" i="2" s="1"/>
  <c r="K631" i="2" l="1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</calcChain>
</file>

<file path=xl/sharedStrings.xml><?xml version="1.0" encoding="utf-8"?>
<sst xmlns="http://schemas.openxmlformats.org/spreadsheetml/2006/main" count="62660" uniqueCount="8190">
  <si>
    <t>INDEX</t>
  </si>
  <si>
    <t>SPMCODE</t>
  </si>
  <si>
    <t>ALTERNATE.PROJECTCODE</t>
  </si>
  <si>
    <t>Collector_no</t>
  </si>
  <si>
    <t>Alt_Coll_No</t>
  </si>
  <si>
    <t>TAXA-Current_determination</t>
  </si>
  <si>
    <t>Collection_date</t>
  </si>
  <si>
    <t>Collectors</t>
  </si>
  <si>
    <t>Type_of_material</t>
  </si>
  <si>
    <t>OWNER</t>
  </si>
  <si>
    <t>Country</t>
  </si>
  <si>
    <t>State_Province_Region_territory</t>
  </si>
  <si>
    <t>substate</t>
  </si>
  <si>
    <t>substateRank</t>
  </si>
  <si>
    <t>site</t>
  </si>
  <si>
    <t>Locality Notes</t>
  </si>
  <si>
    <t>habitat</t>
  </si>
  <si>
    <t>associates</t>
  </si>
  <si>
    <t>DBH-cm</t>
  </si>
  <si>
    <t>Height-m</t>
  </si>
  <si>
    <t>plantAttributesOther</t>
  </si>
  <si>
    <t>Determination_HIST_PIPED</t>
  </si>
  <si>
    <t>Determined_by</t>
  </si>
  <si>
    <t>Determined_date</t>
  </si>
  <si>
    <t>determination_reasoning_notes</t>
  </si>
  <si>
    <t>latitude.orig</t>
  </si>
  <si>
    <t>longitude.orig</t>
  </si>
  <si>
    <t>photos</t>
  </si>
  <si>
    <t>Collecting_Extracting_notes</t>
  </si>
  <si>
    <t>Project</t>
  </si>
  <si>
    <t>DNA</t>
  </si>
  <si>
    <t>MOR_Acc_Num</t>
  </si>
  <si>
    <t>Voucher_Notes</t>
  </si>
  <si>
    <t>MOR_BARCODE</t>
  </si>
  <si>
    <t>occurrenceID</t>
  </si>
  <si>
    <t>SEINet_references</t>
  </si>
  <si>
    <t>HYB-SEQ_BioProject</t>
  </si>
  <si>
    <t>WholeGenome_BioProject</t>
  </si>
  <si>
    <t>WholeGenome_SRA_Run</t>
  </si>
  <si>
    <t>WholeGenome_libraryID</t>
  </si>
  <si>
    <t>WholeGenomeFastqR1</t>
  </si>
  <si>
    <t>WholeGenomeFastqR2</t>
  </si>
  <si>
    <t>SRA_biosample_accession</t>
  </si>
  <si>
    <t>Lookup-SUBGENUS-by-CurrentTAXA</t>
  </si>
  <si>
    <t>LOOKUP-section-by-currentTAXA</t>
  </si>
  <si>
    <t>Lookup-CLADE0by-CurrentTAXA</t>
  </si>
  <si>
    <t>QUE001903</t>
  </si>
  <si>
    <t>OK-MG372</t>
  </si>
  <si>
    <t>NA</t>
  </si>
  <si>
    <t>Quercus macrocarpa</t>
  </si>
  <si>
    <t>Mira Garner, Sara Desmond, Abigail Moore</t>
  </si>
  <si>
    <t>fresh, frozen</t>
  </si>
  <si>
    <t>HIPP</t>
  </si>
  <si>
    <t>USA</t>
  </si>
  <si>
    <t>Oklahoma</t>
  </si>
  <si>
    <t>Cleveland</t>
  </si>
  <si>
    <t>County</t>
  </si>
  <si>
    <t>Oliver's Woods</t>
  </si>
  <si>
    <t>Norman, University of Oklahoma campus</t>
  </si>
  <si>
    <t>woody area on roadside</t>
  </si>
  <si>
    <t>Quercus macrocarpa Michx.</t>
  </si>
  <si>
    <t>1110 ft.</t>
  </si>
  <si>
    <t>Characterization of Native Oak Germplasm, Quercus macrocarpa and related white oaks. USDA SCA 58-8020-5-005</t>
  </si>
  <si>
    <t>MOR</t>
  </si>
  <si>
    <t>MOR&lt;USA-IL&gt;: Garner, OK-MG372</t>
  </si>
  <si>
    <t>0095528MOR</t>
  </si>
  <si>
    <t>1B0CB51B-B0EA-44CC-BE12-7F7083F75569</t>
  </si>
  <si>
    <t>https://swbiodiversity.org/seinet/collections/individual/index.php?occid=32894149</t>
  </si>
  <si>
    <t>PRJNA1200080</t>
  </si>
  <si>
    <t>SYST-MOR-0007409</t>
  </si>
  <si>
    <t>SYST-MOR-0007409_S135_1.fq.gz</t>
  </si>
  <si>
    <t>SYST-MOR-0007409_S135_2.fq.gz</t>
  </si>
  <si>
    <t>subg. Quercus</t>
  </si>
  <si>
    <t>Quercus</t>
  </si>
  <si>
    <t>Prinoideae</t>
  </si>
  <si>
    <t>QUE001904</t>
  </si>
  <si>
    <t>OK-MG373</t>
  </si>
  <si>
    <t>woods</t>
  </si>
  <si>
    <t>Quercus macrocarpa Michx.|Q. macrocarpa</t>
  </si>
  <si>
    <t>A.L. Hipp and G. Ribicoff</t>
  </si>
  <si>
    <t>1228 ft</t>
  </si>
  <si>
    <t>MOR&lt;USA-IL&gt;: Garner, OK-MG373</t>
  </si>
  <si>
    <t>0095529MOR</t>
  </si>
  <si>
    <t>8C5D8B44-9420-4170-AEA4-D39027A1CCFA</t>
  </si>
  <si>
    <t>https://swbiodiversity.org/seinet/collections/individual/index.php?occid=32901923</t>
  </si>
  <si>
    <t>PRJNA1223965</t>
  </si>
  <si>
    <t>SYST-MOR-0007410</t>
  </si>
  <si>
    <t>SYST-MOR-0007410_S136_1.fq.gz</t>
  </si>
  <si>
    <t>SYST-MOR-0007410_S136_2.fq.gz</t>
  </si>
  <si>
    <t>SAMN46848228</t>
  </si>
  <si>
    <t>QUE001905</t>
  </si>
  <si>
    <t>OK-MG374</t>
  </si>
  <si>
    <t>1133 ft</t>
  </si>
  <si>
    <t>MOR&lt;USA-IL&gt;: Garner, OK-MG374</t>
  </si>
  <si>
    <t>0095530MOR</t>
  </si>
  <si>
    <t>F3FEAF8D-071F-45E0-8F3A-68429C396CE5</t>
  </si>
  <si>
    <t>https://swbiodiversity.org/seinet/collections/individual/index.php?occid=32891891</t>
  </si>
  <si>
    <t>SYST-MOR-0007411</t>
  </si>
  <si>
    <t>SYST-MOR-0007411_S137_1.fq.gz</t>
  </si>
  <si>
    <t>SYST-MOR-0007411_S137_2.fq.gz</t>
  </si>
  <si>
    <t>QUE001906</t>
  </si>
  <si>
    <t>OK-MG375</t>
  </si>
  <si>
    <t>1105 ft</t>
  </si>
  <si>
    <t>MOR&lt;USA-IL&gt;: Garner, OK-MG375</t>
  </si>
  <si>
    <t>0095531MOR</t>
  </si>
  <si>
    <t>A5B0B55E-FE3B-4429-804D-028A19C55504</t>
  </si>
  <si>
    <t>https://swbiodiversity.org/seinet/collections/individual/index.php?occid=32903254</t>
  </si>
  <si>
    <t>SYST-MOR-0007412</t>
  </si>
  <si>
    <t>SYST-MOR-0007412_S138_1.fq.gz</t>
  </si>
  <si>
    <t>SYST-MOR-0007412_S138_2.fq.gz</t>
  </si>
  <si>
    <t>QUE001907</t>
  </si>
  <si>
    <t>OK-MG376</t>
  </si>
  <si>
    <t>1210 ft</t>
  </si>
  <si>
    <t>MOR&lt;USA-IL&gt;: Garner, OK-MG376</t>
  </si>
  <si>
    <t>0095532MOR</t>
  </si>
  <si>
    <t>E1BB2E7A-821A-476E-903A-5643984C9EB9</t>
  </si>
  <si>
    <t>https://swbiodiversity.org/seinet/collections/individual/index.php?occid=32891468</t>
  </si>
  <si>
    <t>SYST-MOR-0007413</t>
  </si>
  <si>
    <t>SYST-MOR-0007413_S139_1.fq.gz</t>
  </si>
  <si>
    <t>SYST-MOR-0007413_S139_2.fq.gz</t>
  </si>
  <si>
    <t>SAMN46848229</t>
  </si>
  <si>
    <t>QUE001908</t>
  </si>
  <si>
    <t>OK-MG377</t>
  </si>
  <si>
    <t>1107 ft</t>
  </si>
  <si>
    <t>MOR&lt;USA-IL&gt;: Garner, OK-MG377</t>
  </si>
  <si>
    <t>0095533MOR</t>
  </si>
  <si>
    <t>EB765CC1-B929-450E-9A3E-981E5741AF11</t>
  </si>
  <si>
    <t>https://swbiodiversity.org/seinet/collections/individual/index.php?occid=32892568</t>
  </si>
  <si>
    <t>SYST-MOR-0007414</t>
  </si>
  <si>
    <t>SYST-MOR-0007414_S140_1.fq.gz</t>
  </si>
  <si>
    <t>SYST-MOR-0007414_S140_2.fq.gz</t>
  </si>
  <si>
    <t>QUE001909</t>
  </si>
  <si>
    <t>OK-MG378</t>
  </si>
  <si>
    <t>1067 ft</t>
  </si>
  <si>
    <t>MOR&lt;USA-IL&gt;: Garner, OK-MG378</t>
  </si>
  <si>
    <t>0095534MOR</t>
  </si>
  <si>
    <t>B0738385-C50A-4FFB-9881-46D2836F4069</t>
  </si>
  <si>
    <t>https://swbiodiversity.org/seinet/collections/individual/index.php?occid=32903946</t>
  </si>
  <si>
    <t>SYST-MOR-0007415</t>
  </si>
  <si>
    <t>SYST-MOR-0007415_S141_1.fq.gz</t>
  </si>
  <si>
    <t>SYST-MOR-0007415_S141_2.fq.gz</t>
  </si>
  <si>
    <t>QUE001910</t>
  </si>
  <si>
    <t>OK-MG379</t>
  </si>
  <si>
    <t>1110 ft</t>
  </si>
  <si>
    <t>MOR&lt;USA-IL&gt;: Garner, OK-MG379</t>
  </si>
  <si>
    <t>0094442MOR</t>
  </si>
  <si>
    <t>1B05A235-2E83-4243-A675-EF3A9DBF616D</t>
  </si>
  <si>
    <t>https://swbiodiversity.org/seinet/collections/individual/index.php?occid=32894145</t>
  </si>
  <si>
    <t>SYST-MOR-0007416</t>
  </si>
  <si>
    <t>SYST-MOR-0007416_S142_1.fq.gz</t>
  </si>
  <si>
    <t>SYST-MOR-0007416_S142_2.fq.gz</t>
  </si>
  <si>
    <t>QUE001911</t>
  </si>
  <si>
    <t>OK-MG380</t>
  </si>
  <si>
    <t>1162 ft</t>
  </si>
  <si>
    <t>MOR&lt;USA-IL&gt;: Garner, OK-MG380</t>
  </si>
  <si>
    <t>0096836MOR</t>
  </si>
  <si>
    <t>2704FDD5-21A8-488B-9F3F-84FC04A58E3C</t>
  </si>
  <si>
    <t>https://swbiodiversity.org/seinet/collections/individual/index.php?occid=32895260</t>
  </si>
  <si>
    <t>SYST-MOR-0007417</t>
  </si>
  <si>
    <t>SYST-MOR-0007417_S143_1.fq.gz</t>
  </si>
  <si>
    <t>SYST-MOR-0007417_S143_2.fq.gz</t>
  </si>
  <si>
    <t>QUE001912</t>
  </si>
  <si>
    <t>OK-MG381</t>
  </si>
  <si>
    <t>1151 ft</t>
  </si>
  <si>
    <t>MOR&lt;USA-IL&gt;: Garner, OK-MG381</t>
  </si>
  <si>
    <t>0095535MOR</t>
  </si>
  <si>
    <t>76850C3C-06E5-4D7A-A759-BE75CAFAC371</t>
  </si>
  <si>
    <t>https://swbiodiversity.org/seinet/collections/individual/index.php?occid=32900700</t>
  </si>
  <si>
    <t>SYST-MOR-0007418</t>
  </si>
  <si>
    <t>SYST-MOR-0007418_S144_1.fq.gz</t>
  </si>
  <si>
    <t>SYST-MOR-0007418_S144_2.fq.gz</t>
  </si>
  <si>
    <t>SAMN46848230</t>
  </si>
  <si>
    <t>QUE001929</t>
  </si>
  <si>
    <t>MO-MG398</t>
  </si>
  <si>
    <t>Mira Garner, Sara Desmond</t>
  </si>
  <si>
    <t>Missouri</t>
  </si>
  <si>
    <t>Shannon</t>
  </si>
  <si>
    <t>Eminence, Buttin Rock Access</t>
  </si>
  <si>
    <t>near river</t>
  </si>
  <si>
    <t>Flood plain (rocky)</t>
  </si>
  <si>
    <t>Quercus macrocarpa Michx.|Quercus macrocarpa</t>
  </si>
  <si>
    <t>GPS: (34.79766, -92.31501) 320 ft. These coordinates match better previous site.</t>
  </si>
  <si>
    <t>MOR&lt;USA-IL&gt;: Garner, MO-MG398</t>
  </si>
  <si>
    <t>0094457MOR</t>
  </si>
  <si>
    <t>17D22E26-7B55-4529-825A-F405BA94EC0D</t>
  </si>
  <si>
    <t>https://swbiodiversity.org/seinet/collections/individual/index.php?occid=32894014</t>
  </si>
  <si>
    <t>SYST-MOR-0007419</t>
  </si>
  <si>
    <t>SYST-MOR-0007419_S145_1.fq.gz</t>
  </si>
  <si>
    <t>SYST-MOR-0007419_S145_2.fq.gz</t>
  </si>
  <si>
    <t>SAMN46848241</t>
  </si>
  <si>
    <t>QUE001931</t>
  </si>
  <si>
    <t>MO-MG400</t>
  </si>
  <si>
    <t>Quercus macrocarpa Michx. ?</t>
  </si>
  <si>
    <t>658 ft</t>
  </si>
  <si>
    <t>MOR&lt;USA-IL&gt;: Garner, MO-MG400</t>
  </si>
  <si>
    <t>0094459MOR</t>
  </si>
  <si>
    <t>A7AD188D-86CD-45CF-A20A-A3A701BBD4BC</t>
  </si>
  <si>
    <t>https://swbiodiversity.org/seinet/collections/individual/index.php?occid=32904249</t>
  </si>
  <si>
    <t>SYST-MOR-0007420</t>
  </si>
  <si>
    <t>SYST-MOR-0007420_S146_1.fq.gz</t>
  </si>
  <si>
    <t>SYST-MOR-0007420_S146_2.fq.gz</t>
  </si>
  <si>
    <t>QUE001933</t>
  </si>
  <si>
    <t>MO-MG402</t>
  </si>
  <si>
    <t>644 ft</t>
  </si>
  <si>
    <t>MOR&lt;USA-IL&gt;: Garner, MO-MG402</t>
  </si>
  <si>
    <t>0094460MOR</t>
  </si>
  <si>
    <t>BF9014CB-BC74-4F80-A06F-2BA13470897B</t>
  </si>
  <si>
    <t>https://swbiodiversity.org/seinet/collections/individual/index.php?occid=32889307</t>
  </si>
  <si>
    <t>SYST-MOR-0007421</t>
  </si>
  <si>
    <t>SYST-MOR-0007421_S147_1.fq.gz</t>
  </si>
  <si>
    <t>SYST-MOR-0007421_S147_2.fq.gz</t>
  </si>
  <si>
    <t>SAMN46848244</t>
  </si>
  <si>
    <t>QUE001934</t>
  </si>
  <si>
    <t>MO-MG403</t>
  </si>
  <si>
    <t>near trailer park</t>
  </si>
  <si>
    <t>588 ft</t>
  </si>
  <si>
    <t>MOR&lt;USA-IL&gt;: Garner, MO-MG403</t>
  </si>
  <si>
    <t>0097830MOR</t>
  </si>
  <si>
    <t>4C0FCE45-01F8-40FE-A26E-DFB5234990B1</t>
  </si>
  <si>
    <t>https://swbiodiversity.org/seinet/collections/individual/index.php?occid=32898224</t>
  </si>
  <si>
    <t>SYST-MOR-0007422</t>
  </si>
  <si>
    <t>SYST-MOR-0007422_S148_1.fq.gz</t>
  </si>
  <si>
    <t>SYST-MOR-0007422_S148_2.fq.gz</t>
  </si>
  <si>
    <t>QUE001935</t>
  </si>
  <si>
    <t>MO-MG404</t>
  </si>
  <si>
    <t>722 ft</t>
  </si>
  <si>
    <t>MOR&lt;USA-IL&gt;: Garner, MO-MG404</t>
  </si>
  <si>
    <t>0097823MOR</t>
  </si>
  <si>
    <t>E820B09F-737D-40F8-AE94-AC549B09DA65</t>
  </si>
  <si>
    <t>https://swbiodiversity.org/seinet/collections/individual/index.php?occid=32892837</t>
  </si>
  <si>
    <t>SYST-MOR-0007423</t>
  </si>
  <si>
    <t>SYST-MOR-0007423_S149_1.fq.gz</t>
  </si>
  <si>
    <t>SYST-MOR-0007423_S149_2.fq.gz</t>
  </si>
  <si>
    <t>QUE001936</t>
  </si>
  <si>
    <t>MO-MG405</t>
  </si>
  <si>
    <t>670 ft</t>
  </si>
  <si>
    <t>MOR&lt;USA-IL&gt;: Garner, MO-MG405</t>
  </si>
  <si>
    <t>0094461MOR</t>
  </si>
  <si>
    <t>7814F359-D097-4070-BD93-FC6A4422172C</t>
  </si>
  <si>
    <t>https://swbiodiversity.org/seinet/collections/individual/index.php?occid=32901107</t>
  </si>
  <si>
    <t>SYST-MOR-0007424</t>
  </si>
  <si>
    <t>SYST-MOR-0007424_S150_1.fq.gz</t>
  </si>
  <si>
    <t>SYST-MOR-0007424_S150_2.fq.gz</t>
  </si>
  <si>
    <t>SAMN46848245</t>
  </si>
  <si>
    <t>QUE001950</t>
  </si>
  <si>
    <t>MB-MG506</t>
  </si>
  <si>
    <t>Mira Garner, Sara Desmond, Bruce Ford</t>
  </si>
  <si>
    <t>Canada</t>
  </si>
  <si>
    <t>Manitoba</t>
  </si>
  <si>
    <t>Whiteshell Provincial Park</t>
  </si>
  <si>
    <t>granite hill top, graminoid dominated, scattered oaks</t>
  </si>
  <si>
    <t>1172 ft</t>
  </si>
  <si>
    <t>MOR&lt;USA-IL&gt;: Garner, MB-MG506</t>
  </si>
  <si>
    <t>0094465MOR</t>
  </si>
  <si>
    <t>9CB9FE3F-E5C2-4D9F-B384-B7F122593424</t>
  </si>
  <si>
    <t>https://swbiodiversity.org/seinet/collections/individual/index.php?occid=32902746</t>
  </si>
  <si>
    <t>SYST-MOR-0007357</t>
  </si>
  <si>
    <t>SYST-MOR-0007357_S83_1.fq.gz</t>
  </si>
  <si>
    <t>SYST-MOR-0007357_S83_2.fq.gz</t>
  </si>
  <si>
    <t>QUE001951</t>
  </si>
  <si>
    <t>MB-MG507</t>
  </si>
  <si>
    <t>1164 ft</t>
  </si>
  <si>
    <t>MOR&lt;USA-IL&gt;: Garner, MB-MG507</t>
  </si>
  <si>
    <t>0094466MOR</t>
  </si>
  <si>
    <t>69344D93-B62C-4FD3-A7BD-2C75F4B4224F</t>
  </si>
  <si>
    <t>https://swbiodiversity.org/seinet/collections/individual/index.php?occid=32899981</t>
  </si>
  <si>
    <t>SYST-MOR-0007358</t>
  </si>
  <si>
    <t>SYST-MOR-0007358_S84_1.fq.gz</t>
  </si>
  <si>
    <t>SYST-MOR-0007358_S84_2.fq.gz</t>
  </si>
  <si>
    <t>SAMN46848251</t>
  </si>
  <si>
    <t>QUE001952</t>
  </si>
  <si>
    <t>MB-MG508</t>
  </si>
  <si>
    <t>granite hill, edge of pipeline</t>
  </si>
  <si>
    <t>1161 ft</t>
  </si>
  <si>
    <t>MOR&lt;USA-IL&gt;: Garner, MB-MG508</t>
  </si>
  <si>
    <t>0094467MOR</t>
  </si>
  <si>
    <t>5F7FC7BD-6CE9-4570-90A9-C377B303C819</t>
  </si>
  <si>
    <t>https://swbiodiversity.org/seinet/collections/individual/index.php?occid=32899444</t>
  </si>
  <si>
    <t>SYST-MOR-0007359</t>
  </si>
  <si>
    <t>SYST-MOR-0007359_S85_1.fq.gz</t>
  </si>
  <si>
    <t>SYST-MOR-0007359_S85_2.fq.gz</t>
  </si>
  <si>
    <t>QUE001953</t>
  </si>
  <si>
    <t>MB-MG509</t>
  </si>
  <si>
    <t>near side of Block4 Rd.</t>
  </si>
  <si>
    <t>1190 ft</t>
  </si>
  <si>
    <t>MOR&lt;USA-IL&gt;: Garner, MB-MG509</t>
  </si>
  <si>
    <t>0094468MOR</t>
  </si>
  <si>
    <t>3A28C8D5-FA33-4BA2-AF7B-03FC0557198C</t>
  </si>
  <si>
    <t>https://swbiodiversity.org/seinet/collections/individual/index.php?occid=32896704</t>
  </si>
  <si>
    <t>SYST-MOR-0007360</t>
  </si>
  <si>
    <t>SYST-MOR-0007360_S86_1.fq.gz</t>
  </si>
  <si>
    <t>SYST-MOR-0007360_S86_2.fq.gz</t>
  </si>
  <si>
    <t>QUE001954</t>
  </si>
  <si>
    <t>MB-MG510</t>
  </si>
  <si>
    <t xml:space="preserve">driveway off Block 4 Rd. </t>
  </si>
  <si>
    <t>1132 ft</t>
  </si>
  <si>
    <t>MOR&lt;USA-IL&gt;: Garner, MB-MG510</t>
  </si>
  <si>
    <t>0094469MOR</t>
  </si>
  <si>
    <t>5086887E-854D-43E3-872B-BED3C273891A</t>
  </si>
  <si>
    <t>https://swbiodiversity.org/seinet/collections/individual/index.php?occid=32897403</t>
  </si>
  <si>
    <t>SYST-MOR-0007361</t>
  </si>
  <si>
    <t>SYST-MOR-0007361_S87_1.fq.gz</t>
  </si>
  <si>
    <t>SYST-MOR-0007361_S87_2.fq.gz</t>
  </si>
  <si>
    <t>QUE001955</t>
  </si>
  <si>
    <t>MB-MG511</t>
  </si>
  <si>
    <t>1146 ft</t>
  </si>
  <si>
    <t>MOR&lt;USA-IL&gt;: Garner, MB-MG511</t>
  </si>
  <si>
    <t>0094470MOR</t>
  </si>
  <si>
    <t>FDA8A786-D73C-46F9-971E-2E361BCD299B</t>
  </si>
  <si>
    <t>https://swbiodiversity.org/seinet/collections/individual/index.php?occid=32893163</t>
  </si>
  <si>
    <t>SYST-MOR-0007362</t>
  </si>
  <si>
    <t>SYST-MOR-0007362_S88_1.fq.gz</t>
  </si>
  <si>
    <t>SYST-MOR-0007362_S88_2.fq.gz</t>
  </si>
  <si>
    <t>SAMN46848252</t>
  </si>
  <si>
    <t>QUE001956</t>
  </si>
  <si>
    <t>MB-MG512</t>
  </si>
  <si>
    <t>1136 ft</t>
  </si>
  <si>
    <t>MOR&lt;USA-IL&gt;: Garner, MB-MG512</t>
  </si>
  <si>
    <t>0094471MOR</t>
  </si>
  <si>
    <t>A35BBADB-F1B3-45D0-B23C-164C854379E1</t>
  </si>
  <si>
    <t>https://swbiodiversity.org/seinet/collections/individual/index.php?occid=32902370</t>
  </si>
  <si>
    <t>SYST-MOR-0007363</t>
  </si>
  <si>
    <t>SYST-MOR-0007363_S89_1.fq.gz</t>
  </si>
  <si>
    <t>SYST-MOR-0007363_S89_2.fq.gz</t>
  </si>
  <si>
    <t>QUE001957</t>
  </si>
  <si>
    <t>MB-MG513</t>
  </si>
  <si>
    <t>1142 ft</t>
  </si>
  <si>
    <t>MOR&lt;USA-IL&gt;: Garner, MB-MG513</t>
  </si>
  <si>
    <t>0094472MOR</t>
  </si>
  <si>
    <t>4623A47F-5F67-47B3-B1A7-0FE6E8D85359</t>
  </si>
  <si>
    <t>https://swbiodiversity.org/seinet/collections/individual/index.php?occid=32897228</t>
  </si>
  <si>
    <t>SYST-MOR-0007364</t>
  </si>
  <si>
    <t>SYST-MOR-0007364_S90_1.fq.gz</t>
  </si>
  <si>
    <t>SYST-MOR-0007364_S90_2.fq.gz</t>
  </si>
  <si>
    <t>QUE001958</t>
  </si>
  <si>
    <t>MB-MG514</t>
  </si>
  <si>
    <t>1129 ft</t>
  </si>
  <si>
    <t>MOR&lt;USA-IL&gt;: Garner, MB-MG514</t>
  </si>
  <si>
    <t>0094761MOR</t>
  </si>
  <si>
    <t>39448A13-F434-4E2E-96EB-B553CF88E750</t>
  </si>
  <si>
    <t>https://swbiodiversity.org/seinet/collections/individual/index.php?occid=32896034</t>
  </si>
  <si>
    <t>SYST-MOR-0007365</t>
  </si>
  <si>
    <t>SYST-MOR-0007365_S91_1.fq.gz</t>
  </si>
  <si>
    <t>SYST-MOR-0007365_S91_2.fq.gz</t>
  </si>
  <si>
    <t>QUE001959</t>
  </si>
  <si>
    <t>MB-MG515</t>
  </si>
  <si>
    <t>1139 ft</t>
  </si>
  <si>
    <t>MOR&lt;USA-IL&gt;: Garner, MB-MG515</t>
  </si>
  <si>
    <t>0094762MOR</t>
  </si>
  <si>
    <t>EBC5CC3D-A829-48D9-9464-24869C027C16</t>
  </si>
  <si>
    <t>https://swbiodiversity.org/seinet/collections/individual/index.php?occid=32892877</t>
  </si>
  <si>
    <t>SYST-MOR-0007366</t>
  </si>
  <si>
    <t>SYST-MOR-0007366_S92_1.fq.gz</t>
  </si>
  <si>
    <t>SYST-MOR-0007366_S92_2.fq.gz</t>
  </si>
  <si>
    <t>SAMN46848253</t>
  </si>
  <si>
    <t>QUE001960</t>
  </si>
  <si>
    <t>MB-MG516</t>
  </si>
  <si>
    <t>Spruce Woods Provincial Park</t>
  </si>
  <si>
    <t>Open grassland, scattered oaks</t>
  </si>
  <si>
    <t>1239 ft</t>
  </si>
  <si>
    <t>MOR&lt;USA-IL&gt;: Garner, MB-MG516</t>
  </si>
  <si>
    <t>0094763MOR</t>
  </si>
  <si>
    <t>D597206D-E7ED-4306-AA7F-A6299DEA4269</t>
  </si>
  <si>
    <t>https://swbiodiversity.org/seinet/collections/individual/index.php?occid=32890562</t>
  </si>
  <si>
    <t>SYST-MOR-0007367</t>
  </si>
  <si>
    <t>SYST-MOR-0007367_S93_1.fq.gz</t>
  </si>
  <si>
    <t>SYST-MOR-0007367_S93_2.fq.gz</t>
  </si>
  <si>
    <t>SAMN46848254</t>
  </si>
  <si>
    <t>QUE001961</t>
  </si>
  <si>
    <t>MB-MG517</t>
  </si>
  <si>
    <t>1238 ft</t>
  </si>
  <si>
    <t>MOR&lt;USA-IL&gt;: Garner, MB-MG517</t>
  </si>
  <si>
    <t>0094764MOR</t>
  </si>
  <si>
    <t>0694611B-9776-4FAD-A50A-537DC1C74081</t>
  </si>
  <si>
    <t>https://swbiodiversity.org/seinet/collections/individual/index.php?occid=32898061</t>
  </si>
  <si>
    <t>SYST-MOR-0007368</t>
  </si>
  <si>
    <t>SYST-MOR-0007368_S94_1.fq.gz</t>
  </si>
  <si>
    <t>SYST-MOR-0007368_S94_2.fq.gz</t>
  </si>
  <si>
    <t>QUE001962</t>
  </si>
  <si>
    <t>MB-MG518</t>
  </si>
  <si>
    <t>MOR&lt;USA-IL&gt;: Garner, MB-MG518</t>
  </si>
  <si>
    <t>0094765MOR</t>
  </si>
  <si>
    <t>EF972DF2-FF43-4470-AF01-B9A73B373522</t>
  </si>
  <si>
    <t>https://swbiodiversity.org/seinet/collections/individual/index.php?occid=32892262</t>
  </si>
  <si>
    <t>SYST-MOR-0007369</t>
  </si>
  <si>
    <t>SYST-MOR-0007369_S95_1.fq.gz</t>
  </si>
  <si>
    <t>SYST-MOR-0007369_S95_2.fq.gz</t>
  </si>
  <si>
    <t>QUE001963</t>
  </si>
  <si>
    <t>MB-MG519</t>
  </si>
  <si>
    <t>Edge of open grassland and spruce grove.</t>
  </si>
  <si>
    <t>1253 ft</t>
  </si>
  <si>
    <t>MOR&lt;USA-IL&gt;: Garner, MB-MG519</t>
  </si>
  <si>
    <t>0094766MOR</t>
  </si>
  <si>
    <t>A8C24DBB-7A98-4FE8-9A33-F6B9F090D7E4</t>
  </si>
  <si>
    <t>https://swbiodiversity.org/seinet/collections/individual/index.php?occid=32903572</t>
  </si>
  <si>
    <t>SYST-MOR-0007370</t>
  </si>
  <si>
    <t>SYST-MOR-0007370_S96_1.fq.gz</t>
  </si>
  <si>
    <t>SYST-MOR-0007370_S96_2.fq.gz</t>
  </si>
  <si>
    <t>SAMN46848255</t>
  </si>
  <si>
    <t>QUE001964</t>
  </si>
  <si>
    <t>MB-MG520</t>
  </si>
  <si>
    <t>Quercus| Quercus macrocarpa Michx</t>
  </si>
  <si>
    <t>A.Hipp</t>
  </si>
  <si>
    <t>1236 ft</t>
  </si>
  <si>
    <t>MOR&lt;USA-IL&gt;: Garner, MB-MG520</t>
  </si>
  <si>
    <t>0094767MOR</t>
  </si>
  <si>
    <t>8F8C437F-A257-4DE8-9D07-3FDCC28B4590</t>
  </si>
  <si>
    <t>https://swbiodiversity.org/seinet/collections/individual/index.php?occid=32902069</t>
  </si>
  <si>
    <t>SYST-MOR-0007371</t>
  </si>
  <si>
    <t>SYST-MOR-0007371_S97_1.fq.gz</t>
  </si>
  <si>
    <t>SYST-MOR-0007371_S97_2.fq.gz</t>
  </si>
  <si>
    <t>QUE001965</t>
  </si>
  <si>
    <t>MB-MG521</t>
  </si>
  <si>
    <t>1250 ft</t>
  </si>
  <si>
    <t>MOR&lt;USA-IL&gt;: Garner, MB-MG521</t>
  </si>
  <si>
    <t>0094768MOR</t>
  </si>
  <si>
    <t>7A97C2AA-3775-49A5-9383-645FC2AF301A</t>
  </si>
  <si>
    <t>https://swbiodiversity.org/seinet/collections/individual/index.php?occid=32901617</t>
  </si>
  <si>
    <t>SYST-MOR-0007372</t>
  </si>
  <si>
    <t>SYST-MOR-0007372_S98_1.fq.gz</t>
  </si>
  <si>
    <t>SYST-MOR-0007372_S98_2.fq.gz</t>
  </si>
  <si>
    <t>QUE001966</t>
  </si>
  <si>
    <t>MB-MG522</t>
  </si>
  <si>
    <t>1252 ft</t>
  </si>
  <si>
    <t>MOR&lt;USA-IL&gt;: Garner, MB-MG522</t>
  </si>
  <si>
    <t>0094769MOR</t>
  </si>
  <si>
    <t>29EBF677-1B29-47E1-9F2F-5A33024FF652</t>
  </si>
  <si>
    <t>https://swbiodiversity.org/seinet/collections/individual/index.php?occid=32895016</t>
  </si>
  <si>
    <t>SYST-MOR-0007373</t>
  </si>
  <si>
    <t>SYST-MOR-0007373_S99_1.fq.gz</t>
  </si>
  <si>
    <t>SYST-MOR-0007373_S99_2.fq.gz</t>
  </si>
  <si>
    <t>QUE001967</t>
  </si>
  <si>
    <t>MB-MG523</t>
  </si>
  <si>
    <t>Oak grove in open grassland</t>
  </si>
  <si>
    <t>MOR&lt;USA-IL&gt;: Garner, MB-MG523</t>
  </si>
  <si>
    <t>0094770MOR</t>
  </si>
  <si>
    <t>4F9E0BBB-2600-4B9F-B296-CEF11575CD98</t>
  </si>
  <si>
    <t>https://swbiodiversity.org/seinet/collections/individual/index.php?occid=32898269</t>
  </si>
  <si>
    <t>SYST-MOR-0007374</t>
  </si>
  <si>
    <t>SYST-MOR-0007374_S100_1.fq.gz</t>
  </si>
  <si>
    <t>SYST-MOR-0007374_S100_2.fq.gz</t>
  </si>
  <si>
    <t>QUE001968</t>
  </si>
  <si>
    <t>MB-MG524</t>
  </si>
  <si>
    <t>1256 ft</t>
  </si>
  <si>
    <t>MOR&lt;USA-IL&gt;: Garner, MB-MG524</t>
  </si>
  <si>
    <t>0094777MOR</t>
  </si>
  <si>
    <t>DEC1A0E9-8863-4338-B755-2D6979E46CB3</t>
  </si>
  <si>
    <t>https://swbiodiversity.org/seinet/collections/individual/index.php?occid=32891958</t>
  </si>
  <si>
    <t>SYST-MOR-0007375</t>
  </si>
  <si>
    <t>SYST-MOR-0007375_S101_1.fq.gz</t>
  </si>
  <si>
    <t>SYST-MOR-0007375_S101_2.fq.gz</t>
  </si>
  <si>
    <t>QUE001969</t>
  </si>
  <si>
    <t>MB-MG525</t>
  </si>
  <si>
    <t>1285 ft</t>
  </si>
  <si>
    <t>MOR&lt;USA-IL&gt;: Garner, MB-MG525</t>
  </si>
  <si>
    <t>0094778MOR</t>
  </si>
  <si>
    <t>EE1255ED-764C-4AE9-BD7C-D57DD035C3A5</t>
  </si>
  <si>
    <t>https://swbiodiversity.org/seinet/collections/individual/index.php?occid=32891804</t>
  </si>
  <si>
    <t>SYST-MOR-0007376</t>
  </si>
  <si>
    <t>SYST-MOR-0007376_S102_1.fq.gz</t>
  </si>
  <si>
    <t>SYST-MOR-0007376_S102_2.fq.gz</t>
  </si>
  <si>
    <t>SAMN46848256</t>
  </si>
  <si>
    <t>QUE001970</t>
  </si>
  <si>
    <t>MB-MG526</t>
  </si>
  <si>
    <t>Assiniboine Forest</t>
  </si>
  <si>
    <t>near parking lot/entrance to trail</t>
  </si>
  <si>
    <t>Aspen and Oak woods</t>
  </si>
  <si>
    <t>gps collected: 49.76058, -99.15864, 1255 ft. These coordinates match better previous site.</t>
  </si>
  <si>
    <t>MOR&lt;USA-IL&gt;: Garner, MB-MG526</t>
  </si>
  <si>
    <t>0094779MOR</t>
  </si>
  <si>
    <t>D3637413-DDA4-4ABF-A5C1-D7DB04375320</t>
  </si>
  <si>
    <t>https://swbiodiversity.org/seinet/collections/individual/index.php?occid=32891249</t>
  </si>
  <si>
    <t>SYST-MOR-0007377</t>
  </si>
  <si>
    <t>SYST-MOR-0007377_S103_1.fq.gz</t>
  </si>
  <si>
    <t>SYST-MOR-0007377_S103_2.fq.gz</t>
  </si>
  <si>
    <t>QUE001971</t>
  </si>
  <si>
    <t>MB-MG527</t>
  </si>
  <si>
    <t>near trail</t>
  </si>
  <si>
    <t>788 ft</t>
  </si>
  <si>
    <t>MOR&lt;USA-IL&gt;: Garner, MB-MG527</t>
  </si>
  <si>
    <t>0094780MOR</t>
  </si>
  <si>
    <t>6379DAFC-32C9-4ABB-8656-294E336DFDC6</t>
  </si>
  <si>
    <t>https://swbiodiversity.org/seinet/collections/individual/index.php?occid=32899497</t>
  </si>
  <si>
    <t>SYST-MOR-0007378</t>
  </si>
  <si>
    <t>SYST-MOR-0007378_S104_1.fq.gz</t>
  </si>
  <si>
    <t>SYST-MOR-0007378_S104_2.fq.gz</t>
  </si>
  <si>
    <t>SAMN46848257</t>
  </si>
  <si>
    <t>QUE001972</t>
  </si>
  <si>
    <t>MB-MG528</t>
  </si>
  <si>
    <t>off trail in woody area</t>
  </si>
  <si>
    <t>woody area</t>
  </si>
  <si>
    <t>777 ft</t>
  </si>
  <si>
    <t>MOR&lt;USA-IL&gt;: Garner, MB-MG528</t>
  </si>
  <si>
    <t>0094781MOR</t>
  </si>
  <si>
    <t>EAF80350-69EE-4CC4-A083-55894790ED29</t>
  </si>
  <si>
    <t>https://swbiodiversity.org/seinet/collections/individual/index.php?occid=32892535</t>
  </si>
  <si>
    <t>SYST-MOR-0007379</t>
  </si>
  <si>
    <t>SYST-MOR-0007379_S105_1.fq.gz</t>
  </si>
  <si>
    <t>SYST-MOR-0007379_S105_2.fq.gz</t>
  </si>
  <si>
    <t>QUE001973</t>
  </si>
  <si>
    <t>MB-MG529</t>
  </si>
  <si>
    <t>828 ft</t>
  </si>
  <si>
    <t>MOR&lt;USA-IL&gt;: Garner, MB-MG529</t>
  </si>
  <si>
    <t>0094771MOR</t>
  </si>
  <si>
    <t>A3DC5431-AC5E-4A65-B229-4E7EAB480F35</t>
  </si>
  <si>
    <t>https://swbiodiversity.org/seinet/collections/individual/index.php?occid=32902397</t>
  </si>
  <si>
    <t>SYST-MOR-0007380</t>
  </si>
  <si>
    <t>SYST-MOR-0007380_S106_1.fq.gz</t>
  </si>
  <si>
    <t>SYST-MOR-0007380_S106_2.fq.gz</t>
  </si>
  <si>
    <t>QUE001974</t>
  </si>
  <si>
    <t>MB-MG530</t>
  </si>
  <si>
    <t>798 ft</t>
  </si>
  <si>
    <t>MOR&lt;USA-IL&gt;: Garner, MB-MG530</t>
  </si>
  <si>
    <t>0094772MOR</t>
  </si>
  <si>
    <t>7EA513F0-817A-4585-873A-412DCA357A6E</t>
  </si>
  <si>
    <t>https://swbiodiversity.org/seinet/collections/individual/index.php?occid=32901705</t>
  </si>
  <si>
    <t>SYST-MOR-0007381</t>
  </si>
  <si>
    <t>SYST-MOR-0007381_S107_1.fq.gz</t>
  </si>
  <si>
    <t>SYST-MOR-0007381_S107_2.fq.gz</t>
  </si>
  <si>
    <t>SAMN46848258</t>
  </si>
  <si>
    <t>QUE001975</t>
  </si>
  <si>
    <t>MB-MG531</t>
  </si>
  <si>
    <t>794 ft</t>
  </si>
  <si>
    <t>MOR&lt;USA-IL&gt;: Garner, MB-MG531</t>
  </si>
  <si>
    <t>0094773MOR</t>
  </si>
  <si>
    <t>26EA6AC5-142E-46B7-8989-822C9F33BC09</t>
  </si>
  <si>
    <t>https://swbiodiversity.org/seinet/collections/individual/index.php?occid=32894961</t>
  </si>
  <si>
    <t>SYST-MOR-0007382</t>
  </si>
  <si>
    <t>SYST-MOR-0007382_S108_1.fq.gz</t>
  </si>
  <si>
    <t>SYST-MOR-0007382_S108_2.fq.gz</t>
  </si>
  <si>
    <t>QUE001976</t>
  </si>
  <si>
    <t>MB-MG532</t>
  </si>
  <si>
    <t>782 ft</t>
  </si>
  <si>
    <t>MOR&lt;USA-IL&gt;: Garner, MB-MG532</t>
  </si>
  <si>
    <t>0094782MOR</t>
  </si>
  <si>
    <t>A8319283-86D8-49D0-9EE5-DDC114886BFE</t>
  </si>
  <si>
    <t>https://swbiodiversity.org/seinet/collections/individual/index.php?occid=32903309</t>
  </si>
  <si>
    <t>SYST-MOR-0007383</t>
  </si>
  <si>
    <t>SYST-MOR-0007383_S109_1.fq.gz</t>
  </si>
  <si>
    <t>SYST-MOR-0007383_S109_2.fq.gz</t>
  </si>
  <si>
    <t>QUE001977</t>
  </si>
  <si>
    <t>MB-MG533</t>
  </si>
  <si>
    <t>790 ft</t>
  </si>
  <si>
    <t>MOR&lt;USA-IL&gt;: Garner, MB-MG533</t>
  </si>
  <si>
    <t>0094774MOR</t>
  </si>
  <si>
    <t>D50CED7C-8B92-40C3-A34A-6DD9B63678E1</t>
  </si>
  <si>
    <t>https://swbiodiversity.org/seinet/collections/individual/index.php?occid=32890938</t>
  </si>
  <si>
    <t>SYST-MOR-0007384</t>
  </si>
  <si>
    <t>SYST-MOR-0007384_S110_1.fq.gz</t>
  </si>
  <si>
    <t>SYST-MOR-0007384_S110_2.fq.gz</t>
  </si>
  <si>
    <t>QUE001978</t>
  </si>
  <si>
    <t>MB-MG534</t>
  </si>
  <si>
    <t>795 ft</t>
  </si>
  <si>
    <t>MOR&lt;USA-IL&gt;: Garner, MB-MG534</t>
  </si>
  <si>
    <t>0094775MOR</t>
  </si>
  <si>
    <t>5179E832-A7F5-4E76-B0BF-2FA01295DE21</t>
  </si>
  <si>
    <t>https://swbiodiversity.org/seinet/collections/individual/index.php?occid=32897846</t>
  </si>
  <si>
    <t>SYST-MOR-0007385</t>
  </si>
  <si>
    <t>SYST-MOR-0007385_S111_1.fq.gz</t>
  </si>
  <si>
    <t>SYST-MOR-0007385_S111_2.fq.gz</t>
  </si>
  <si>
    <t>QUE001979</t>
  </si>
  <si>
    <t>MB-MG535</t>
  </si>
  <si>
    <t>A.L. Hipp</t>
  </si>
  <si>
    <t>796 ft</t>
  </si>
  <si>
    <t>MOR&lt;USA-IL&gt;: Garner, MB-MG535</t>
  </si>
  <si>
    <t>0094776MOR</t>
  </si>
  <si>
    <t>4C20D710-6143-45A3-BC32-E2FB2EE83AC2</t>
  </si>
  <si>
    <t>https://swbiodiversity.org/seinet/collections/individual/index.php?occid=32898231</t>
  </si>
  <si>
    <t>SYST-MOR-0007386</t>
  </si>
  <si>
    <t>SYST-MOR-0007386_S112_1.fq.gz</t>
  </si>
  <si>
    <t>SYST-MOR-0007386_S112_2.fq.gz</t>
  </si>
  <si>
    <t>SAMN46848259</t>
  </si>
  <si>
    <t>QUE001980</t>
  </si>
  <si>
    <t>WI-MG536</t>
  </si>
  <si>
    <t>Wisconsin</t>
  </si>
  <si>
    <t>Sawyer</t>
  </si>
  <si>
    <t>Chequamegon-Nicolet National Forest</t>
  </si>
  <si>
    <t>Round Lake</t>
  </si>
  <si>
    <t>wooded, edge of lake</t>
  </si>
  <si>
    <t>1420 ft</t>
  </si>
  <si>
    <t>MOR&lt;USA-IL&gt;: Garner, WI-MG536</t>
  </si>
  <si>
    <t>0094783MOR</t>
  </si>
  <si>
    <t>68FD2615-32EF-4F0B-AD37-A6A55ED27785</t>
  </si>
  <si>
    <t>https://swbiodiversity.org/seinet/collections/individual/index.php?occid=32899971</t>
  </si>
  <si>
    <t>SYST-MOR-0007387</t>
  </si>
  <si>
    <t>SYST-MOR-0007387_S113_1.fq.gz</t>
  </si>
  <si>
    <t>SYST-MOR-0007387_S113_2.fq.gz</t>
  </si>
  <si>
    <t>SAMN46848260</t>
  </si>
  <si>
    <t>QUE001981</t>
  </si>
  <si>
    <t>WI-MG537</t>
  </si>
  <si>
    <t>Roadside, wooded edge of lake</t>
  </si>
  <si>
    <t>Acer, Hickory, red oak</t>
  </si>
  <si>
    <t>1461 ft</t>
  </si>
  <si>
    <t>MOR&lt;USA-IL&gt;: Garner, WI-MG537</t>
  </si>
  <si>
    <t>0094784MOR</t>
  </si>
  <si>
    <t>00C59379-F3A7-49D0-9380-3C5A9CD10C81</t>
  </si>
  <si>
    <t>https://swbiodiversity.org/seinet/collections/individual/index.php?occid=32897091</t>
  </si>
  <si>
    <t>SYST-MOR-0007388</t>
  </si>
  <si>
    <t>SYST-MOR-0007388_S114_1.fq.gz</t>
  </si>
  <si>
    <t>SYST-MOR-0007388_S114_2.fq.gz</t>
  </si>
  <si>
    <t>QUE001982</t>
  </si>
  <si>
    <t>WI-MG538</t>
  </si>
  <si>
    <t>Roadside</t>
  </si>
  <si>
    <t>Woods dominated by Acer and red oak</t>
  </si>
  <si>
    <t>1522 ft</t>
  </si>
  <si>
    <t>MOR&lt;USA-IL&gt;: Garner, WI-MG538</t>
  </si>
  <si>
    <t>0094785MOR</t>
  </si>
  <si>
    <t>6B176A5A-40F5-463C-92EF-DB5DE309FE0D</t>
  </si>
  <si>
    <t>https://swbiodiversity.org/seinet/collections/individual/index.php?occid=32898689</t>
  </si>
  <si>
    <t>SYST-MOR-0007389</t>
  </si>
  <si>
    <t>SYST-MOR-0007389_S115_1.fq.gz</t>
  </si>
  <si>
    <t>SYST-MOR-0007389_S115_2.fq.gz</t>
  </si>
  <si>
    <t>SAMN46848261</t>
  </si>
  <si>
    <t>QUE001983</t>
  </si>
  <si>
    <t>WI-MG539</t>
  </si>
  <si>
    <t>1582 ft</t>
  </si>
  <si>
    <t>MOR&lt;USA-IL&gt;: Garner, WI-MG539</t>
  </si>
  <si>
    <t>0094786MOR</t>
  </si>
  <si>
    <t>7F76A837-AEEE-4C06-8F5A-281AD3BE7138</t>
  </si>
  <si>
    <t>https://swbiodiversity.org/seinet/collections/individual/index.php?occid=32901266</t>
  </si>
  <si>
    <t>SYST-MOR-0007390</t>
  </si>
  <si>
    <t>SYST-MOR-0007390_S116_1.fq.gz</t>
  </si>
  <si>
    <t>SYST-MOR-0007390_S116_2.fq.gz</t>
  </si>
  <si>
    <t>QUE001984</t>
  </si>
  <si>
    <t>WI-MG540</t>
  </si>
  <si>
    <t>Edge of woods and road</t>
  </si>
  <si>
    <t>Acer, red oak</t>
  </si>
  <si>
    <t>1421 ft</t>
  </si>
  <si>
    <t>MOR&lt;USA-IL&gt;: Garner, WI-MG540</t>
  </si>
  <si>
    <t>0094787MOR</t>
  </si>
  <si>
    <t>4F882B35-A5C8-4453-A2BE-F29677DB4B57</t>
  </si>
  <si>
    <t>https://swbiodiversity.org/seinet/collections/individual/index.php?occid=32898263</t>
  </si>
  <si>
    <t>SYST-MOR-0007391</t>
  </si>
  <si>
    <t>SYST-MOR-0007391_S117_1.fq.gz</t>
  </si>
  <si>
    <t>SYST-MOR-0007391_S117_2.fq.gz</t>
  </si>
  <si>
    <t>QUE001985</t>
  </si>
  <si>
    <t>WI-MG541</t>
  </si>
  <si>
    <t>roadside</t>
  </si>
  <si>
    <t>1485 ft</t>
  </si>
  <si>
    <t>MOR&lt;USA-IL&gt;: Garner, WI-MG541</t>
  </si>
  <si>
    <t>0094788MOR</t>
  </si>
  <si>
    <t>2CD24528-FD37-4E15-8335-A00A639A5B34</t>
  </si>
  <si>
    <t>https://swbiodiversity.org/seinet/collections/individual/index.php?occid=32896223</t>
  </si>
  <si>
    <t>SYST-MOR-0007392</t>
  </si>
  <si>
    <t>SYST-MOR-0007392_S118_1.fq.gz</t>
  </si>
  <si>
    <t>SYST-MOR-0007392_S118_2.fq.gz</t>
  </si>
  <si>
    <t>SAMN46848262</t>
  </si>
  <si>
    <t>QUE002056</t>
  </si>
  <si>
    <t>Minooka 1</t>
  </si>
  <si>
    <t>Ian Pearse</t>
  </si>
  <si>
    <t>PEARSE-HIPP</t>
  </si>
  <si>
    <t>Kansas</t>
  </si>
  <si>
    <t>Russell</t>
  </si>
  <si>
    <t>Minooka Park Recreation Area</t>
  </si>
  <si>
    <t>Riparian area near large resevoir</t>
  </si>
  <si>
    <t>Cottonwood, willow</t>
  </si>
  <si>
    <t>3 population vouchers- Minooka A: Q. macrocarpa (specimen somewhat uncertain), A.L.Hipp Nov 2024; Minooka B: Q. macrocarpa, A.L. Hipp &amp; G. Ribicoff, Nov 2024; Minooka C: Q. macrocarpa, A.L. Hipp &amp; G. Ribicoff, Nov 2024</t>
  </si>
  <si>
    <t>MOR&lt;USA-IL&gt;: Pearse, no. Minooka A, B and C  (Population vouchers for Minooka 1-10 )</t>
  </si>
  <si>
    <t>185349 [Q. macrocarpa-specimen somewhat uncertain], 185350 [Q. macrocarpa], 185351 [Q. macrocarpa]</t>
  </si>
  <si>
    <t>population vouchers for Minooka</t>
  </si>
  <si>
    <t>0095509MOR|0095510MOR|0095511MOR</t>
  </si>
  <si>
    <t>2EAD666B-E092-4950-9577-99098D4AE289|52EABE62-BA2E-4907-BA09-019B8809C4D5|CB0D7A42-52D1-4E2E-B4F8-4D48D286BCCF</t>
  </si>
  <si>
    <t>SYST-MOR-0007393</t>
  </si>
  <si>
    <t>SYST-MOR-0007393_S119_1.fq.gz</t>
  </si>
  <si>
    <t>SYST-MOR-0007393_S119_2.fq.gz</t>
  </si>
  <si>
    <t>QUE002057</t>
  </si>
  <si>
    <t>Minooka 2</t>
  </si>
  <si>
    <t>SYST-MOR-0007394</t>
  </si>
  <si>
    <t>SYST-MOR-0007394_S120_1.fq.gz</t>
  </si>
  <si>
    <t>SYST-MOR-0007394_S120_2.fq.gz</t>
  </si>
  <si>
    <t>SAMN46848263</t>
  </si>
  <si>
    <t>QUE002058</t>
  </si>
  <si>
    <t>Minooka 3</t>
  </si>
  <si>
    <t>SYST-MOR-0007395</t>
  </si>
  <si>
    <t>SYST-MOR-0007395_S121_1.fq.gz</t>
  </si>
  <si>
    <t>SYST-MOR-0007395_S121_2.fq.gz</t>
  </si>
  <si>
    <t>SAMN46848264</t>
  </si>
  <si>
    <t>QUE002059</t>
  </si>
  <si>
    <t>Minooka 4</t>
  </si>
  <si>
    <t>SYST-MOR-0007396</t>
  </si>
  <si>
    <t>SYST-MOR-0007396_S122_1.fq.gz</t>
  </si>
  <si>
    <t>SYST-MOR-0007396_S122_2.fq.gz</t>
  </si>
  <si>
    <t>SAMN46848265</t>
  </si>
  <si>
    <t>QUE002060</t>
  </si>
  <si>
    <t>Minooka 5</t>
  </si>
  <si>
    <t>SYST-MOR-0007397</t>
  </si>
  <si>
    <t>SYST-MOR-0007397_S123_1.fq.gz</t>
  </si>
  <si>
    <t>SYST-MOR-0007397_S123_2.fq.gz</t>
  </si>
  <si>
    <t>QUE002061</t>
  </si>
  <si>
    <t>Minooka 6</t>
  </si>
  <si>
    <t>SYST-MOR-0007398</t>
  </si>
  <si>
    <t>SYST-MOR-0007398_S124_1.fq.gz</t>
  </si>
  <si>
    <t>SYST-MOR-0007398_S124_2.fq.gz</t>
  </si>
  <si>
    <t>QUE002062</t>
  </si>
  <si>
    <t>Minooka 7</t>
  </si>
  <si>
    <t>SYST-MOR-0007399</t>
  </si>
  <si>
    <t>SYST-MOR-0007399_S125_1.fq.gz</t>
  </si>
  <si>
    <t>SYST-MOR-0007399_S125_2.fq.gz</t>
  </si>
  <si>
    <t>QUE002063</t>
  </si>
  <si>
    <t>Minooka 8</t>
  </si>
  <si>
    <t>SYST-MOR-0007400</t>
  </si>
  <si>
    <t>SYST-MOR-0007400_S126_1.fq.gz</t>
  </si>
  <si>
    <t>SYST-MOR-0007400_S126_2.fq.gz</t>
  </si>
  <si>
    <t>QUE002064</t>
  </si>
  <si>
    <t>Minooka 9</t>
  </si>
  <si>
    <t>SYST-MOR-0007401</t>
  </si>
  <si>
    <t>SYST-MOR-0007401_S127_1.fq.gz</t>
  </si>
  <si>
    <t>SYST-MOR-0007401_S127_2.fq.gz</t>
  </si>
  <si>
    <t>QUE002065</t>
  </si>
  <si>
    <t>Minooka 10</t>
  </si>
  <si>
    <t>SYST-MOR-0007402</t>
  </si>
  <si>
    <t>SYST-MOR-0007402_S128_1.fq.gz</t>
  </si>
  <si>
    <t>SYST-MOR-0007402_S128_2.fq.gz</t>
  </si>
  <si>
    <t>QUE002066</t>
  </si>
  <si>
    <t>Salina 1</t>
  </si>
  <si>
    <t>Saline</t>
  </si>
  <si>
    <t>Lakewood Park</t>
  </si>
  <si>
    <t>Riparian, small town, city maintained park along river</t>
  </si>
  <si>
    <t>MOR&lt;USA-IL&gt;: Pearse, no. Salina (population voucher for Salina 1-6)</t>
  </si>
  <si>
    <t>population voucher for Salina</t>
  </si>
  <si>
    <t>0095508MOR</t>
  </si>
  <si>
    <t>EA4BBD4B-38EF-4E86-B4E7-723DDB69B5AF</t>
  </si>
  <si>
    <t>https://swbiodiversity.org/seinet/collections/individual/index.php?occid=32891750</t>
  </si>
  <si>
    <t>SYST-MOR-0007403</t>
  </si>
  <si>
    <t>SYST-MOR-0007403_S129_1.fq.gz</t>
  </si>
  <si>
    <t>SYST-MOR-0007403_S129_2.fq.gz</t>
  </si>
  <si>
    <t>QUE002067</t>
  </si>
  <si>
    <t>Salina 2</t>
  </si>
  <si>
    <t>SYST-MOR-0007404</t>
  </si>
  <si>
    <t>SYST-MOR-0007404_S130_1.fq.gz</t>
  </si>
  <si>
    <t>SYST-MOR-0007404_S130_2.fq.gz</t>
  </si>
  <si>
    <t>QUE002068</t>
  </si>
  <si>
    <t>Salina 3</t>
  </si>
  <si>
    <t>SYST-MOR-0007405</t>
  </si>
  <si>
    <t>SYST-MOR-0007405_S131_1.fq.gz</t>
  </si>
  <si>
    <t>SYST-MOR-0007405_S131_2.fq.gz</t>
  </si>
  <si>
    <t>SAMN46848266</t>
  </si>
  <si>
    <t>QUE002069</t>
  </si>
  <si>
    <t>Salina 4</t>
  </si>
  <si>
    <t>SYST-MOR-0007406</t>
  </si>
  <si>
    <t>SYST-MOR-0007406_S132_1.fq.gz</t>
  </si>
  <si>
    <t>SYST-MOR-0007406_S132_2.fq.gz</t>
  </si>
  <si>
    <t>SAMN46848267</t>
  </si>
  <si>
    <t>QUE002070</t>
  </si>
  <si>
    <t>Salina 5</t>
  </si>
  <si>
    <t>SYST-MOR-0007407</t>
  </si>
  <si>
    <t>SYST-MOR-0007407_S133_1.fq.gz</t>
  </si>
  <si>
    <t>SYST-MOR-0007407_S133_2.fq.gz</t>
  </si>
  <si>
    <t>QUE002071</t>
  </si>
  <si>
    <t>Salina 6</t>
  </si>
  <si>
    <t>SYST-MOR-0007408</t>
  </si>
  <si>
    <t>SYST-MOR-0007408_S134_1.fq.gz</t>
  </si>
  <si>
    <t>SYST-MOR-0007408_S134_2.fq.gz</t>
  </si>
  <si>
    <t>QUE002110</t>
  </si>
  <si>
    <t>IN-MG631</t>
  </si>
  <si>
    <t>Indiana</t>
  </si>
  <si>
    <t>Lake</t>
  </si>
  <si>
    <t>Burr Oak Woods</t>
  </si>
  <si>
    <t>Hobart</t>
  </si>
  <si>
    <t>Bur oak savanna, edge of trail</t>
  </si>
  <si>
    <t>Monarda fistulosa, Rubus, Joe Pye Weed</t>
  </si>
  <si>
    <t>627 ft</t>
  </si>
  <si>
    <t>MOR&lt;USA-IL&gt;: Garner, IN-MG631</t>
  </si>
  <si>
    <t>0096861MOR</t>
  </si>
  <si>
    <t>84FBBEFC-AD20-4DDA-BAC1-FB767CE2FED3</t>
  </si>
  <si>
    <t>https://swbiodiversity.org/seinet/collections/individual/index.php?occid=32901807</t>
  </si>
  <si>
    <t>SYST-MOR-0007425</t>
  </si>
  <si>
    <t>SYST-MOR-0007425_S151_1.fq.gz</t>
  </si>
  <si>
    <t>SYST-MOR-0007425_S151_2.fq.gz</t>
  </si>
  <si>
    <t>SAMN46848293</t>
  </si>
  <si>
    <t>QUE002111</t>
  </si>
  <si>
    <t>IN-MG632</t>
  </si>
  <si>
    <t>707 ft</t>
  </si>
  <si>
    <t>MOR&lt;USA-IL&gt;: Garner, IN-MG632</t>
  </si>
  <si>
    <t>0096860MOR</t>
  </si>
  <si>
    <t>8B586C32-0A7D-4FEE-8B30-10453F8FD6B0</t>
  </si>
  <si>
    <t>https://swbiodiversity.org/seinet/collections/individual/index.php?occid=32902477</t>
  </si>
  <si>
    <t>SYST-MOR-0007426</t>
  </si>
  <si>
    <t>SYST-MOR-0007426_S152_1.fq.gz</t>
  </si>
  <si>
    <t>SYST-MOR-0007426_S152_2.fq.gz</t>
  </si>
  <si>
    <t>QUE002112</t>
  </si>
  <si>
    <t>IN-MG633</t>
  </si>
  <si>
    <t>668 ft</t>
  </si>
  <si>
    <t>MOR&lt;USA-IL&gt;: Garner, IN-MG633</t>
  </si>
  <si>
    <t>186121</t>
  </si>
  <si>
    <t>0097090MOR</t>
  </si>
  <si>
    <t>4F9B0E65-4F72-48C5-9219-7FFCAD61E784</t>
  </si>
  <si>
    <t>https://swbiodiversity.org/seinet/collections/individual/index.php?occid=32898268</t>
  </si>
  <si>
    <t>SYST-MOR-0007427</t>
  </si>
  <si>
    <t>SYST-MOR-0007427_S153_1.fq.gz</t>
  </si>
  <si>
    <t>SYST-MOR-0007427_S153_2.fq.gz</t>
  </si>
  <si>
    <t>QUE002113</t>
  </si>
  <si>
    <t>IN-MG634</t>
  </si>
  <si>
    <t>677 ft</t>
  </si>
  <si>
    <t>MOR&lt;USA-IL&gt;: Garner, IN-MG634</t>
  </si>
  <si>
    <t>185846</t>
  </si>
  <si>
    <t>0096859MOR</t>
  </si>
  <si>
    <t>F2F968A2-1B95-4231-A36B-60A77F866A16</t>
  </si>
  <si>
    <t>https://swbiodiversity.org/seinet/collections/individual/index.php?occid=32893019</t>
  </si>
  <si>
    <t>SYST-MOR-0007428</t>
  </si>
  <si>
    <t>SYST-MOR-0007428_S154_1.fq.gz</t>
  </si>
  <si>
    <t>SYST-MOR-0007428_S154_2.fq.gz</t>
  </si>
  <si>
    <t>QUE002114</t>
  </si>
  <si>
    <t>IN-MG635</t>
  </si>
  <si>
    <t>698 ft</t>
  </si>
  <si>
    <t>MOR&lt;USA-IL&gt;: Garner, IN-MG635</t>
  </si>
  <si>
    <t>0097829MOR</t>
  </si>
  <si>
    <t>53848D7C-942C-4348-ACE5-A0AC2CD72913</t>
  </si>
  <si>
    <t>https://swbiodiversity.org/seinet/collections/individual/index.php?occid=32898328</t>
  </si>
  <si>
    <t>SYST-MOR-0007429</t>
  </si>
  <si>
    <t>SYST-MOR-0007429_S155_1.fq.gz</t>
  </si>
  <si>
    <t>SYST-MOR-0007429_S155_2.fq.gz</t>
  </si>
  <si>
    <t>SAMN46848294</t>
  </si>
  <si>
    <t>QUE002115</t>
  </si>
  <si>
    <t>IN-MG636</t>
  </si>
  <si>
    <t>663 ft</t>
  </si>
  <si>
    <t>MOR&lt;USA-IL&gt;: Garner, IN-MG636</t>
  </si>
  <si>
    <t>185847</t>
  </si>
  <si>
    <t>0096858MOR</t>
  </si>
  <si>
    <t>5C8B3289-6506-49E7-B47E-11A737B305C0</t>
  </si>
  <si>
    <t>https://swbiodiversity.org/seinet/collections/individual/index.php?occid=32899390</t>
  </si>
  <si>
    <t>SYST-MOR-0007430</t>
  </si>
  <si>
    <t>SYST-MOR-0007430_S156_1.fq.gz</t>
  </si>
  <si>
    <t>SYST-MOR-0007430_S156_2.fq.gz</t>
  </si>
  <si>
    <t>QUE002116</t>
  </si>
  <si>
    <t>IN-MG637</t>
  </si>
  <si>
    <t>661 ft</t>
  </si>
  <si>
    <t>MOR&lt;USA-IL&gt;: Garner, IN-MG637</t>
  </si>
  <si>
    <t>185848</t>
  </si>
  <si>
    <t>0096856MOR</t>
  </si>
  <si>
    <t>C84B6CE0-CCDB-41E5-83FA-051544BB7CC5</t>
  </si>
  <si>
    <t>https://swbiodiversity.org/seinet/collections/individual/index.php?occid=32890337</t>
  </si>
  <si>
    <t>SYST-MOR-0007431</t>
  </si>
  <si>
    <t>SYST-MOR-0007431_S157_1.fq.gz</t>
  </si>
  <si>
    <t>SYST-MOR-0007431_S157_2.fq.gz</t>
  </si>
  <si>
    <t>QUE002117</t>
  </si>
  <si>
    <t>IN-MG638</t>
  </si>
  <si>
    <t>673 ft</t>
  </si>
  <si>
    <t>MOR&lt;USA-IL&gt;: Garner, IN-MG638</t>
  </si>
  <si>
    <t>186611</t>
  </si>
  <si>
    <t>0097785MOR</t>
  </si>
  <si>
    <t>434695EF-68F8-488B-970C-75BA1752D161</t>
  </si>
  <si>
    <t>https://swbiodiversity.org/seinet/collections/individual/index.php?occid=32897498</t>
  </si>
  <si>
    <t>SYST-MOR-0007432</t>
  </si>
  <si>
    <t>SYST-MOR-0007432_S158_1.fq.gz</t>
  </si>
  <si>
    <t>SYST-MOR-0007432_S158_2.fq.gz</t>
  </si>
  <si>
    <t>QUE002118</t>
  </si>
  <si>
    <t>IN-MG639</t>
  </si>
  <si>
    <t>655 ft</t>
  </si>
  <si>
    <t>MOR&lt;USA-IL&gt;: Garner, IN-MG639</t>
  </si>
  <si>
    <t>185849</t>
  </si>
  <si>
    <t>0096857MOR</t>
  </si>
  <si>
    <t>C9BD4279-5523-4E0D-AEC5-56CAC1DE8884</t>
  </si>
  <si>
    <t>https://swbiodiversity.org/seinet/collections/individual/index.php?occid=32890787</t>
  </si>
  <si>
    <t>SYST-MOR-0007433</t>
  </si>
  <si>
    <t>SYST-MOR-0007433_S159_1.fq.gz</t>
  </si>
  <si>
    <t>SYST-MOR-0007433_S159_2.fq.gz</t>
  </si>
  <si>
    <t>QUE002119</t>
  </si>
  <si>
    <t>IN-MG640</t>
  </si>
  <si>
    <t>660 ft</t>
  </si>
  <si>
    <t>MOR&lt;USA-IL&gt;: Garner, IN-MG640</t>
  </si>
  <si>
    <t>0096871MOR</t>
  </si>
  <si>
    <t>F28F19DF-705E-4AF7-9026-5BA4541ADC09</t>
  </si>
  <si>
    <t>https://swbiodiversity.org/seinet/collections/individual/index.php?occid=32892996</t>
  </si>
  <si>
    <t>SYST-MOR-0007434</t>
  </si>
  <si>
    <t>SYST-MOR-0007434_S160_1.fq.gz</t>
  </si>
  <si>
    <t>SYST-MOR-0007434_S160_2.fq.gz</t>
  </si>
  <si>
    <t>SAMN46848295</t>
  </si>
  <si>
    <t>QUE002325</t>
  </si>
  <si>
    <t>MI-MG662</t>
  </si>
  <si>
    <t>Mira Garner, Kasey Pham</t>
  </si>
  <si>
    <t>Michigan</t>
  </si>
  <si>
    <t>Bay</t>
  </si>
  <si>
    <t>Pinconning Park</t>
  </si>
  <si>
    <t>Campground</t>
  </si>
  <si>
    <t>Lakeshore oak  maple woods</t>
  </si>
  <si>
    <t>591 ft</t>
  </si>
  <si>
    <t>MOR&lt;USA-IL&gt;: Garner, MI-MG662</t>
  </si>
  <si>
    <t>0096951MOR</t>
  </si>
  <si>
    <t>A03FA31D-0FE6-47A1-966F-2A3BC58000FB</t>
  </si>
  <si>
    <t>https://swbiodiversity.org/seinet/collections/individual/index.php?occid=32903487</t>
  </si>
  <si>
    <t>SYST-MOR-0007435</t>
  </si>
  <si>
    <t>SYST-MOR-0007435_S161_1.fq.gz</t>
  </si>
  <si>
    <t>SYST-MOR-0007435_S161_2.fq.gz</t>
  </si>
  <si>
    <t>QUE002326</t>
  </si>
  <si>
    <t>MI-MG663</t>
  </si>
  <si>
    <t>Quercus (bicolor x macrocarpa)</t>
  </si>
  <si>
    <t>Quercus macrocarpa Michx.|Q. macrocarpa|Quercus (bicolor x macrocarpa)</t>
  </si>
  <si>
    <t>A.L. Hipp and G. Ribicoff|Hipp and Ribicoff</t>
  </si>
  <si>
    <t>11/1/2024|NA</t>
  </si>
  <si>
    <t>NA|molecular det</t>
  </si>
  <si>
    <t>624 ft</t>
  </si>
  <si>
    <t>MOR&lt;USA-IL&gt;: Garner, MI-MG663</t>
  </si>
  <si>
    <t>0095541MOR</t>
  </si>
  <si>
    <t>20A84D76-26E5-437E-BE82-6E5961E64433</t>
  </si>
  <si>
    <t>https://swbiodiversity.org/seinet/collections/individual/index.php?occid=32895030</t>
  </si>
  <si>
    <t>SYST-MOR-0007436</t>
  </si>
  <si>
    <t>SYST-MOR-0007436_S162_1.fq.gz</t>
  </si>
  <si>
    <t>SYST-MOR-0007436_S162_2.fq.gz</t>
  </si>
  <si>
    <t>SAMN46848379</t>
  </si>
  <si>
    <t>QUE002327</t>
  </si>
  <si>
    <t>MI-MG664</t>
  </si>
  <si>
    <r>
      <t xml:space="preserve">Upper leaves similar to </t>
    </r>
    <r>
      <rPr>
        <i/>
        <sz val="11"/>
        <color theme="1"/>
        <rFont val="Calibri"/>
        <family val="2"/>
        <scheme val="minor"/>
      </rPr>
      <t xml:space="preserve">Q. alba </t>
    </r>
    <r>
      <rPr>
        <sz val="11"/>
        <color theme="1"/>
        <rFont val="Calibri"/>
        <family val="2"/>
        <scheme val="minor"/>
      </rPr>
      <t xml:space="preserve">but lower leaves and bark look like </t>
    </r>
    <r>
      <rPr>
        <i/>
        <sz val="11"/>
        <color theme="1"/>
        <rFont val="Calibri"/>
        <family val="2"/>
        <scheme val="minor"/>
      </rPr>
      <t>Q. macrocarpa</t>
    </r>
  </si>
  <si>
    <t>598 ft</t>
  </si>
  <si>
    <t>MOR&lt;USA-IL&gt;: Garner, MI-MG664</t>
  </si>
  <si>
    <t>0096952MOR</t>
  </si>
  <si>
    <t>7EB97FC2-642F-47CC-9B99-9ADB233E3EE3</t>
  </si>
  <si>
    <t>https://swbiodiversity.org/seinet/collections/individual/index.php?occid=32901713</t>
  </si>
  <si>
    <t>SYST-MOR-0007437</t>
  </si>
  <si>
    <t>SYST-MOR-0007437_S163_1.fq.gz</t>
  </si>
  <si>
    <t>SYST-MOR-0007437_S163_2.fq.gz</t>
  </si>
  <si>
    <t>QUE002328</t>
  </si>
  <si>
    <t>MI-MG665</t>
  </si>
  <si>
    <t>Ed Donnelly Trail entrance</t>
  </si>
  <si>
    <t>573 ft</t>
  </si>
  <si>
    <t>MOR&lt;USA-IL&gt;: Garner, MI-MG665</t>
  </si>
  <si>
    <t>0096953MOR</t>
  </si>
  <si>
    <t>46B62892-F097-47C9-831C-D327053F1909</t>
  </si>
  <si>
    <t>https://swbiodiversity.org/seinet/collections/individual/index.php?occid=32897644</t>
  </si>
  <si>
    <t>SYST-MOR-0007438</t>
  </si>
  <si>
    <t>SYST-MOR-0007438_S164_1.fq.gz</t>
  </si>
  <si>
    <t>SYST-MOR-0007438_S164_2.fq.gz</t>
  </si>
  <si>
    <t>QUE002329</t>
  </si>
  <si>
    <t>MI-MG666</t>
  </si>
  <si>
    <t>Ed Donnelly Trail</t>
  </si>
  <si>
    <t>561 ft</t>
  </si>
  <si>
    <t>MOR&lt;USA-IL&gt;: Garner, MI-MG666</t>
  </si>
  <si>
    <t>0096954MOR</t>
  </si>
  <si>
    <t>88E0D79E-A587-48DB-8B83-939623DFAFAD</t>
  </si>
  <si>
    <t>https://swbiodiversity.org/seinet/collections/individual/index.php?occid=32901870</t>
  </si>
  <si>
    <t>SYST-MOR-0007439</t>
  </si>
  <si>
    <t>SYST-MOR-0007439_S165_1.fq.gz</t>
  </si>
  <si>
    <t>SYST-MOR-0007439_S165_2.fq.gz</t>
  </si>
  <si>
    <t>QUE002330</t>
  </si>
  <si>
    <t>MI-MG667</t>
  </si>
  <si>
    <t>558 ft</t>
  </si>
  <si>
    <t>MOR&lt;USA-IL&gt;: Garner, MI-MG667</t>
  </si>
  <si>
    <t>0096955MOR</t>
  </si>
  <si>
    <t>26F9D5B8-54F1-44A5-B5AA-0FED6F054B00</t>
  </si>
  <si>
    <t>https://swbiodiversity.org/seinet/collections/individual/index.php?occid=32894984</t>
  </si>
  <si>
    <t>SYST-MOR-0007440</t>
  </si>
  <si>
    <t>SYST-MOR-0007440_S166_1.fq.gz</t>
  </si>
  <si>
    <t>SYST-MOR-0007440_S166_2.fq.gz</t>
  </si>
  <si>
    <t>QUE002331</t>
  </si>
  <si>
    <t>MI-MG668</t>
  </si>
  <si>
    <t>620 ft</t>
  </si>
  <si>
    <t>MOR&lt;USA-IL&gt;: Garner, MI-MG668</t>
  </si>
  <si>
    <t>0096956MOR</t>
  </si>
  <si>
    <t>CD00C001-1AC0-4D38-949B-90086C61C8F8</t>
  </si>
  <si>
    <t>https://swbiodiversity.org/seinet/collections/individual/index.php?occid=32890797</t>
  </si>
  <si>
    <t>SYST-MOR-0007441</t>
  </si>
  <si>
    <t>SYST-MOR-0007441_S167_1.fq.gz</t>
  </si>
  <si>
    <t>SYST-MOR-0007441_S167_2.fq.gz</t>
  </si>
  <si>
    <t>SAMN46848380</t>
  </si>
  <si>
    <t>QUE002332</t>
  </si>
  <si>
    <t>MI-MG669</t>
  </si>
  <si>
    <t>610 ft</t>
  </si>
  <si>
    <t>MOR&lt;USA-IL&gt;: Garner, MI-MG669</t>
  </si>
  <si>
    <t>0096957MOR</t>
  </si>
  <si>
    <t>C4DA7E9D-3D15-46AF-A784-AEB7FA546C6A</t>
  </si>
  <si>
    <t>https://swbiodiversity.org/seinet/collections/individual/index.php?occid=32890305</t>
  </si>
  <si>
    <t>SYST-MOR-0007442</t>
  </si>
  <si>
    <t>SYST-MOR-0007442_S168_1.fq.gz</t>
  </si>
  <si>
    <t>SYST-MOR-0007442_S168_2.fq.gz</t>
  </si>
  <si>
    <t>QUE002333</t>
  </si>
  <si>
    <t>MI-MG670</t>
  </si>
  <si>
    <t>By cabins</t>
  </si>
  <si>
    <t>606 ft</t>
  </si>
  <si>
    <t>MOR&lt;USA-IL&gt;: Garner, MI-MG670</t>
  </si>
  <si>
    <t>0096958MOR</t>
  </si>
  <si>
    <t>7DAB346D-18B4-4725-8D35-5F04F74238A9</t>
  </si>
  <si>
    <t>https://swbiodiversity.org/seinet/collections/individual/index.php?occid=32900368</t>
  </si>
  <si>
    <t>SYST-MOR-0007443</t>
  </si>
  <si>
    <t>SYST-MOR-0007443_S169_1.fq.gz</t>
  </si>
  <si>
    <t>SYST-MOR-0007443_S169_2.fq.gz</t>
  </si>
  <si>
    <t>QUE002334</t>
  </si>
  <si>
    <t>MI-MG671</t>
  </si>
  <si>
    <t>595 ft</t>
  </si>
  <si>
    <t>MOR&lt;USA-IL&gt;: Garner, MI-MG671</t>
  </si>
  <si>
    <t>0096959MOR</t>
  </si>
  <si>
    <t>921A2EB3-FA3D-4501-A3E7-BFFDE44D0F9E</t>
  </si>
  <si>
    <t>https://swbiodiversity.org/seinet/collections/individual/index.php?occid=32902111</t>
  </si>
  <si>
    <t>SYST-MOR-0007444</t>
  </si>
  <si>
    <t>SYST-MOR-0007444_S170_1.fq.gz</t>
  </si>
  <si>
    <t>SYST-MOR-0007444_S170_2.fq.gz</t>
  </si>
  <si>
    <t>QUE002335</t>
  </si>
  <si>
    <t>MI-MG672</t>
  </si>
  <si>
    <t>580 ft</t>
  </si>
  <si>
    <t>MOR&lt;USA-IL&gt;: Garner, MI-MG672</t>
  </si>
  <si>
    <t>0096960MOR</t>
  </si>
  <si>
    <t>48B87C1F-6756-4C8A-A572-7A803DEDFBE6</t>
  </si>
  <si>
    <t>https://swbiodiversity.org/seinet/collections/individual/index.php?occid=32896926</t>
  </si>
  <si>
    <t>SYST-MOR-0007445</t>
  </si>
  <si>
    <t>SYST-MOR-0007445_S171_1.fq.gz</t>
  </si>
  <si>
    <t>SYST-MOR-0007445_S171_2.fq.gz</t>
  </si>
  <si>
    <t>SAMN46848381</t>
  </si>
  <si>
    <t>QUE002424</t>
  </si>
  <si>
    <t>MN-MG761</t>
  </si>
  <si>
    <t>Mira Garner</t>
  </si>
  <si>
    <t>Minnesota</t>
  </si>
  <si>
    <t>Le Sueur</t>
  </si>
  <si>
    <t>Ottawa Bluffs</t>
  </si>
  <si>
    <t>Oak grove in hilltop prairie</t>
  </si>
  <si>
    <t>Sumac, solidago, lespedeza, Sorghastrum nutans</t>
  </si>
  <si>
    <t>865 ft</t>
  </si>
  <si>
    <t>MOR&lt;USA-IL&gt;: Garner, MN-MG761</t>
  </si>
  <si>
    <t>0097267MOR</t>
  </si>
  <si>
    <t>9C6EC3DC-B9A3-4065-B5C9-CC236D2DEC3D</t>
  </si>
  <si>
    <t>https://swbiodiversity.org/seinet/collections/individual/index.php?occid=32902733</t>
  </si>
  <si>
    <t>SYST-MOR-0007446</t>
  </si>
  <si>
    <t>SYST-MOR-0007446_S172_1.fq.gz</t>
  </si>
  <si>
    <t>SYST-MOR-0007446_S172_2.fq.gz</t>
  </si>
  <si>
    <t>SAMN46848421</t>
  </si>
  <si>
    <t>QUE002425</t>
  </si>
  <si>
    <t>MN-MG762</t>
  </si>
  <si>
    <t>MOR&lt;USA-IL&gt;: Garner, MN-MG762</t>
  </si>
  <si>
    <t>186381</t>
  </si>
  <si>
    <t>0097239MOR</t>
  </si>
  <si>
    <t>75F2EB04-2E10-474B-9232-409164C1CF6F</t>
  </si>
  <si>
    <t>https://swbiodiversity.org/seinet/collections/individual/index.php?occid=32900264</t>
  </si>
  <si>
    <t>SYST-MOR-0007447</t>
  </si>
  <si>
    <t>SYST-MOR-0007447_S173_1.fq.gz</t>
  </si>
  <si>
    <t>SYST-MOR-0007447_S173_2.fq.gz</t>
  </si>
  <si>
    <t>QUE002426</t>
  </si>
  <si>
    <t>MN-MG763</t>
  </si>
  <si>
    <t>MOR&lt;USA-IL&gt;: Garner, MN-MG763</t>
  </si>
  <si>
    <t>186092</t>
  </si>
  <si>
    <t>0096989MOR</t>
  </si>
  <si>
    <t>692E1D77-815B-4636-A528-6548E87BB015</t>
  </si>
  <si>
    <t>https://swbiodiversity.org/seinet/collections/individual/index.php?occid=32899980</t>
  </si>
  <si>
    <t>SYST-MOR-0007448</t>
  </si>
  <si>
    <t>SYST-MOR-0007448_S174_1.fq.gz</t>
  </si>
  <si>
    <t>SYST-MOR-0007448_S174_2.fq.gz</t>
  </si>
  <si>
    <t>QUE002427</t>
  </si>
  <si>
    <t>MN-MG764</t>
  </si>
  <si>
    <t>G. Ribicoff</t>
  </si>
  <si>
    <t>MOR&lt;USA-IL&gt;: Garner, MN-MG764</t>
  </si>
  <si>
    <t>0097240MOR</t>
  </si>
  <si>
    <t>A07E06E2-BA6A-4FA2-BAA3-B6BD113DD0C8</t>
  </si>
  <si>
    <t>https://swbiodiversity.org/seinet/collections/individual/index.php?occid=32903509</t>
  </si>
  <si>
    <t>SYST-MOR-0007449</t>
  </si>
  <si>
    <t>SYST-MOR-0007449_S175_1.fq.gz</t>
  </si>
  <si>
    <t>SYST-MOR-0007449_S175_2.fq.gz</t>
  </si>
  <si>
    <t>SAMN46848422</t>
  </si>
  <si>
    <t>QUE002428</t>
  </si>
  <si>
    <t>MN-MG765</t>
  </si>
  <si>
    <t>869 ft</t>
  </si>
  <si>
    <t>MOR&lt;USA-IL&gt;: Garner, MN-MG765</t>
  </si>
  <si>
    <t>186432</t>
  </si>
  <si>
    <t>0097367MOR</t>
  </si>
  <si>
    <t>74ACCC0B-CAC2-464A-89FF-96D1E3971BE4</t>
  </si>
  <si>
    <t>https://swbiodiversity.org/seinet/collections/individual/index.php?occid=32901531</t>
  </si>
  <si>
    <t>SYST-MOR-0007450</t>
  </si>
  <si>
    <t>SYST-MOR-0007450_S176_1.fq.gz</t>
  </si>
  <si>
    <t>SYST-MOR-0007450_S176_2.fq.gz</t>
  </si>
  <si>
    <t>QUE002429</t>
  </si>
  <si>
    <t>MN-MG766</t>
  </si>
  <si>
    <t>MOR&lt;USA-IL&gt;: Garner, MN-MG766</t>
  </si>
  <si>
    <t>186093</t>
  </si>
  <si>
    <t>0096990MOR</t>
  </si>
  <si>
    <t>ADBCA844-B1F1-4DCD-BB6D-CCE0E3900579</t>
  </si>
  <si>
    <t>https://swbiodiversity.org/seinet/collections/individual/index.php?occid=32889011</t>
  </si>
  <si>
    <t>SYST-MOR-0007451</t>
  </si>
  <si>
    <t>SYST-MOR-0007451_S177_1.fq.gz</t>
  </si>
  <si>
    <t>SYST-MOR-0007451_S177_2.fq.gz</t>
  </si>
  <si>
    <t>QUE002430</t>
  </si>
  <si>
    <t>MN-MG767</t>
  </si>
  <si>
    <t>MOR&lt;USA-IL&gt;: Garner, MN-MG767</t>
  </si>
  <si>
    <t>0096991MOR</t>
  </si>
  <si>
    <t>0AF01072-46E4-4786-AC7B-75D2C35DA04B</t>
  </si>
  <si>
    <t>https://swbiodiversity.org/seinet/collections/individual/index.php?occid=32893605</t>
  </si>
  <si>
    <t>SYST-MOR-0007452</t>
  </si>
  <si>
    <t>SYST-MOR-0007452_S178_1.fq.gz</t>
  </si>
  <si>
    <t>SYST-MOR-0007452_S178_2.fq.gz</t>
  </si>
  <si>
    <t>SAMN46848423</t>
  </si>
  <si>
    <t>QUE002431</t>
  </si>
  <si>
    <t>MN-MG768</t>
  </si>
  <si>
    <t>MOR&lt;USA-IL&gt;: Garner, MN-MG768</t>
  </si>
  <si>
    <t>186095</t>
  </si>
  <si>
    <t>0096992MOR</t>
  </si>
  <si>
    <t>0D3899BE-F050-410F-9066-B2F3B590CAB4</t>
  </si>
  <si>
    <t>https://swbiodiversity.org/seinet/collections/individual/index.php?occid=32893714</t>
  </si>
  <si>
    <t>SYST-MOR-0007453</t>
  </si>
  <si>
    <t>SYST-MOR-0007453_S179_1.fq.gz</t>
  </si>
  <si>
    <t>SYST-MOR-0007453_S179_2.fq.gz</t>
  </si>
  <si>
    <t>QUE002432</t>
  </si>
  <si>
    <t>MN-MG769</t>
  </si>
  <si>
    <t>857 ft</t>
  </si>
  <si>
    <t>MOR&lt;USA-IL&gt;: Garner, MN-MG769</t>
  </si>
  <si>
    <t>186427</t>
  </si>
  <si>
    <t>0097366MOR</t>
  </si>
  <si>
    <t>FEF9C4C0-AE3B-4176-94E1-A95E8D394E76</t>
  </si>
  <si>
    <t>https://swbiodiversity.org/seinet/collections/individual/index.php?occid=32893359</t>
  </si>
  <si>
    <t>SYST-MOR-0007454</t>
  </si>
  <si>
    <t>SYST-MOR-0007454_S180_1.fq.gz</t>
  </si>
  <si>
    <t>SYST-MOR-0007454_S180_2.fq.gz</t>
  </si>
  <si>
    <t>QUE002433</t>
  </si>
  <si>
    <t>MN-MG770</t>
  </si>
  <si>
    <t>Stearns</t>
  </si>
  <si>
    <t>Quarry Park State Natural Area, Waite Park</t>
  </si>
  <si>
    <t>Oak woods</t>
  </si>
  <si>
    <t>1114 ft</t>
  </si>
  <si>
    <t>MOR&lt;USA-IL&gt;: Garner, MN-MG770</t>
  </si>
  <si>
    <t>0096964MOR</t>
  </si>
  <si>
    <t>F511DC0E-F76E-4DE0-A4E3-A76E3B251C1D</t>
  </si>
  <si>
    <t>https://swbiodiversity.org/seinet/collections/individual/index.php?occid=32892653</t>
  </si>
  <si>
    <t>SYST-MOR-0007455</t>
  </si>
  <si>
    <t>SYST-MOR-0007455_S181_1.fq.gz</t>
  </si>
  <si>
    <t>SYST-MOR-0007455_S181_2.fq.gz</t>
  </si>
  <si>
    <t>SAMN46848424</t>
  </si>
  <si>
    <t>QUE002434</t>
  </si>
  <si>
    <t>MN-MG771</t>
  </si>
  <si>
    <t>1193 ft</t>
  </si>
  <si>
    <t>MOR&lt;USA-IL&gt;: Garner, MN-MG771</t>
  </si>
  <si>
    <t>186096</t>
  </si>
  <si>
    <t>0097065MOR</t>
  </si>
  <si>
    <t>DD2561F0-A069-44D6-8621-CA8BAB21F0DE</t>
  </si>
  <si>
    <t>https://swbiodiversity.org/seinet/collections/individual/index.php?occid=32890202</t>
  </si>
  <si>
    <t>SYST-MOR-0007456</t>
  </si>
  <si>
    <t>SYST-MOR-0007456_S182_1.fq.gz</t>
  </si>
  <si>
    <t>SYST-MOR-0007456_S182_2.fq.gz</t>
  </si>
  <si>
    <t>QUE002435</t>
  </si>
  <si>
    <t>MN-MG772</t>
  </si>
  <si>
    <t>1095 ft</t>
  </si>
  <si>
    <t>MOR&lt;USA-IL&gt;: Garner, MN-MG772</t>
  </si>
  <si>
    <t>186097</t>
  </si>
  <si>
    <t>0097066MOR</t>
  </si>
  <si>
    <t>ECF076AC-A424-4D14-94DD-F15179957BBD</t>
  </si>
  <si>
    <t>https://swbiodiversity.org/seinet/collections/individual/index.php?occid=32892208</t>
  </si>
  <si>
    <t>SYST-MOR-0007457</t>
  </si>
  <si>
    <t>SYST-MOR-0007457_S183_1.fq.gz</t>
  </si>
  <si>
    <t>SYST-MOR-0007457_S183_2.fq.gz</t>
  </si>
  <si>
    <t>QUE002436</t>
  </si>
  <si>
    <t>MN-MG773</t>
  </si>
  <si>
    <t>1176 ft</t>
  </si>
  <si>
    <t>MOR&lt;USA-IL&gt;: Garner, MN-MG773</t>
  </si>
  <si>
    <t>0097067MOR</t>
  </si>
  <si>
    <t>E63FF350-ADB9-4E0D-B9E9-E1474A44775E</t>
  </si>
  <si>
    <t>https://swbiodiversity.org/seinet/collections/individual/index.php?occid=32892483</t>
  </si>
  <si>
    <t>SYST-MOR-0007458</t>
  </si>
  <si>
    <t>SYST-MOR-0007458_S184_1.fq.gz</t>
  </si>
  <si>
    <t>SYST-MOR-0007458_S184_2.fq.gz</t>
  </si>
  <si>
    <t>SAMN46848425</t>
  </si>
  <si>
    <t>QUE002437</t>
  </si>
  <si>
    <t>MN-MG774</t>
  </si>
  <si>
    <t>1145 ft</t>
  </si>
  <si>
    <t>MOR&lt;USA-IL&gt;: Garner, MN-MG774</t>
  </si>
  <si>
    <t>185881</t>
  </si>
  <si>
    <t>0096854MOR</t>
  </si>
  <si>
    <t>B55928A8-F1F4-41FC-B1FA-DD06BD70745E</t>
  </si>
  <si>
    <t>https://swbiodiversity.org/seinet/collections/individual/index.php?occid=32889122</t>
  </si>
  <si>
    <t>SYST-MOR-0007459</t>
  </si>
  <si>
    <t>SYST-MOR-0007459_S185_1.fq.gz</t>
  </si>
  <si>
    <t>SYST-MOR-0007459_S185_2.fq.gz</t>
  </si>
  <si>
    <t>QUE002438</t>
  </si>
  <si>
    <t>MN-MG775</t>
  </si>
  <si>
    <t>1159 ft</t>
  </si>
  <si>
    <t>MOR&lt;USA-IL&gt;: Garner, MN-MG775</t>
  </si>
  <si>
    <t>185923</t>
  </si>
  <si>
    <t>0096965MOR</t>
  </si>
  <si>
    <t>714AB7AA-9165-4473-9F1E-4BDB229884A2</t>
  </si>
  <si>
    <t>https://swbiodiversity.org/seinet/collections/individual/index.php?occid=32900081</t>
  </si>
  <si>
    <t>SYST-MOR-0007460</t>
  </si>
  <si>
    <t>SYST-MOR-0007460_S186_1.fq.gz</t>
  </si>
  <si>
    <t>SYST-MOR-0007460_S186_2.fq.gz</t>
  </si>
  <si>
    <t>QUE002439</t>
  </si>
  <si>
    <t>MN-MG776</t>
  </si>
  <si>
    <t>Daughter tree</t>
  </si>
  <si>
    <t>1120 ft</t>
  </si>
  <si>
    <t>MOR&lt;USA-IL&gt;: Garner, MN-MG776</t>
  </si>
  <si>
    <t>186099</t>
  </si>
  <si>
    <t>0097068MOR</t>
  </si>
  <si>
    <t>3EF84D3D-F19E-42B9-86B2-96BF34562E0A</t>
  </si>
  <si>
    <t>https://swbiodiversity.org/seinet/collections/individual/index.php?occid=32896746</t>
  </si>
  <si>
    <t>SYST-MOR-0007461</t>
  </si>
  <si>
    <t>SYST-MOR-0007461_S187_1.fq.gz</t>
  </si>
  <si>
    <t>SYST-MOR-0007461_S187_2.fq.gz</t>
  </si>
  <si>
    <t>QUE002440</t>
  </si>
  <si>
    <t>MN-MG777</t>
  </si>
  <si>
    <t>Mother tree</t>
  </si>
  <si>
    <t>MOR&lt;USA-IL&gt;: Garner, MN-MG777</t>
  </si>
  <si>
    <t>186100</t>
  </si>
  <si>
    <t>0097069MOR</t>
  </si>
  <si>
    <t>C7022357-1822-45E7-817B-F349A00F35D8</t>
  </si>
  <si>
    <t>https://swbiodiversity.org/seinet/collections/individual/index.php?occid=32889752</t>
  </si>
  <si>
    <t>SYST-MOR-0007462</t>
  </si>
  <si>
    <t>SYST-MOR-0007462_S188_1.fq.gz</t>
  </si>
  <si>
    <t>SYST-MOR-0007462_S188_2.fq.gz</t>
  </si>
  <si>
    <t>QUE002441</t>
  </si>
  <si>
    <t>MN-MG778</t>
  </si>
  <si>
    <t>Rocky outcrop</t>
  </si>
  <si>
    <t>Andropogon gerardii, Allium, Poa compressa, Amorpha canescens</t>
  </si>
  <si>
    <t>1127 ft</t>
  </si>
  <si>
    <t>MOR&lt;USA-IL&gt;: Garner, MN-MG778</t>
  </si>
  <si>
    <t>186101</t>
  </si>
  <si>
    <t>0097070MOR</t>
  </si>
  <si>
    <t>6CDE47B5-AEA9-40B8-89AC-18DB206189F1</t>
  </si>
  <si>
    <t>https://swbiodiversity.org/seinet/collections/individual/index.php?occid=32900023</t>
  </si>
  <si>
    <t>SYST-MOR-0007463</t>
  </si>
  <si>
    <t>SYST-MOR-0007463_S189_1.fq.gz</t>
  </si>
  <si>
    <t>SYST-MOR-0007463_S189_2.fq.gz</t>
  </si>
  <si>
    <t>QUE002442</t>
  </si>
  <si>
    <t>MN-MG779</t>
  </si>
  <si>
    <t>1153 ft</t>
  </si>
  <si>
    <t>MOR&lt;USA-IL&gt;: Garner, MN-MG779</t>
  </si>
  <si>
    <t>186102</t>
  </si>
  <si>
    <t>0097071MOR</t>
  </si>
  <si>
    <t>3D389F74-5024-4082-83EF-4F5338D171C4</t>
  </si>
  <si>
    <t>https://swbiodiversity.org/seinet/collections/individual/index.php?occid=32896094</t>
  </si>
  <si>
    <t>SYST-MOR-0007464</t>
  </si>
  <si>
    <t>SYST-MOR-0007464_S190_1.fq.gz</t>
  </si>
  <si>
    <t>SYST-MOR-0007464_S190_2.fq.gz</t>
  </si>
  <si>
    <t>QUE002443</t>
  </si>
  <si>
    <t>MN-MG780</t>
  </si>
  <si>
    <t>1147 ft</t>
  </si>
  <si>
    <t>MOR&lt;USA-IL&gt;: Garner, MN-MG780</t>
  </si>
  <si>
    <t>0097072MOR</t>
  </si>
  <si>
    <t>E132025C-9DD9-4781-91A4-39BCA6C88ADD</t>
  </si>
  <si>
    <t>https://swbiodiversity.org/seinet/collections/individual/index.php?occid=32892464</t>
  </si>
  <si>
    <t>SYST-MOR-0007465</t>
  </si>
  <si>
    <t>SYST-MOR-0007465_S191_1.fq.gz</t>
  </si>
  <si>
    <t>SYST-MOR-0007465_S191_2.fq.gz</t>
  </si>
  <si>
    <t>SAMN46848426</t>
  </si>
  <si>
    <t>QUE002460</t>
  </si>
  <si>
    <t>OH-MG797</t>
  </si>
  <si>
    <t>Mira Garner, Lindsey Worcester</t>
  </si>
  <si>
    <t>Ohio</t>
  </si>
  <si>
    <t>Champaign</t>
  </si>
  <si>
    <t>Pearl King Savanna</t>
  </si>
  <si>
    <t>Bur oak savanna</t>
  </si>
  <si>
    <t>Toxicodendron radicans, Solidago canadensis, Sorghastrum nutans, Andropogon gerardii, Rosa, Vicia, Ratibida pinnata</t>
  </si>
  <si>
    <t>1015 ft</t>
  </si>
  <si>
    <t>MOR&lt;USA-IL&gt;: Garner, OH-MG797</t>
  </si>
  <si>
    <t>0097080MOR</t>
  </si>
  <si>
    <t>EB6B7720-BB94-4A2C-B9CC-BF95C119598C</t>
  </si>
  <si>
    <t>https://swbiodiversity.org/seinet/collections/individual/index.php?occid=32892563</t>
  </si>
  <si>
    <t>SYST-MOR-0007466</t>
  </si>
  <si>
    <t>SYST-MOR-0007466_S192_1.fq.gz</t>
  </si>
  <si>
    <t>SYST-MOR-0007466_S192_2.fq.gz</t>
  </si>
  <si>
    <t>SAMN46848433</t>
  </si>
  <si>
    <t>QUE002461</t>
  </si>
  <si>
    <t>OH-MG798</t>
  </si>
  <si>
    <t>1058 ft</t>
  </si>
  <si>
    <t>MOR&lt;USA-IL&gt;: Garner, OH-MG798</t>
  </si>
  <si>
    <t>185927</t>
  </si>
  <si>
    <t>0096969MOR</t>
  </si>
  <si>
    <t>264E0B31-964E-49B1-AA82-C54C7F87502C</t>
  </si>
  <si>
    <t>https://swbiodiversity.org/seinet/collections/individual/index.php?occid=32894813</t>
  </si>
  <si>
    <t>SYST-MOR-0007467</t>
  </si>
  <si>
    <t>SYST-MOR-0007467_S193_1.fq.gz</t>
  </si>
  <si>
    <t>SYST-MOR-0007467_S193_2.fq.gz</t>
  </si>
  <si>
    <t>QUE002462</t>
  </si>
  <si>
    <t>OH-MG799</t>
  </si>
  <si>
    <t>1056 ft</t>
  </si>
  <si>
    <t>MOR&lt;USA-IL&gt;: Garner, OH-MG799</t>
  </si>
  <si>
    <t>185928</t>
  </si>
  <si>
    <t>0096970MOR</t>
  </si>
  <si>
    <t>86697B3C-B259-4338-A889-064F431B60EB</t>
  </si>
  <si>
    <t>https://swbiodiversity.org/seinet/collections/individual/index.php?occid=32901355</t>
  </si>
  <si>
    <t>SYST-MOR-0007468</t>
  </si>
  <si>
    <t>SYST-MOR-0007468_S194_1.fq.gz</t>
  </si>
  <si>
    <t>SYST-MOR-0007468_S194_2.fq.gz</t>
  </si>
  <si>
    <t>QUE002463</t>
  </si>
  <si>
    <t>OH-MG800</t>
  </si>
  <si>
    <t>1048 ft</t>
  </si>
  <si>
    <t>MOR&lt;USA-IL&gt;: Garner, OH-MG800</t>
  </si>
  <si>
    <t>0097272MOR</t>
  </si>
  <si>
    <t>A001F4C2-41D2-4C54-97A8-9464A87855F8</t>
  </si>
  <si>
    <t>https://swbiodiversity.org/seinet/collections/individual/index.php?occid=32903470</t>
  </si>
  <si>
    <t>SYST-MOR-0007469</t>
  </si>
  <si>
    <t>SYST-MOR-0007469_S195_1.fq.gz</t>
  </si>
  <si>
    <t>SYST-MOR-0007469_S195_2.fq.gz</t>
  </si>
  <si>
    <t>SAMN46848434</t>
  </si>
  <si>
    <t>QUE002464</t>
  </si>
  <si>
    <t>OH-MG801</t>
  </si>
  <si>
    <t>1062 ft</t>
  </si>
  <si>
    <t>MOR&lt;USA-IL&gt;: Garner, OH-MG801</t>
  </si>
  <si>
    <t>186112</t>
  </si>
  <si>
    <t>0097081MOR</t>
  </si>
  <si>
    <t>EF1D0A3D-B0EB-40A9-A8EC-8CC45FC266C3</t>
  </si>
  <si>
    <t>https://swbiodiversity.org/seinet/collections/individual/index.php?occid=32892953</t>
  </si>
  <si>
    <t>SYST-MOR-0007470</t>
  </si>
  <si>
    <t>SYST-MOR-0007470_S196_1.fq.gz</t>
  </si>
  <si>
    <t>SYST-MOR-0007470_S196_2.fq.gz</t>
  </si>
  <si>
    <t>QUE002465</t>
  </si>
  <si>
    <t>OH-MG802</t>
  </si>
  <si>
    <t>1054 ft</t>
  </si>
  <si>
    <t>MOR&lt;USA-IL&gt;: Garner, OH-MG802</t>
  </si>
  <si>
    <t>186412</t>
  </si>
  <si>
    <t>0097273MOR</t>
  </si>
  <si>
    <t>EA169EE3-A75F-4F1C-8D82-33D4A87A2007</t>
  </si>
  <si>
    <t>https://swbiodiversity.org/seinet/collections/individual/index.php?occid=32891734</t>
  </si>
  <si>
    <t>SYST-MOR-0007471</t>
  </si>
  <si>
    <t>SYST-MOR-0007471_S197_1.fq.gz</t>
  </si>
  <si>
    <t>SYST-MOR-0007471_S197_2.fq.gz</t>
  </si>
  <si>
    <t>QUE002466</t>
  </si>
  <si>
    <t>OH-MG803</t>
  </si>
  <si>
    <t>1065 ft</t>
  </si>
  <si>
    <t>MOR&lt;USA-IL&gt;: Garner, OH-MG803</t>
  </si>
  <si>
    <t>186113</t>
  </si>
  <si>
    <t>0097082MOR</t>
  </si>
  <si>
    <t>610851C6-8EF7-444F-AD1F-1B9B92A46C2B</t>
  </si>
  <si>
    <t>https://swbiodiversity.org/seinet/collections/individual/index.php?occid=32899842</t>
  </si>
  <si>
    <t>SYST-MOR-0007472</t>
  </si>
  <si>
    <t>SYST-MOR-0007472_S198_1.fq.gz</t>
  </si>
  <si>
    <t>SYST-MOR-0007472_S198_2.fq.gz</t>
  </si>
  <si>
    <t>QUE002467</t>
  </si>
  <si>
    <t>OH-MG804</t>
  </si>
  <si>
    <t>1063 ft</t>
  </si>
  <si>
    <t>MOR&lt;USA-IL&gt;: Garner, OH-MG804</t>
  </si>
  <si>
    <t>0097274MOR</t>
  </si>
  <si>
    <t>F3355FD3-796A-4820-95F0-793A5E7FA796</t>
  </si>
  <si>
    <t>https://swbiodiversity.org/seinet/collections/individual/index.php?occid=32892309</t>
  </si>
  <si>
    <t>SYST-MOR-0007473</t>
  </si>
  <si>
    <t>SYST-MOR-0007473_S199_1.fq.gz</t>
  </si>
  <si>
    <t>SYST-MOR-0007473_S199_2.fq.gz</t>
  </si>
  <si>
    <t>SAMN46848435</t>
  </si>
  <si>
    <t>QUE002468</t>
  </si>
  <si>
    <t>OH-MG805</t>
  </si>
  <si>
    <t>MOR&lt;USA-IL&gt;: Garner, OH-MG805</t>
  </si>
  <si>
    <t>186414</t>
  </si>
  <si>
    <t>0097275MOR</t>
  </si>
  <si>
    <t>65BB5FED-EB06-4BF7-9966-E84D4D82E8BF</t>
  </si>
  <si>
    <t>https://swbiodiversity.org/seinet/collections/individual/index.php?occid=32899038</t>
  </si>
  <si>
    <t>SYST-MOR-0007474</t>
  </si>
  <si>
    <t>SYST-MOR-0007474_S200_1.fq.gz</t>
  </si>
  <si>
    <t>SYST-MOR-0007474_S200_2.fq.gz</t>
  </si>
  <si>
    <t>QUE002469</t>
  </si>
  <si>
    <t>OH-MG806</t>
  </si>
  <si>
    <t>1061 ft</t>
  </si>
  <si>
    <t>MOR&lt;USA-IL&gt;: Garner, OH-MG806</t>
  </si>
  <si>
    <t>185961</t>
  </si>
  <si>
    <t>0096971MOR</t>
  </si>
  <si>
    <t>812E66D4-E2AD-4A7E-9250-F02C9D89B825</t>
  </si>
  <si>
    <t>https://swbiodiversity.org/seinet/collections/individual/index.php?occid=32900398</t>
  </si>
  <si>
    <t>SYST-MOR-0007475</t>
  </si>
  <si>
    <t>SYST-MOR-0007475_S201_1.fq.gz</t>
  </si>
  <si>
    <t>SYST-MOR-0007475_S201_2.fq.gz</t>
  </si>
  <si>
    <t>QUE002470</t>
  </si>
  <si>
    <t>OH-MG807</t>
  </si>
  <si>
    <t>Crawford</t>
  </si>
  <si>
    <t>Daughmer Prairie Savannah State Nature Preserve</t>
  </si>
  <si>
    <t>980 ft</t>
  </si>
  <si>
    <t>MOR&lt;USA-IL&gt;: Garner, OH-MG807</t>
  </si>
  <si>
    <t>186214</t>
  </si>
  <si>
    <t>0097192MOR</t>
  </si>
  <si>
    <t>FA880A0C-9B76-4AFD-96D2-4447BBB3A23E</t>
  </si>
  <si>
    <t>https://swbiodiversity.org/seinet/collections/individual/index.php?occid=32893143</t>
  </si>
  <si>
    <t>SYST-MOR-0007476</t>
  </si>
  <si>
    <t>SYST-MOR-0007476_S202_1.fq.gz</t>
  </si>
  <si>
    <t>SYST-MOR-0007476_S202_2.fq.gz</t>
  </si>
  <si>
    <t>QUE002471</t>
  </si>
  <si>
    <t>OH-MG808</t>
  </si>
  <si>
    <t>985 ft</t>
  </si>
  <si>
    <t>MOR&lt;USA-IL&gt;: Garner, OH-MG808</t>
  </si>
  <si>
    <t>0097276MOR</t>
  </si>
  <si>
    <t>84047CF3-B5B3-44F8-9273-60823A417A76</t>
  </si>
  <si>
    <t>https://swbiodiversity.org/seinet/collections/individual/index.php?occid=32900463</t>
  </si>
  <si>
    <t>SYST-MOR-0007477</t>
  </si>
  <si>
    <t>SYST-MOR-0007477_S203_1.fq.gz</t>
  </si>
  <si>
    <t>SYST-MOR-0007477_S203_2.fq.gz</t>
  </si>
  <si>
    <t>SAMN46848436</t>
  </si>
  <si>
    <t>QUE002472</t>
  </si>
  <si>
    <t>OH-MG809</t>
  </si>
  <si>
    <t>979 ft</t>
  </si>
  <si>
    <t>MOR&lt;USA-IL&gt;: Garner, OH-MG809</t>
  </si>
  <si>
    <t>186215</t>
  </si>
  <si>
    <t>0097193MOR</t>
  </si>
  <si>
    <t>B052DC57-CCB2-48EC-B85A-3BD9CCFE55C8</t>
  </si>
  <si>
    <t>https://swbiodiversity.org/seinet/collections/individual/index.php?occid=32903937</t>
  </si>
  <si>
    <t>SYST-MOR-0007478</t>
  </si>
  <si>
    <t>SYST-MOR-0007478_S204_1.fq.gz</t>
  </si>
  <si>
    <t>SYST-MOR-0007478_S204_2.fq.gz</t>
  </si>
  <si>
    <t>QUE002473</t>
  </si>
  <si>
    <t>OH-MG810</t>
  </si>
  <si>
    <t>MOR&lt;USA-IL&gt;: Garner, OH-MG810</t>
  </si>
  <si>
    <t>186216</t>
  </si>
  <si>
    <t>0097194MOR</t>
  </si>
  <si>
    <t>BA841973-CE1E-465C-9A27-1255B6ABCD3E</t>
  </si>
  <si>
    <t>https://swbiodiversity.org/seinet/collections/individual/index.php?occid=32904097</t>
  </si>
  <si>
    <t>SYST-MOR-0007479</t>
  </si>
  <si>
    <t>SYST-MOR-0007479_S205_1.fq.gz</t>
  </si>
  <si>
    <t>SYST-MOR-0007479_S205_2.fq.gz</t>
  </si>
  <si>
    <t>QUE002474</t>
  </si>
  <si>
    <t>OH-MG811</t>
  </si>
  <si>
    <t>MOR&lt;USA-IL&gt;: Garner, OH-MG811</t>
  </si>
  <si>
    <t>0097277MOR</t>
  </si>
  <si>
    <t>D5981EF1-129F-4E82-AA8A-90EA9F78FD43</t>
  </si>
  <si>
    <t>https://swbiodiversity.org/seinet/collections/individual/index.php?occid=32890563</t>
  </si>
  <si>
    <t>SYST-MOR-0007480</t>
  </si>
  <si>
    <t>SYST-MOR-0007480_S206_1.fq.gz</t>
  </si>
  <si>
    <t>SYST-MOR-0007480_S206_2.fq.gz</t>
  </si>
  <si>
    <t>SAMN46848437</t>
  </si>
  <si>
    <t>QUE002475</t>
  </si>
  <si>
    <t>OH-MG812</t>
  </si>
  <si>
    <t>969 ft</t>
  </si>
  <si>
    <t>MOR&lt;USA-IL&gt;: Garner, OH-MG812</t>
  </si>
  <si>
    <t>186417</t>
  </si>
  <si>
    <t>0097278MOR</t>
  </si>
  <si>
    <t>B7BC9B43-DE8B-46B2-A4EB-89F424743151</t>
  </si>
  <si>
    <t>https://swbiodiversity.org/seinet/collections/individual/index.php?occid=32903749</t>
  </si>
  <si>
    <t>SYST-MOR-0007481</t>
  </si>
  <si>
    <t>SYST-MOR-0007481_S207_1.fq.gz</t>
  </si>
  <si>
    <t>SYST-MOR-0007481_S207_2.fq.gz</t>
  </si>
  <si>
    <t>QUE002476</t>
  </si>
  <si>
    <t>OH-MG813</t>
  </si>
  <si>
    <t>964 ft</t>
  </si>
  <si>
    <t>MOR&lt;USA-IL&gt;: Garner, OH-MG813</t>
  </si>
  <si>
    <t>186217</t>
  </si>
  <si>
    <t>0097195MOR</t>
  </si>
  <si>
    <t>DD30E37F-4967-48FB-B524-1E0C74E723FA</t>
  </si>
  <si>
    <t>https://swbiodiversity.org/seinet/collections/individual/index.php?occid=32890206</t>
  </si>
  <si>
    <t>SYST-MOR-0007482</t>
  </si>
  <si>
    <t>SYST-MOR-0007482_S208_1.fq.gz</t>
  </si>
  <si>
    <t>SYST-MOR-0007482_S208_2.fq.gz</t>
  </si>
  <si>
    <t>QUE002477</t>
  </si>
  <si>
    <t>OH-MG814</t>
  </si>
  <si>
    <t>976 ft</t>
  </si>
  <si>
    <t>MOR&lt;USA-IL&gt;: Garner, OH-MG814</t>
  </si>
  <si>
    <t>186418</t>
  </si>
  <si>
    <t>0097279MOR</t>
  </si>
  <si>
    <t>CAC16C9D-8424-46AA-B321-6F116295B3C6</t>
  </si>
  <si>
    <t>https://swbiodiversity.org/seinet/collections/individual/index.php?occid=32889999</t>
  </si>
  <si>
    <t>SYST-MOR-0007483</t>
  </si>
  <si>
    <t>SYST-MOR-0007483_S209_1.fq.gz</t>
  </si>
  <si>
    <t>SYST-MOR-0007483_S209_2.fq.gz</t>
  </si>
  <si>
    <t>QUE002478</t>
  </si>
  <si>
    <t>OH-MG815</t>
  </si>
  <si>
    <t>977 ft</t>
  </si>
  <si>
    <t>MOR&lt;USA-IL&gt;: Garner, OH-MG815</t>
  </si>
  <si>
    <t>0096972MOR</t>
  </si>
  <si>
    <t>F776166E-FBEE-4182-B7F5-02698E87ABD6</t>
  </si>
  <si>
    <t>https://swbiodiversity.org/seinet/collections/individual/index.php?occid=32892393</t>
  </si>
  <si>
    <t>SYST-MOR-0007484</t>
  </si>
  <si>
    <t>SYST-MOR-0007484_S210_1.fq.gz</t>
  </si>
  <si>
    <t>SYST-MOR-0007484_S210_2.fq.gz</t>
  </si>
  <si>
    <t>SAMN46848438</t>
  </si>
  <si>
    <t>QUE002479</t>
  </si>
  <si>
    <t>OH-MG816</t>
  </si>
  <si>
    <t>MOR&lt;USA-IL&gt;: Garner, OH-MG816</t>
  </si>
  <si>
    <t>186419</t>
  </si>
  <si>
    <t>0097280MOR</t>
  </si>
  <si>
    <t>E5FEC561-F5C2-47C3-B9CB-7915B2456DF9</t>
  </si>
  <si>
    <t>https://swbiodiversity.org/seinet/collections/individual/index.php?occid=32892470</t>
  </si>
  <si>
    <t>SYST-MOR-0007485</t>
  </si>
  <si>
    <t>SYST-MOR-0007485_S211_1.fq.gz</t>
  </si>
  <si>
    <t>SYST-MOR-0007485_S211_2.fq.gz</t>
  </si>
  <si>
    <t>QUE002570</t>
  </si>
  <si>
    <t>JCB-SD-CSP-1001</t>
  </si>
  <si>
    <t>Jeannine Cavender-Bares</t>
  </si>
  <si>
    <t>CAVENDER-BARES</t>
  </si>
  <si>
    <t>South Dakota</t>
  </si>
  <si>
    <t>Custer</t>
  </si>
  <si>
    <t>Custer State Park</t>
  </si>
  <si>
    <t>Driving eastward towards Hermosa on US16 Alt-W</t>
  </si>
  <si>
    <t>growing with red pine and aspen</t>
  </si>
  <si>
    <t>8-10</t>
  </si>
  <si>
    <t>1563 m</t>
  </si>
  <si>
    <t>6575-6578</t>
  </si>
  <si>
    <t>MIN: Plants: Cavendar-Bares, JCB-SD-CSP-1001</t>
  </si>
  <si>
    <t>caa035d2-0e12-4ab9-a933-95e59fb22618</t>
  </si>
  <si>
    <t>SYST-MOR-0007486</t>
  </si>
  <si>
    <t>SYST-MOR-0007486_S212_1.fq.gz</t>
  </si>
  <si>
    <t>SYST-MOR-0007486_S212_2.fq.gz</t>
  </si>
  <si>
    <t>SAMN46848476</t>
  </si>
  <si>
    <t>QUE002571</t>
  </si>
  <si>
    <t>JCB-SD-CSP-1002</t>
  </si>
  <si>
    <t>15</t>
  </si>
  <si>
    <t>1551 m</t>
  </si>
  <si>
    <t>6581-6584</t>
  </si>
  <si>
    <t>MOR&lt;USA-IL&gt;: Cavender-Bares, JCB-SD-CSP-1002</t>
  </si>
  <si>
    <t>0096922MOR</t>
  </si>
  <si>
    <t>AD2C619D-4378-420C-A134-254407E07C65</t>
  </si>
  <si>
    <t>https://swbiodiversity.org/seinet/collections/individual/index.php?occid=32903920</t>
  </si>
  <si>
    <t>SYST-MOR-0007487</t>
  </si>
  <si>
    <t>SYST-MOR-0007487_S213_1.fq.gz</t>
  </si>
  <si>
    <t>SYST-MOR-0007487_S213_2.fq.gz</t>
  </si>
  <si>
    <t>QUE002572</t>
  </si>
  <si>
    <t>JCB-SD-CSP-1003</t>
  </si>
  <si>
    <t>10-12</t>
  </si>
  <si>
    <t>1548 m</t>
  </si>
  <si>
    <t>6585-6586</t>
  </si>
  <si>
    <t>MOR&lt;USA-IL&gt;: Cavender-Bares, JCB-SD-CSP-1003</t>
  </si>
  <si>
    <t>0096923MOR</t>
  </si>
  <si>
    <t>43322D94-FC70-45DB-8C25-99467C856C33</t>
  </si>
  <si>
    <t>https://swbiodiversity.org/seinet/collections/individual/index.php?occid=32897492</t>
  </si>
  <si>
    <t>SYST-MOR-0007488</t>
  </si>
  <si>
    <t>SYST-MOR-0007488_S214_1.fq.gz</t>
  </si>
  <si>
    <t>SYST-MOR-0007488_S214_2.fq.gz</t>
  </si>
  <si>
    <t>QUE002573</t>
  </si>
  <si>
    <t>JCB-SD-CSP-1004</t>
  </si>
  <si>
    <t>7-8</t>
  </si>
  <si>
    <t>1541 m</t>
  </si>
  <si>
    <t>6591-6592</t>
  </si>
  <si>
    <t>MOR&lt;USA-IL&gt;: Cavender-Bares, JCB-SD-CSP-1004</t>
  </si>
  <si>
    <t>0096924MOR</t>
  </si>
  <si>
    <t>2F6985B8-D278-4ED8-9FC6-CFF3902FDB64</t>
  </si>
  <si>
    <t>https://swbiodiversity.org/seinet/collections/individual/index.php?occid=32895197</t>
  </si>
  <si>
    <t>SYST-MOR-0007489</t>
  </si>
  <si>
    <t>SYST-MOR-0007489_S215_1.fq.gz</t>
  </si>
  <si>
    <t>SYST-MOR-0007489_S215_2.fq.gz</t>
  </si>
  <si>
    <t>QUE002574</t>
  </si>
  <si>
    <t>JCB-SD-CSP-1005</t>
  </si>
  <si>
    <t>1428 m</t>
  </si>
  <si>
    <t>6594-6595</t>
  </si>
  <si>
    <t>MOR&lt;USA-IL&gt;: Cavender-Bares, JCB-SD-CSP-1005</t>
  </si>
  <si>
    <t>0096925MOR</t>
  </si>
  <si>
    <t>DFAF429E-2AAF-49E6-8515-2A0694B54572</t>
  </si>
  <si>
    <t>https://swbiodiversity.org/seinet/collections/individual/index.php?occid=32891585</t>
  </si>
  <si>
    <t>SYST-MOR-0007490</t>
  </si>
  <si>
    <t>SYST-MOR-0007490_S216_1.fq.gz</t>
  </si>
  <si>
    <t>SYST-MOR-0007490_S216_2.fq.gz</t>
  </si>
  <si>
    <t>SAMN46848477</t>
  </si>
  <si>
    <t>QUE002575</t>
  </si>
  <si>
    <t>JCB-SD-CSP-1006</t>
  </si>
  <si>
    <t>8</t>
  </si>
  <si>
    <t>~1400 m</t>
  </si>
  <si>
    <t>6596-6597</t>
  </si>
  <si>
    <t>MOR&lt;USA-IL&gt;: Cavender-Bares, JCB-SD-CSP-1006</t>
  </si>
  <si>
    <t>0096926MOR</t>
  </si>
  <si>
    <t>1BD1BC10-2430-4682-9F04-C51904FFA798</t>
  </si>
  <si>
    <t>https://swbiodiversity.org/seinet/collections/individual/index.php?occid=32894326</t>
  </si>
  <si>
    <t>SYST-MOR-0007491</t>
  </si>
  <si>
    <t>SYST-MOR-0007491_S217_1.fq.gz</t>
  </si>
  <si>
    <t>SYST-MOR-0007491_S217_2.fq.gz</t>
  </si>
  <si>
    <t>QUE002576</t>
  </si>
  <si>
    <t>JCB-SD-CSP-1007</t>
  </si>
  <si>
    <t>18</t>
  </si>
  <si>
    <t>1371 m</t>
  </si>
  <si>
    <t>6598-6599</t>
  </si>
  <si>
    <t>MOR&lt;USA-IL&gt;: Cavender-Bares, JCB-SD-CSP-1007</t>
  </si>
  <si>
    <t>0096927MOR</t>
  </si>
  <si>
    <t>A29DAE19-867D-48C9-B721-2F690D36C1D3</t>
  </si>
  <si>
    <t>https://swbiodiversity.org/seinet/collections/individual/index.php?occid=32902841</t>
  </si>
  <si>
    <t>SYST-MOR-0007492</t>
  </si>
  <si>
    <t>SYST-MOR-0007492_S218_1.fq.gz</t>
  </si>
  <si>
    <t>SYST-MOR-0007492_S218_2.fq.gz</t>
  </si>
  <si>
    <t>QUE002577</t>
  </si>
  <si>
    <t>JCB-SD-CSP-1008</t>
  </si>
  <si>
    <t>15-17</t>
  </si>
  <si>
    <t>~1300 m</t>
  </si>
  <si>
    <t>6602-6603</t>
  </si>
  <si>
    <t>MOR&lt;USA-IL&gt;: Cavender-Bares, JCB-SD-CSP-1008</t>
  </si>
  <si>
    <t>0096928MOR</t>
  </si>
  <si>
    <t>F00142E5-0E3E-4299-98CB-ACFAF7200F47</t>
  </si>
  <si>
    <t>https://swbiodiversity.org/seinet/collections/individual/index.php?occid=32892283</t>
  </si>
  <si>
    <t>SYST-MOR-0007493</t>
  </si>
  <si>
    <t>SYST-MOR-0007493_S219_1.fq.gz</t>
  </si>
  <si>
    <t>SYST-MOR-0007493_S219_2.fq.gz</t>
  </si>
  <si>
    <t>QUE002578</t>
  </si>
  <si>
    <t>JCB-SD-CSP-1009</t>
  </si>
  <si>
    <t>Just east of Custer State Park driving eastward towards Hermosa on US16 Alt-W</t>
  </si>
  <si>
    <t>Ash, poison ivy</t>
  </si>
  <si>
    <t>14</t>
  </si>
  <si>
    <t>1274 m</t>
  </si>
  <si>
    <t>MOR&lt;USA-IL&gt;: Cavender-Bares, JCB-SD-CSP-1009</t>
  </si>
  <si>
    <t>0096929MOR</t>
  </si>
  <si>
    <t>73BD4F37-B75F-4A70-88C0-6668FAF8D038</t>
  </si>
  <si>
    <t>https://swbiodiversity.org/seinet/collections/individual/index.php?occid=32900654</t>
  </si>
  <si>
    <t>SYST-MOR-0007494</t>
  </si>
  <si>
    <t>SYST-MOR-0007494_S220_1.fq.gz</t>
  </si>
  <si>
    <t>SYST-MOR-0007494_S220_2.fq.gz</t>
  </si>
  <si>
    <t>QUE002579</t>
  </si>
  <si>
    <t>JCB-SD-US16-1010</t>
  </si>
  <si>
    <t>East of Custer State Park driving eastward towards Hermosa on US16 Alt-W</t>
  </si>
  <si>
    <t>60-70</t>
  </si>
  <si>
    <t>12-14</t>
  </si>
  <si>
    <t>1081 m</t>
  </si>
  <si>
    <t>6605-6606</t>
  </si>
  <si>
    <t>MOR&lt;USA-IL&gt;: Cavender-Bares, JCB-SD-US16-1010</t>
  </si>
  <si>
    <t>0096930MOR</t>
  </si>
  <si>
    <t>763BFCE1-B7A8-413D-9472-7EEB9893A9A1</t>
  </si>
  <si>
    <t>https://swbiodiversity.org/seinet/collections/individual/index.php?occid=32900683</t>
  </si>
  <si>
    <t>SYST-MOR-0007495</t>
  </si>
  <si>
    <t>SYST-MOR-0007495_S221_1.fq.gz</t>
  </si>
  <si>
    <t>SYST-MOR-0007495_S221_2.fq.gz</t>
  </si>
  <si>
    <t>SAMN46848478</t>
  </si>
  <si>
    <t>QUE002580</t>
  </si>
  <si>
    <t>JCB-SD-SPF-1011</t>
  </si>
  <si>
    <t>Lawrence</t>
  </si>
  <si>
    <t>5 miles south of Spearfish HWY 85 and Colorado Blvd</t>
  </si>
  <si>
    <t>Ash, Cottonwood</t>
  </si>
  <si>
    <t>12</t>
  </si>
  <si>
    <t>1159 m</t>
  </si>
  <si>
    <t>6608-6609</t>
  </si>
  <si>
    <t>MIN: Plants: Cavendar-Bares, JCB-SD-SPF-1011</t>
  </si>
  <si>
    <t>ee5f0691-da61-4ca4-a9f8-52d5994f971c</t>
  </si>
  <si>
    <t>SYST-MOR-0007496</t>
  </si>
  <si>
    <t>SYST-MOR-0007496_S222_1.fq.gz</t>
  </si>
  <si>
    <t>SYST-MOR-0007496_S222_2.fq.gz</t>
  </si>
  <si>
    <t>QUE002581</t>
  </si>
  <si>
    <t>JCB-SD-SPF-1012</t>
  </si>
  <si>
    <t>heading towards Spearfish</t>
  </si>
  <si>
    <t>10</t>
  </si>
  <si>
    <t>6-8 stems</t>
  </si>
  <si>
    <t>1187 m</t>
  </si>
  <si>
    <t>6610-6611</t>
  </si>
  <si>
    <t>MOR&lt;USA-IL&gt;: Cavender-Bares, JCB-SD-SPF-1012</t>
  </si>
  <si>
    <t>0096931MOR</t>
  </si>
  <si>
    <t>EDF77268-60F9-463B-8429-968ED466817B</t>
  </si>
  <si>
    <t>https://swbiodiversity.org/seinet/collections/individual/index.php?occid=32891800</t>
  </si>
  <si>
    <t>SYST-MOR-0007497</t>
  </si>
  <si>
    <t>SYST-MOR-0007497_S223_1.fq.gz</t>
  </si>
  <si>
    <t>SYST-MOR-0007497_S223_2.fq.gz</t>
  </si>
  <si>
    <t>SAMN46848479</t>
  </si>
  <si>
    <t>QUE002582</t>
  </si>
  <si>
    <t>JCB-SD-SPF-1013</t>
  </si>
  <si>
    <t>6612-6614</t>
  </si>
  <si>
    <t>MOR&lt;USA-IL&gt;: Cavender-Bares, JCB-SD-SPF-1013</t>
  </si>
  <si>
    <t>0096932MOR</t>
  </si>
  <si>
    <t>17BC5069-8478-4F0B-B939-B37AEF140126</t>
  </si>
  <si>
    <t>https://swbiodiversity.org/seinet/collections/individual/index.php?occid=32893987</t>
  </si>
  <si>
    <t>SYST-MOR-0007498</t>
  </si>
  <si>
    <t>SYST-MOR-0007498_S224_1.fq.gz</t>
  </si>
  <si>
    <t>SYST-MOR-0007498_S224_2.fq.gz</t>
  </si>
  <si>
    <t>QUE002583</t>
  </si>
  <si>
    <t>JCB-SD-SPF-1014</t>
  </si>
  <si>
    <t>2 stems</t>
  </si>
  <si>
    <t>1163 m</t>
  </si>
  <si>
    <t>6615-6616</t>
  </si>
  <si>
    <t>MOR&lt;USA-IL&gt;: Cavender-Bares, JCB-SD-SPF-1014</t>
  </si>
  <si>
    <t>0096933MOR</t>
  </si>
  <si>
    <t>EE7C781A-9343-425E-95CA-AB2AC3B1B57B</t>
  </si>
  <si>
    <t>https://swbiodiversity.org/seinet/collections/individual/index.php?occid=32892919</t>
  </si>
  <si>
    <t>SRR31778382</t>
  </si>
  <si>
    <t>SYST-MOR-0007499</t>
  </si>
  <si>
    <t>SYST-MOR-0007499_S225_1.fq.gz</t>
  </si>
  <si>
    <t>SYST-MOR-0007499_S225_2.fq.gz</t>
  </si>
  <si>
    <t>SAMN45895337</t>
  </si>
  <si>
    <t>QUE002584</t>
  </si>
  <si>
    <t>JCB-SD-SPF-1015</t>
  </si>
  <si>
    <t>50-60</t>
  </si>
  <si>
    <t>1145 m</t>
  </si>
  <si>
    <t>6617-6618</t>
  </si>
  <si>
    <t>MOR&lt;USA-IL&gt;: Cavender-Bares, JCB-SD-SPF-1015</t>
  </si>
  <si>
    <t>0096934MOR</t>
  </si>
  <si>
    <t>4342D556-9FB3-480F-8FCE-C240D7F34FE4</t>
  </si>
  <si>
    <t>https://swbiodiversity.org/seinet/collections/individual/index.php?occid=32897497</t>
  </si>
  <si>
    <t>SYST-MOR-0007500</t>
  </si>
  <si>
    <t>SYST-MOR-0007500_S226_1.fq.gz</t>
  </si>
  <si>
    <t>SYST-MOR-0007500_S226_2.fq.gz</t>
  </si>
  <si>
    <t>QUE002585</t>
  </si>
  <si>
    <t>JCB-SD-SPF-1016</t>
  </si>
  <si>
    <t>~1150 m</t>
  </si>
  <si>
    <t>6619-6620</t>
  </si>
  <si>
    <t>MOR&lt;USA-IL&gt;: Cavender-Bares, JCB-SD-SPF-1016</t>
  </si>
  <si>
    <t>0096935MOR</t>
  </si>
  <si>
    <t>2ECF55E6-63D4-423E-9AAD-4409809A976F</t>
  </si>
  <si>
    <t>https://swbiodiversity.org/seinet/collections/individual/index.php?occid=32895841</t>
  </si>
  <si>
    <t>SYST-MOR-0007501</t>
  </si>
  <si>
    <t>SYST-MOR-0007501_S227_1.fq.gz</t>
  </si>
  <si>
    <t>SYST-MOR-0007501_S227_2.fq.gz</t>
  </si>
  <si>
    <t>SAMN46848480</t>
  </si>
  <si>
    <t>QUE002586</t>
  </si>
  <si>
    <t>JCB-SD-SPF-1017</t>
  </si>
  <si>
    <t>Black Hills State Park</t>
  </si>
  <si>
    <t>Spearfish</t>
  </si>
  <si>
    <t>1169 m</t>
  </si>
  <si>
    <t>6621-6622</t>
  </si>
  <si>
    <t>MOR&lt;USA-IL&gt;: Cavender-Bares, JCB-SD-SPF-1017</t>
  </si>
  <si>
    <t>0096936MOR</t>
  </si>
  <si>
    <t>68082289-03E8-45C6-A9FA-5909D84E1277</t>
  </si>
  <si>
    <t>https://swbiodiversity.org/seinet/collections/individual/index.php?occid=32899128</t>
  </si>
  <si>
    <t>SYST-MOR-0007502</t>
  </si>
  <si>
    <t>SYST-MOR-0007502_S228_1.fq.gz</t>
  </si>
  <si>
    <t>SYST-MOR-0007502_S228_2.fq.gz</t>
  </si>
  <si>
    <t>QUE002587</t>
  </si>
  <si>
    <t>JCB-SD-SPF-1018</t>
  </si>
  <si>
    <t>6625-6626</t>
  </si>
  <si>
    <t>MOR&lt;USA-IL&gt;: Cavender-Bares, JCB-SD-SPF-1018</t>
  </si>
  <si>
    <t>0096937MOR</t>
  </si>
  <si>
    <t>A5F1C824-F915-42FD-843E-11F28643FC68</t>
  </si>
  <si>
    <t>https://swbiodiversity.org/seinet/collections/individual/index.php?occid=32902879</t>
  </si>
  <si>
    <t>SYST-MOR-0007503</t>
  </si>
  <si>
    <t>SYST-MOR-0007503_S229_1.fq.gz</t>
  </si>
  <si>
    <t>SYST-MOR-0007503_S229_2.fq.gz</t>
  </si>
  <si>
    <t>QUE002588</t>
  </si>
  <si>
    <t>JCB-SD-SPF-1019</t>
  </si>
  <si>
    <t>1192 m</t>
  </si>
  <si>
    <t>6627-6628</t>
  </si>
  <si>
    <t>MOR&lt;USA-IL&gt;: Cavender-Bares, JCB-SD-SPF-1019</t>
  </si>
  <si>
    <t>0096938MOR</t>
  </si>
  <si>
    <t>B9DA44EF-768B-4ECD-97D1-C715D17D8EFC</t>
  </si>
  <si>
    <t>https://swbiodiversity.org/seinet/collections/individual/index.php?occid=32889586</t>
  </si>
  <si>
    <t>SYST-MOR-0007504</t>
  </si>
  <si>
    <t>SYST-MOR-0007504_S230_1.fq.gz</t>
  </si>
  <si>
    <t>SYST-MOR-0007504_S230_2.fq.gz</t>
  </si>
  <si>
    <t>QUE002589</t>
  </si>
  <si>
    <t>JCB-SD-SPF-1020</t>
  </si>
  <si>
    <t>16</t>
  </si>
  <si>
    <t>1246 m</t>
  </si>
  <si>
    <t>6629-6631</t>
  </si>
  <si>
    <t>MOR&lt;USA-IL&gt;: Cavender-Bares, JCB-SD-SPF-1020</t>
  </si>
  <si>
    <t>0096939MOR</t>
  </si>
  <si>
    <t>E79AE1E7-C59E-4CE3-9D53-6A5A0134B85A</t>
  </si>
  <si>
    <t>https://swbiodiversity.org/seinet/collections/individual/index.php?occid=32891706</t>
  </si>
  <si>
    <t>SYST-MOR-0007505</t>
  </si>
  <si>
    <t>SYST-MOR-0007505_S231_1.fq.gz</t>
  </si>
  <si>
    <t>SYST-MOR-0007505_S231_2.fq.gz</t>
  </si>
  <si>
    <t>SAMN46848481</t>
  </si>
  <si>
    <t>QUE003287</t>
  </si>
  <si>
    <t>IL_HP_MG919_MG</t>
  </si>
  <si>
    <t>MG919</t>
  </si>
  <si>
    <t>Quercus michauxii</t>
  </si>
  <si>
    <t>Alan Whittemore, Andrew Hipp, Brett Fredericksen, Heather McCarthy, Klara Peterson, Leah Samuels, Mira Garner, Paul Manos</t>
  </si>
  <si>
    <t>fresh frozen</t>
  </si>
  <si>
    <t>HIPP-CAVENDER-BARES</t>
  </si>
  <si>
    <t>Illinois</t>
  </si>
  <si>
    <t>Johnson</t>
  </si>
  <si>
    <t>Little Black Slough Nature Preserve</t>
  </si>
  <si>
    <t xml:space="preserve">Heron Pond </t>
  </si>
  <si>
    <t>Bottom woodlands, forested, dense understory</t>
  </si>
  <si>
    <t>Hickory, Redbud, Pawpaw</t>
  </si>
  <si>
    <t>Quercus michauxii Nutt.</t>
  </si>
  <si>
    <t>366 ft</t>
  </si>
  <si>
    <t>Dimensions of Biodiversity: US/China Collaborative Research: Consequences of diversity in Asian and American tree sygameons for functional variation, adaptation and symbiont biodiversity (#2129281)</t>
  </si>
  <si>
    <t>MOR&lt;USA-IL&gt;: Whittemore, IL_HP_MG919_MG</t>
  </si>
  <si>
    <t>0111214MOR</t>
  </si>
  <si>
    <t>F14AEE9F-3190-419C-96E8-E9E14DE8DBC9</t>
  </si>
  <si>
    <t>https://swbiodiversity.org/seinet/collections/individual/index.php?occid=34693788</t>
  </si>
  <si>
    <t>SYST-MOR-0006717</t>
  </si>
  <si>
    <t>SYST-MOR-0006717_S1_1.fq.gz</t>
  </si>
  <si>
    <t>SYST-MOR-0006717_S1_2.fq.gz</t>
  </si>
  <si>
    <t>Albae</t>
  </si>
  <si>
    <t>QUE003288</t>
  </si>
  <si>
    <t>IL_HP_MG920_MG</t>
  </si>
  <si>
    <t>MG920</t>
  </si>
  <si>
    <t>Wet forest adjacent to creek</t>
  </si>
  <si>
    <t>Acer rubrum, Ulmus alata, Morus rubra</t>
  </si>
  <si>
    <t>369 ft</t>
  </si>
  <si>
    <t>MOR&lt;USA-IL&gt;: Whittemore, IL_HP_MG920_MG</t>
  </si>
  <si>
    <t>0111215MOR</t>
  </si>
  <si>
    <t>9EF1F0C4-1E4F-4703-B268-88667C254FF7</t>
  </si>
  <si>
    <t>https://swbiodiversity.org/seinet/collections/individual/index.php?occid=34693610</t>
  </si>
  <si>
    <t>SYST-MOR-0006718</t>
  </si>
  <si>
    <t>SYST-MOR-0006718_S2_1.fq.gz</t>
  </si>
  <si>
    <t>SYST-MOR-0006718_S2_2.fq.gz</t>
  </si>
  <si>
    <t>QUE003289</t>
  </si>
  <si>
    <t>IL_HP_MG921_MG</t>
  </si>
  <si>
    <t>MG921</t>
  </si>
  <si>
    <t>Bottomlands, dense forest, near river</t>
  </si>
  <si>
    <t>Deciduous holly</t>
  </si>
  <si>
    <t>403 ft</t>
  </si>
  <si>
    <t>MOR&lt;USA-IL&gt;: Whittemore, IL_HP_MG921_MG</t>
  </si>
  <si>
    <t>0111216MOR</t>
  </si>
  <si>
    <t>787CB785-D447-47BA-B336-C198D8E128CB</t>
  </si>
  <si>
    <t>https://swbiodiversity.org/seinet/collections/individual/index.php?occid=34693443</t>
  </si>
  <si>
    <t>SYST-MOR-0006719</t>
  </si>
  <si>
    <t>SYST-MOR-0006719_S3_1.fq.gz</t>
  </si>
  <si>
    <t>SYST-MOR-0006719_S3_2.fq.gz</t>
  </si>
  <si>
    <t>QUE003290</t>
  </si>
  <si>
    <t>MO_SH_001_MG</t>
  </si>
  <si>
    <t>Quercus stellata</t>
  </si>
  <si>
    <t>Alan Whittemore, Andrew Hipp, Brett Fredericksen, Heather McCarthy, Ian Pearse, Jeannine Cavender-Bares, Klara Peterson, Leah Samuels, Mira Garner, Paul Manos</t>
  </si>
  <si>
    <t>Franklin</t>
  </si>
  <si>
    <t>Shaw Nature Preserve</t>
  </si>
  <si>
    <t>Above Meramac River bluffs</t>
  </si>
  <si>
    <t>Quercus stellata, Quercus coccinea, Quercus imbricaria</t>
  </si>
  <si>
    <t>Seeds ripening</t>
  </si>
  <si>
    <t>Quercus stellata Wangenh.</t>
  </si>
  <si>
    <t>662 ft</t>
  </si>
  <si>
    <t>MOR&lt;USA-IL&gt;: Whittemore, MO_SH_001_MG</t>
  </si>
  <si>
    <t>0111456MOR</t>
  </si>
  <si>
    <t>818768E7-30BB-43C1-BE9F-6A9A42B77641</t>
  </si>
  <si>
    <t>https://swbiodiversity.org/seinet/collections/individual/index.php?occid=34693499</t>
  </si>
  <si>
    <t>SYST-MOR-0006720</t>
  </si>
  <si>
    <t>SYST-MOR-0006720_S4_1.fq.gz</t>
  </si>
  <si>
    <t>SYST-MOR-0006720_S4_2.fq.gz</t>
  </si>
  <si>
    <t>Stellatae</t>
  </si>
  <si>
    <t>QUE003291</t>
  </si>
  <si>
    <t>MO_SH_002_All</t>
  </si>
  <si>
    <t>Bottomland Ã¢â‚¬â€Meramac river floodplain</t>
  </si>
  <si>
    <t>Populus grandidentata, Asimona triloba, Ulmus rubra, Platanus occidentalis, Fraxinus americana, Celtis occidentalis, Quercus macrocarpa</t>
  </si>
  <si>
    <t>506 ft</t>
  </si>
  <si>
    <t>MOR&lt;USA-IL&gt;: Whittemore, MO_SH_002_All</t>
  </si>
  <si>
    <t>0111331MOR</t>
  </si>
  <si>
    <t>97CA1043-04F5-4888-B277-A7729FF84A8F</t>
  </si>
  <si>
    <t>https://swbiodiversity.org/seinet/collections/individual/index.php?occid=34693531</t>
  </si>
  <si>
    <t>SYST-MOR-0006721</t>
  </si>
  <si>
    <t>SYST-MOR-0006721_S5_1.fq.gz</t>
  </si>
  <si>
    <t>SYST-MOR-0006721_S5_2.fq.gz</t>
  </si>
  <si>
    <t>QUE003292</t>
  </si>
  <si>
    <t>MO_SH_003_All</t>
  </si>
  <si>
    <t>BottomlandÃ¢â‚¬â€Meramac River Floodplain</t>
  </si>
  <si>
    <t>Celtis occidentalis, Carya ovata, Acer negundo, Lindera benzoin, Laportea canadensis, Elymus sp., Verbesina sp.</t>
  </si>
  <si>
    <t>MOR&lt;USA-IL&gt;: Whittemore, MO_SH_003_All</t>
  </si>
  <si>
    <t>0111332MOR</t>
  </si>
  <si>
    <t>58841CE7-04A7-4D94-B023-48DFD9E0D200</t>
  </si>
  <si>
    <t>https://swbiodiversity.org/seinet/collections/individual/index.php?occid=34693365</t>
  </si>
  <si>
    <t>SYST-MOR-0006722</t>
  </si>
  <si>
    <t>SYST-MOR-0006722_S6_1.fq.gz</t>
  </si>
  <si>
    <t>SYST-MOR-0006722_S6_2.fq.gz</t>
  </si>
  <si>
    <t>QUE003293</t>
  </si>
  <si>
    <t>MO_SH_004_All</t>
  </si>
  <si>
    <t>Bottomland - Mermac River Floodplain</t>
  </si>
  <si>
    <t>Asimina triloba, Celtis occidentalis</t>
  </si>
  <si>
    <t>MOR&lt;USA-IL&gt;: Whittemore, MO_SH_004_All</t>
  </si>
  <si>
    <t>0111341MOR</t>
  </si>
  <si>
    <t>0CB8DB8A-BF98-499E-9F80-F3144469AEF9</t>
  </si>
  <si>
    <t>https://swbiodiversity.org/seinet/collections/individual/index.php?occid=34693173</t>
  </si>
  <si>
    <t>SYST-MOR-0006723</t>
  </si>
  <si>
    <t>SYST-MOR-0006723_S7_1.fq.gz</t>
  </si>
  <si>
    <t>SYST-MOR-0006723_S7_2.fq.gz</t>
  </si>
  <si>
    <t>QUE003294</t>
  </si>
  <si>
    <t>MO_SH_005_All</t>
  </si>
  <si>
    <t>BottomlandÃ¢â‚¬â€Meremac River floodplain</t>
  </si>
  <si>
    <t>Asimina triloba, Ulmus rubra, Celtis occidentalis, Fraxinus sp., Wood nettle</t>
  </si>
  <si>
    <t>538 ft</t>
  </si>
  <si>
    <t>MOR&lt;USA-IL&gt;: Whittemore, MO_SH_005_All</t>
  </si>
  <si>
    <t>0111343MOR</t>
  </si>
  <si>
    <t>58A02D04-5D27-4E4D-9D2D-CD45E36CF343</t>
  </si>
  <si>
    <t>https://swbiodiversity.org/seinet/collections/individual/index.php?occid=34693366</t>
  </si>
  <si>
    <t>SYST-MOR-0006724</t>
  </si>
  <si>
    <t>SYST-MOR-0006724_S8_1.fq.gz</t>
  </si>
  <si>
    <t>SYST-MOR-0006724_S8_2.fq.gz</t>
  </si>
  <si>
    <t>QUE003295</t>
  </si>
  <si>
    <t>MO_SH_006_All</t>
  </si>
  <si>
    <t>BottomlandÃ¢â‚¬â€Meramac River floodplain</t>
  </si>
  <si>
    <t>Asimina triloba, Acer negundo, Celtis occidentalis</t>
  </si>
  <si>
    <t>543 ft</t>
  </si>
  <si>
    <t>MOR&lt;USA-IL&gt;: Whittemore, MO_SH_006_All</t>
  </si>
  <si>
    <t>0111333MOR</t>
  </si>
  <si>
    <t>B9133735-4F8E-4ABB-88DF-B49015CCB935</t>
  </si>
  <si>
    <t>https://swbiodiversity.org/seinet/collections/individual/index.php?occid=34693661</t>
  </si>
  <si>
    <t>SYST-MOR-0006725</t>
  </si>
  <si>
    <t>SYST-MOR-0006725_S9_1.fq.gz</t>
  </si>
  <si>
    <t>SYST-MOR-0006725_S9_2.fq.gz</t>
  </si>
  <si>
    <t>QUE003296</t>
  </si>
  <si>
    <t>MO_SH_007_All</t>
  </si>
  <si>
    <t>Quercus muehlenbergii</t>
  </si>
  <si>
    <t>Mermac river bluffs</t>
  </si>
  <si>
    <t>Carya ovata, Acer saccharum, Celtis occidentalis, Fraxinus quadrangulata</t>
  </si>
  <si>
    <t>Quercus muehlenbergii Engelm.</t>
  </si>
  <si>
    <t>601 ft</t>
  </si>
  <si>
    <t>MOR&lt;USA-IL&gt;: Whittemore, MO_SH_007_All</t>
  </si>
  <si>
    <t>0111136MOR</t>
  </si>
  <si>
    <t>C2D11B8D-6989-4A3F-BFCF-73B7DF64C9D6</t>
  </si>
  <si>
    <t>https://swbiodiversity.org/seinet/collections/individual/index.php?occid=34693693</t>
  </si>
  <si>
    <t>SYST-MOR-0006726</t>
  </si>
  <si>
    <t>SYST-MOR-0006726_S10_1.fq.gz</t>
  </si>
  <si>
    <t>SYST-MOR-0006726_S10_2.fq.gz</t>
  </si>
  <si>
    <t>QUE003297</t>
  </si>
  <si>
    <t>MO_SH_008_All</t>
  </si>
  <si>
    <t>Bluffs of Meramac River</t>
  </si>
  <si>
    <t>sugar maple, Quercus muehlenbergii</t>
  </si>
  <si>
    <t>MOR&lt;USA-IL&gt;: Whittemore, MO_SH_008_All</t>
  </si>
  <si>
    <t>0111137MOR</t>
  </si>
  <si>
    <t>9746A86E-91C4-4631-9080-00883DBB5145</t>
  </si>
  <si>
    <t>https://swbiodiversity.org/seinet/collections/individual/index.php?occid=34693529</t>
  </si>
  <si>
    <t>SYST-MOR-0006727</t>
  </si>
  <si>
    <t>SYST-MOR-0006727_S11_1.fq.gz</t>
  </si>
  <si>
    <t>SYST-MOR-0006727_S11_2.fq.gz</t>
  </si>
  <si>
    <t>QUE003298</t>
  </si>
  <si>
    <t>MO_SH_009_All</t>
  </si>
  <si>
    <t>Open woodland / savanna / thin soil atop limestone</t>
  </si>
  <si>
    <t>Quercus stellata, Quercus muehlenbergii, Carya ovata, Quercus rubra, Lonicera sp., Desmodium sp., Cercis sp., Rhus radicans, Rhus arromatica</t>
  </si>
  <si>
    <t>651 ft</t>
  </si>
  <si>
    <t>MOR&lt;USA-IL&gt;: Whittemore, MO_SH_009_All</t>
  </si>
  <si>
    <t>0111143MOR</t>
  </si>
  <si>
    <t>8F7B65D4-5C0E-4908-9315-8B86775C34EA</t>
  </si>
  <si>
    <t>https://swbiodiversity.org/seinet/collections/individual/index.php?occid=34693507</t>
  </si>
  <si>
    <t>SYST-MOR-0006728</t>
  </si>
  <si>
    <t>SYST-MOR-0006728_S12_1.fq.gz</t>
  </si>
  <si>
    <t>SYST-MOR-0006728_S12_2.fq.gz</t>
  </si>
  <si>
    <t>QUE003299</t>
  </si>
  <si>
    <t>MO_SH_010_All</t>
  </si>
  <si>
    <t>Woodland savanna this soil on limestone</t>
  </si>
  <si>
    <t>Quercus stellata, Quercus muehlenbergii,  Fraxinus alba, Carya ovata, Verbesina sp., Cercis sp., Rhus artomatica, Monarda sp.</t>
  </si>
  <si>
    <t>691 ft</t>
  </si>
  <si>
    <t>MOR&lt;USA-IL&gt;: Whittemore, MO_SH_010_All</t>
  </si>
  <si>
    <t>0111455MOR</t>
  </si>
  <si>
    <t>19131811-633F-490B-8167-43096D2BE062</t>
  </si>
  <si>
    <t>https://swbiodiversity.org/seinet/collections/individual/index.php?occid=34693230</t>
  </si>
  <si>
    <t>SYST-MOR-0006742</t>
  </si>
  <si>
    <t>SYST-MOR-0006742_S26_1.fq.gz</t>
  </si>
  <si>
    <t>SYST-MOR-0006742_S26_2.fq.gz</t>
  </si>
  <si>
    <t>QUE003300</t>
  </si>
  <si>
    <t>MO_SH_011_All</t>
  </si>
  <si>
    <t>Quercus alba</t>
  </si>
  <si>
    <t>Bluffs above Mermac River</t>
  </si>
  <si>
    <t>Acer saccharum, shagbark hickory, Carya ovata, Ulmas rubra</t>
  </si>
  <si>
    <t>Quercus alba L.</t>
  </si>
  <si>
    <t>MOR&lt;USA-IL&gt;: Whittemore, MO_SH_011_All</t>
  </si>
  <si>
    <t xml:space="preserve"> 0111042MOR</t>
  </si>
  <si>
    <t>7282EE20-681C-4580-916F-6E8E6CF374A9</t>
  </si>
  <si>
    <t>SYST-MOR-0006743</t>
  </si>
  <si>
    <t>SYST-MOR-0006743_S27_1.fq.gz</t>
  </si>
  <si>
    <t>SYST-MOR-0006743_S27_2.fq.gz</t>
  </si>
  <si>
    <t>QUE003301</t>
  </si>
  <si>
    <t>MO_SH_012_All</t>
  </si>
  <si>
    <t>Sloped woodlands</t>
  </si>
  <si>
    <t>Carya ovata, Acer saccharum, Quercus rubra, Quercus muehlenbergii, Asarum canadense, Podophyllum sp., Parthenocissus sp.</t>
  </si>
  <si>
    <t>666 ft</t>
  </si>
  <si>
    <t>MOR&lt;USA-IL&gt;: Whittemore, MO_SH_012_All</t>
  </si>
  <si>
    <t>0111144MOR</t>
  </si>
  <si>
    <t>04D75C62-0197-41B5-A2DB-ECBBBD25A057</t>
  </si>
  <si>
    <t>https://swbiodiversity.org/seinet/collections/individual/index.php?occid=34693149</t>
  </si>
  <si>
    <t>SYST-MOR-0006744</t>
  </si>
  <si>
    <t>SYST-MOR-0006744_S28_1.fq.gz</t>
  </si>
  <si>
    <t>SYST-MOR-0006744_S28_2.fq.gz</t>
  </si>
  <si>
    <t>QUE003302</t>
  </si>
  <si>
    <t>MO_SH_013_All</t>
  </si>
  <si>
    <t>MOR&lt;USA-IL&gt;: Whittemore, MO_SH_013_All</t>
  </si>
  <si>
    <t>0111145MOR</t>
  </si>
  <si>
    <t>D6726D75-C68D-4480-8517-35DDE4FB7685</t>
  </si>
  <si>
    <t>https://swbiodiversity.org/seinet/collections/individual/index.php?occid=34693721</t>
  </si>
  <si>
    <t>SYST-MOR-0006745</t>
  </si>
  <si>
    <t>SYST-MOR-0006745_S29_1.fq.gz</t>
  </si>
  <si>
    <t>SYST-MOR-0006745_S29_2.fq.gz</t>
  </si>
  <si>
    <t>QUE003303</t>
  </si>
  <si>
    <t>MO_SH_014_All</t>
  </si>
  <si>
    <t>Woodlands, above Mermac River</t>
  </si>
  <si>
    <t>Shagbark hickory, Sugar maple, Ulmas sp.</t>
  </si>
  <si>
    <t>681 ft</t>
  </si>
  <si>
    <t>MOR&lt;USA-IL&gt;: Whittemore, MO_SH_014_All</t>
  </si>
  <si>
    <t>0111054MOR</t>
  </si>
  <si>
    <t>829FD6A1-BDD3-4C44-AF60-76BD43764CF9</t>
  </si>
  <si>
    <t>https://swbiodiversity.org/seinet/collections/individual/index.php?occid=34693515</t>
  </si>
  <si>
    <t>SYST-MOR-0006746</t>
  </si>
  <si>
    <t>SYST-MOR-0006746_S30_1.fq.gz</t>
  </si>
  <si>
    <t>SYST-MOR-0006746_S30_2.fq.gz</t>
  </si>
  <si>
    <t>QUE003304</t>
  </si>
  <si>
    <t>MO_SH_015_All</t>
  </si>
  <si>
    <t>Woodlands above Mermac River Floodlplains</t>
  </si>
  <si>
    <t>Red oak, Sugar maple, Fraxinus sp.</t>
  </si>
  <si>
    <t>683 ft</t>
  </si>
  <si>
    <t>MOR&lt;USA-IL&gt;: Whittemore, MO_SH_015_All</t>
  </si>
  <si>
    <t>0111469MOR</t>
  </si>
  <si>
    <t>46A66C02-9EBE-4CCE-8707-663FAE3D6047</t>
  </si>
  <si>
    <t>https://swbiodiversity.org/seinet/collections/individual/index.php?occid=34693295</t>
  </si>
  <si>
    <t>SYST-MOR-0006747</t>
  </si>
  <si>
    <t>SYST-MOR-0006747_S31_1.fq.gz</t>
  </si>
  <si>
    <t>SYST-MOR-0006747_S31_2.fq.gz</t>
  </si>
  <si>
    <t>QUE003305</t>
  </si>
  <si>
    <t>MO_SH_016_All</t>
  </si>
  <si>
    <t>Top of hill Ã¢â‚¬â€ open woodland ; thin gravely soil on limestone</t>
  </si>
  <si>
    <t>Quercus stellata, Fraxinus sp., Cercis canadense</t>
  </si>
  <si>
    <t>MOR&lt;USA-IL&gt;: Whittemore, MO_SH_016_All</t>
  </si>
  <si>
    <t>0111457MOR</t>
  </si>
  <si>
    <t>5BF45DE6-8E4B-4994-B40B-3ECF439F223A</t>
  </si>
  <si>
    <t>https://swbiodiversity.org/seinet/collections/individual/index.php?occid=34693367</t>
  </si>
  <si>
    <t>SYST-MOR-0006748</t>
  </si>
  <si>
    <t>SYST-MOR-0006748_S32_1.fq.gz</t>
  </si>
  <si>
    <t>SYST-MOR-0006748_S32_2.fq.gz</t>
  </si>
  <si>
    <t>QUE003306</t>
  </si>
  <si>
    <t>MO_SH_017_All</t>
  </si>
  <si>
    <t>Top of hill, open grasslands, near gravel</t>
  </si>
  <si>
    <t>686 ft</t>
  </si>
  <si>
    <t>MOR&lt;USA-IL&gt;: Whittemore, MO_SH_017_All</t>
  </si>
  <si>
    <t>0111458MOR</t>
  </si>
  <si>
    <t>8BF20885-828B-4373-9E86-C962FA9D8856</t>
  </si>
  <si>
    <t>https://swbiodiversity.org/seinet/collections/individual/index.php?occid=34693504</t>
  </si>
  <si>
    <t>SYST-MOR-0006749</t>
  </si>
  <si>
    <t>SYST-MOR-0006749_S33_1.fq.gz</t>
  </si>
  <si>
    <t>SYST-MOR-0006749_S33_2.fq.gz</t>
  </si>
  <si>
    <t>QUE003307</t>
  </si>
  <si>
    <t>MO_SH_018_All</t>
  </si>
  <si>
    <t>Brushy savanna</t>
  </si>
  <si>
    <t>Quercus imbricaria, Quercus muehlenbergii, Carya sp.</t>
  </si>
  <si>
    <t>694 ft</t>
  </si>
  <si>
    <t>MOR&lt;USA-IL&gt;: Whittemore, MO_SH_018_All</t>
  </si>
  <si>
    <t>0111053MOR</t>
  </si>
  <si>
    <t>9ACE35D4-2497-4684-A112-7A33844D17DB</t>
  </si>
  <si>
    <t>https://swbiodiversity.org/seinet/collections/individual/index.php?occid=34693533</t>
  </si>
  <si>
    <t>SYST-MOR-0006750</t>
  </si>
  <si>
    <t>SYST-MOR-0006750_S34_1.fq.gz</t>
  </si>
  <si>
    <t>SYST-MOR-0006750_S34_2.fq.gz</t>
  </si>
  <si>
    <t>QUE003308</t>
  </si>
  <si>
    <t>MO_SH_019_All</t>
  </si>
  <si>
    <t>Hilltop, low vegetation, open woodland</t>
  </si>
  <si>
    <t>Quercus rubra, Fraxinus sp., Scarlet oak</t>
  </si>
  <si>
    <t>701 ft</t>
  </si>
  <si>
    <t>MOR&lt;USA-IL&gt;: Whittemore, MO_SH_019_All</t>
  </si>
  <si>
    <t>0111052MOR</t>
  </si>
  <si>
    <t>03A6A26C-8389-44BA-A646-63D6320C96A2</t>
  </si>
  <si>
    <t>https://swbiodiversity.org/seinet/collections/individual/index.php?occid=34693129</t>
  </si>
  <si>
    <t>SYST-MOR-0006751</t>
  </si>
  <si>
    <t>SYST-MOR-0006751_S35_1.fq.gz</t>
  </si>
  <si>
    <t>SYST-MOR-0006751_S35_2.fq.gz</t>
  </si>
  <si>
    <t>QUE003309</t>
  </si>
  <si>
    <t>MO_SH_020_All</t>
  </si>
  <si>
    <t>Hilltop low vegetation, open woodland</t>
  </si>
  <si>
    <t>Quercus stellata, sugar maple, red oak, Carya cordiformus, black oak, hog peanut</t>
  </si>
  <si>
    <t>MOR&lt;USA-IL&gt;: Whittemore, MO_SH_020_All</t>
  </si>
  <si>
    <t>0111051MOR</t>
  </si>
  <si>
    <t>A71DEE50-98E6-4C94-AAFC-CDB6C25FE2AC</t>
  </si>
  <si>
    <t>https://swbiodiversity.org/seinet/collections/individual/index.php?occid=34693586</t>
  </si>
  <si>
    <t>SYST-MOR-0006752</t>
  </si>
  <si>
    <t>SYST-MOR-0006752_S36_1.fq.gz</t>
  </si>
  <si>
    <t>SYST-MOR-0006752_S36_2.fq.gz</t>
  </si>
  <si>
    <t>QUE003310</t>
  </si>
  <si>
    <t>IL_OB_021_All</t>
  </si>
  <si>
    <t>Alan Whittemore, Andrew Hipp, Brett Fredericksen, Heather McCarthy, Jeannine Cavender-Bares, Klara Peterson, Leah Samuels, Mira Garner, Paul Manos</t>
  </si>
  <si>
    <t>Jackson</t>
  </si>
  <si>
    <t>Oakwood Bottoms, Shawnee National Forest</t>
  </si>
  <si>
    <t>Bottomland forest, floodplain</t>
  </si>
  <si>
    <t>Acer saccharinum, sweetgum, pin oak, Ulmus sp., hackberry</t>
  </si>
  <si>
    <t>MOR&lt;USA-IL&gt;: Whittemore, IL_OB_021_All</t>
  </si>
  <si>
    <t>0111274MOR</t>
  </si>
  <si>
    <t>4A2037EC-13C3-43B3-9BA8-949480BAC66E</t>
  </si>
  <si>
    <t>https://swbiodiversity.org/seinet/collections/individual/index.php?occid=34693358</t>
  </si>
  <si>
    <t>SYST-MOR-0006753</t>
  </si>
  <si>
    <t>SYST-MOR-0006753_S37_1.fq.gz</t>
  </si>
  <si>
    <t>SYST-MOR-0006753_S37_2.fq.gz</t>
  </si>
  <si>
    <t>QUE003311</t>
  </si>
  <si>
    <t>IL_OB_022_All</t>
  </si>
  <si>
    <t>Quercus lyrata</t>
  </si>
  <si>
    <t>Bottomland</t>
  </si>
  <si>
    <t>Quercus lyrata, Quercus palustris, Fraxinus sp.,  Liquidambar styraciflua, Quercus macrocarpa</t>
  </si>
  <si>
    <t>Quercus lyrata Walt.</t>
  </si>
  <si>
    <t>IL_OB_022_All and IL_OB_023_ALL sample identity and SPMCODE got mixed up in some original DNA extraction sheets. These are now corrected. [1-15-2024]</t>
  </si>
  <si>
    <t>MOR&lt;USA-IL&gt;: Whittemore, IL_OB_022_All</t>
  </si>
  <si>
    <t>0111243MOR</t>
  </si>
  <si>
    <t>A60655FE-D14C-4F4E-B500-6E452EE925A7</t>
  </si>
  <si>
    <t>https://swbiodiversity.org/seinet/collections/individual/index.php?occid=34693632</t>
  </si>
  <si>
    <t>SYST-MOR-0006754</t>
  </si>
  <si>
    <t>SYST-MOR-0006754_S38_1.fq.gz</t>
  </si>
  <si>
    <t>SYST-MOR-0006754_S38_2.fq.gz</t>
  </si>
  <si>
    <t>QUE003312</t>
  </si>
  <si>
    <t>IL_OB_024_All</t>
  </si>
  <si>
    <t>Bottomland-flats</t>
  </si>
  <si>
    <t>Quercus macrocarpa, Quercus palustris, Liquidambar styraciflua</t>
  </si>
  <si>
    <t>MOR&lt;USA-IL&gt;: Whittemore, IL_OB_024_All</t>
  </si>
  <si>
    <t>0111242MOR</t>
  </si>
  <si>
    <t>20DB99D8-F3A7-48B9-8416-7105417C16A8</t>
  </si>
  <si>
    <t>https://swbiodiversity.org/seinet/collections/individual/index.php?occid=34693247</t>
  </si>
  <si>
    <t>SYST-MOR-0006756</t>
  </si>
  <si>
    <t>SYST-MOR-0006756_S40_1.fq.gz</t>
  </si>
  <si>
    <t>SYST-MOR-0006756_S40_2.fq.gz</t>
  </si>
  <si>
    <t>QUE003313</t>
  </si>
  <si>
    <t>IL_OB_025_All</t>
  </si>
  <si>
    <t>Forest bottomlands, floodplain</t>
  </si>
  <si>
    <t>Quercus lyrata, Pin oak, American elm, Ash</t>
  </si>
  <si>
    <t>MOR&lt;USA-IL&gt;: Whittemore, IL_OB_025_All</t>
  </si>
  <si>
    <t>0111241MOR</t>
  </si>
  <si>
    <t>5F52B83B-16BA-4123-BC70-CC1370822184</t>
  </si>
  <si>
    <t>https://swbiodiversity.org/seinet/collections/individual/index.php?occid=34693351</t>
  </si>
  <si>
    <t>SYST-MOR-0006757</t>
  </si>
  <si>
    <t>SYST-MOR-0006757_S41_1.fq.gz</t>
  </si>
  <si>
    <t>SYST-MOR-0006757_S41_2.fq.gz</t>
  </si>
  <si>
    <t>QUE003314</t>
  </si>
  <si>
    <t>IL_OB_026_All</t>
  </si>
  <si>
    <t>Bottomland floodplain</t>
  </si>
  <si>
    <t>Quercus lyrata, Liquidambar styraciflua, Diospyros virginiana, Quercus macrocarpa, Rhus radicans</t>
  </si>
  <si>
    <t>MOR&lt;USA-IL&gt;: Whittemore, IL_OB_026_All</t>
  </si>
  <si>
    <t>0111273MOR</t>
  </si>
  <si>
    <t>ABB99F9C-A8AE-434E-B771-D257AC915F3F</t>
  </si>
  <si>
    <t>https://swbiodiversity.org/seinet/collections/individual/index.php?occid=34693655</t>
  </si>
  <si>
    <t>SYST-MOR-0006758</t>
  </si>
  <si>
    <t>SYST-MOR-0006758_S42_1.fq.gz</t>
  </si>
  <si>
    <t>SYST-MOR-0006758_S42_2.fq.gz</t>
  </si>
  <si>
    <t>QUE003315</t>
  </si>
  <si>
    <t>IL_OB_027_All</t>
  </si>
  <si>
    <t>Camp site Ã¢â‚¬â€ floodplain</t>
  </si>
  <si>
    <t>Ulmus americana, Quercus falcata</t>
  </si>
  <si>
    <t>MOR&lt;USA-IL&gt;: Whittemore, IL_OB_027_All</t>
  </si>
  <si>
    <t>0111272MOR</t>
  </si>
  <si>
    <t>8140798E-18A3-470E-8B59-D81C917E4014</t>
  </si>
  <si>
    <t>https://swbiodiversity.org/seinet/collections/individual/index.php?occid=34693429</t>
  </si>
  <si>
    <t>SYST-MOR-0006759</t>
  </si>
  <si>
    <t>SYST-MOR-0006759_S43_1.fq.gz</t>
  </si>
  <si>
    <t>SYST-MOR-0006759_S43_2.fq.gz</t>
  </si>
  <si>
    <t>QUE003316</t>
  </si>
  <si>
    <t>IL_OB_028_All</t>
  </si>
  <si>
    <t>Floodplain</t>
  </si>
  <si>
    <t>Quercus lyrata, Celtis occidentalis, Ulmus rubra, Fraxinus pennsylvanica</t>
  </si>
  <si>
    <t>MOR&lt;USA-IL&gt;: Whittemore, IL_OB_028_All</t>
  </si>
  <si>
    <t>0111231MOR</t>
  </si>
  <si>
    <t>D4F2E08E-8EED-4473-995C-CD88AE389118</t>
  </si>
  <si>
    <t>https://swbiodiversity.org/seinet/collections/individual/index.php?occid=34693703</t>
  </si>
  <si>
    <t>SYST-MOR-0006760</t>
  </si>
  <si>
    <t>SYST-MOR-0006760_S44_1.fq.gz</t>
  </si>
  <si>
    <t>SYST-MOR-0006760_S44_2.fq.gz</t>
  </si>
  <si>
    <t>QUE003317</t>
  </si>
  <si>
    <t>IL_OB_029_All</t>
  </si>
  <si>
    <t>Bottomlands forest, floodplains</t>
  </si>
  <si>
    <t>Celtis laevigata, Liquidambar stryraciflua, Ulmas rubra</t>
  </si>
  <si>
    <t>MOR&lt;USA-IL&gt;: Whittemore, IL_OB_029_All</t>
  </si>
  <si>
    <t>0111282MOR</t>
  </si>
  <si>
    <t>098A417B-32F3-42FD-9452-8BBDE30EFCED</t>
  </si>
  <si>
    <t>https://swbiodiversity.org/seinet/collections/individual/index.php?occid=34693167</t>
  </si>
  <si>
    <t>SYST-MOR-0006761</t>
  </si>
  <si>
    <t>SYST-MOR-0006761_S45_1.fq.gz</t>
  </si>
  <si>
    <t>SYST-MOR-0006761_S45_2.fq.gz</t>
  </si>
  <si>
    <t>QUE003318</t>
  </si>
  <si>
    <t>IL_OB_030_All</t>
  </si>
  <si>
    <t>Quercus lyrata (aff. Q. macrocarpa)</t>
  </si>
  <si>
    <t>Forest bottomlands, floodplains</t>
  </si>
  <si>
    <t>pin oak, Ulmus americana, Celtis laevigata</t>
  </si>
  <si>
    <t>Quercus lyrata Walt. (aff. Q. macrocarpa Mich.)</t>
  </si>
  <si>
    <t>MOR&lt;USA-IL&gt;: Whittemore, IL_OB_030_All</t>
  </si>
  <si>
    <t>0111499MOR</t>
  </si>
  <si>
    <t>4C5BF1C5-9520-4CC0-AB16-4226E1A8C86F</t>
  </si>
  <si>
    <t>https://swbiodiversity.org/seinet/collections/individual/index.php?occid=34693332</t>
  </si>
  <si>
    <t>SYST-MOR-0006762</t>
  </si>
  <si>
    <t>SYST-MOR-0006762_S46_1.fq.gz</t>
  </si>
  <si>
    <t>SYST-MOR-0006762_S46_2.fq.gz</t>
  </si>
  <si>
    <t>QUE003319</t>
  </si>
  <si>
    <t>MO_BOT_031_MG</t>
  </si>
  <si>
    <t>Mississipi</t>
  </si>
  <si>
    <t>Big Oak Tree State Park</t>
  </si>
  <si>
    <t>Dense bottomland mixed deciduous forest</t>
  </si>
  <si>
    <t>Pawpaw, Celtis laevigata, Quercus macrocarpa</t>
  </si>
  <si>
    <t>344 ft</t>
  </si>
  <si>
    <t>MOR&lt;USA-IL&gt;: Whittemore, MO_BOT_031_MG</t>
  </si>
  <si>
    <t>0111335MOR</t>
  </si>
  <si>
    <t>DAA64BE2-BD12-464E-9BA5-80C7A833B21D</t>
  </si>
  <si>
    <t>https://swbiodiversity.org/seinet/collections/individual/index.php?occid=34693155</t>
  </si>
  <si>
    <t>SYST-MOR-0006763</t>
  </si>
  <si>
    <t>SYST-MOR-0006763_S47_1.fq.gz</t>
  </si>
  <si>
    <t>SYST-MOR-0006763_S47_2.fq.gz</t>
  </si>
  <si>
    <t>QUE003320</t>
  </si>
  <si>
    <t>MO_BOT_032_MG</t>
  </si>
  <si>
    <t>Dense bottomland floodplain mixed deciduous forest</t>
  </si>
  <si>
    <t>Quercus macrocarpa, Celtis laevigata, pawpaw</t>
  </si>
  <si>
    <t>MOR&lt;USA-IL&gt;: Whittemore, MO_BOT_032_MG</t>
  </si>
  <si>
    <t>0111339MOR</t>
  </si>
  <si>
    <t>AD5E8BF8-1DB1-4A3B-9133-5D5E9C1DCF6D</t>
  </si>
  <si>
    <t>https://swbiodiversity.org/seinet/collections/individual/index.php?occid=34693637</t>
  </si>
  <si>
    <t>SYST-MOR-0006764</t>
  </si>
  <si>
    <t>SYST-MOR-0006764_S48_1.fq.gz</t>
  </si>
  <si>
    <t>SYST-MOR-0006764_S48_2.fq.gz</t>
  </si>
  <si>
    <t>QUE003321</t>
  </si>
  <si>
    <t>MO_BOT_034_All</t>
  </si>
  <si>
    <t>Brushy low forest</t>
  </si>
  <si>
    <t>Paw paw, Quercus macrocarpa, Quercus lyrata, Celtis laevigata, Ilex decidua</t>
  </si>
  <si>
    <t>347 ft</t>
  </si>
  <si>
    <t>MOR&lt;USA-IL&gt;: Whittemore, MO_BOT_034_All</t>
  </si>
  <si>
    <t>0111246MOR</t>
  </si>
  <si>
    <t>B1B110D1-46E9-4860-A90B-ED20F0C7FBA9</t>
  </si>
  <si>
    <t>https://swbiodiversity.org/seinet/collections/individual/index.php?occid=34693595</t>
  </si>
  <si>
    <t>SYST-MOR-0006766</t>
  </si>
  <si>
    <t>SYST-MOR-0006766_S50_1.fq.gz</t>
  </si>
  <si>
    <t>SYST-MOR-0006766_S50_2.fq.gz</t>
  </si>
  <si>
    <t>QUE003322</t>
  </si>
  <si>
    <t>MO_BOT_035_All</t>
  </si>
  <si>
    <t>Quercus lyrata, Carya sp., Celtis laevigata, Ilex decidua</t>
  </si>
  <si>
    <t>MOR&lt;USA-IL&gt;: Whittemore, MO_BOT_035_All</t>
  </si>
  <si>
    <t>0111340MOR</t>
  </si>
  <si>
    <t>0CECD48B-6213-4A52-A5D0-3A910D07888A</t>
  </si>
  <si>
    <t>https://swbiodiversity.org/seinet/collections/individual/index.php?occid=34693175</t>
  </si>
  <si>
    <t>SYST-MOR-0006767</t>
  </si>
  <si>
    <t>SYST-MOR-0006767_S51_1.fq.gz</t>
  </si>
  <si>
    <t>SYST-MOR-0006767_S51_2.fq.gz</t>
  </si>
  <si>
    <t>QUE003323</t>
  </si>
  <si>
    <t>MO_BOT_036_All</t>
  </si>
  <si>
    <t>Populus deltoides, Celtis occidentalis, Celtis laevigata</t>
  </si>
  <si>
    <t>356 ft</t>
  </si>
  <si>
    <t>MOR&lt;USA-IL&gt;: Whittemore, MO_BOT_036_All</t>
  </si>
  <si>
    <t>0111245MOR</t>
  </si>
  <si>
    <t>433F270B-34A7-4AA4-A654-3DDB8C917F4B</t>
  </si>
  <si>
    <t>https://swbiodiversity.org/seinet/collections/individual/index.php?occid=34693292</t>
  </si>
  <si>
    <t>SYST-MOR-0006768</t>
  </si>
  <si>
    <t>SYST-MOR-0006768_S52_1.fq.gz</t>
  </si>
  <si>
    <t>SYST-MOR-0006768_S52_2.fq.gz</t>
  </si>
  <si>
    <t>QUE003324</t>
  </si>
  <si>
    <t>MO_BOT_037_All</t>
  </si>
  <si>
    <t>Acer negundo, Celtis sp., Ulmus americana, Quercus macrocarpa, Morus rubra</t>
  </si>
  <si>
    <t>350 ft</t>
  </si>
  <si>
    <t>MOR&lt;USA-IL&gt;: Whittemore, MO_BOT_037_All</t>
  </si>
  <si>
    <t>0111344MOR</t>
  </si>
  <si>
    <t>51E0711C-27CD-4500-BA31-07E5728F1348</t>
  </si>
  <si>
    <t>https://swbiodiversity.org/seinet/collections/individual/index.php?occid=34693376</t>
  </si>
  <si>
    <t>SYST-MOR-0006769</t>
  </si>
  <si>
    <t>SYST-MOR-0006769_S53_1.fq.gz</t>
  </si>
  <si>
    <t>SYST-MOR-0006769_S53_2.fq.gz</t>
  </si>
  <si>
    <t>QUE003325</t>
  </si>
  <si>
    <t>MO_BOT_038_All</t>
  </si>
  <si>
    <t>Drier site, forest area</t>
  </si>
  <si>
    <t>Celtis laevigata, Asimina triloba, Elm</t>
  </si>
  <si>
    <t>MOR&lt;USA-IL&gt;: Whittemore, MO_BOT_038_All</t>
  </si>
  <si>
    <t>0111330MOR</t>
  </si>
  <si>
    <t>AAEBC89B-E1A2-4EF0-BE7F-E70E69A74D79</t>
  </si>
  <si>
    <t>https://swbiodiversity.org/seinet/collections/individual/index.php?occid=34693590</t>
  </si>
  <si>
    <t>SYST-MOR-0006770</t>
  </si>
  <si>
    <t>SYST-MOR-0006770_S54_1.fq.gz</t>
  </si>
  <si>
    <t>SYST-MOR-0006770_S54_2.fq.gz</t>
  </si>
  <si>
    <t>QUE003326</t>
  </si>
  <si>
    <t>MO_BOT_039_All</t>
  </si>
  <si>
    <t>Dry forest area</t>
  </si>
  <si>
    <t>Acer nagundo</t>
  </si>
  <si>
    <t>MOR&lt;USA-IL&gt;: Whittemore, MO_BOT_039_All</t>
  </si>
  <si>
    <t>0111220MOR</t>
  </si>
  <si>
    <t>05C94555-E965-4C69-A8F2-958B52276C34</t>
  </si>
  <si>
    <t>https://swbiodiversity.org/seinet/collections/individual/index.php?occid=34693146</t>
  </si>
  <si>
    <t>SYST-MOR-0006771</t>
  </si>
  <si>
    <t>SYST-MOR-0006771_S55_1.fq.gz</t>
  </si>
  <si>
    <t>SYST-MOR-0006771_S55_2.fq.gz</t>
  </si>
  <si>
    <t>QUE003327</t>
  </si>
  <si>
    <t>MO_BOT_040_All</t>
  </si>
  <si>
    <t>Open area, former bottomlands, near picnic area</t>
  </si>
  <si>
    <t>Liquidambar styraciflua</t>
  </si>
  <si>
    <t>MOR&lt;USA-IL&gt;: Whittemore, MO_BOT_040_All</t>
  </si>
  <si>
    <t>0111329MOR</t>
  </si>
  <si>
    <t>939F1D06-48BB-42EB-ACA9-1D582368D08D</t>
  </si>
  <si>
    <t>https://swbiodiversity.org/seinet/collections/individual/index.php?occid=34693571</t>
  </si>
  <si>
    <t>SYST-MOR-0006772</t>
  </si>
  <si>
    <t>SYST-MOR-0006772_S56_1.fq.gz</t>
  </si>
  <si>
    <t>SYST-MOR-0006772_S56_2.fq.gz</t>
  </si>
  <si>
    <t>QUE003328</t>
  </si>
  <si>
    <t>MO_BOT_041_All</t>
  </si>
  <si>
    <t>Open area, flat, near parking lot, former bottomlands</t>
  </si>
  <si>
    <t>MOR&lt;USA-IL&gt;: Whittemore, MO_BOT_041_All</t>
  </si>
  <si>
    <t>0111221MOR</t>
  </si>
  <si>
    <t>13248DEC-8326-421F-AB0D-26D9C065FF29</t>
  </si>
  <si>
    <t>https://swbiodiversity.org/seinet/collections/individual/index.php?occid=34693242</t>
  </si>
  <si>
    <t>SYST-MOR-0006773</t>
  </si>
  <si>
    <t>SYST-MOR-0006773_S57_1.fq.gz</t>
  </si>
  <si>
    <t>SYST-MOR-0006773_S57_2.fq.gz</t>
  </si>
  <si>
    <t>QUE003329</t>
  </si>
  <si>
    <t>MO_BOT_042_All</t>
  </si>
  <si>
    <t>Forested area, fairly dry,</t>
  </si>
  <si>
    <t>Gymnocladus sp., ash, Fraxinus profunda, Liquidambar styraciflua</t>
  </si>
  <si>
    <t>MOR&lt;USA-IL&gt;: Whittemore, MO_BOT_042_All</t>
  </si>
  <si>
    <t>0111265MOR</t>
  </si>
  <si>
    <t>FAF8F3F7-C387-4DBF-80DA-137420819BF3</t>
  </si>
  <si>
    <t>https://swbiodiversity.org/seinet/collections/individual/index.php?occid=34693777</t>
  </si>
  <si>
    <t>SYST-MOR-0006774</t>
  </si>
  <si>
    <t>SYST-MOR-0006774_S58_1.fq.gz</t>
  </si>
  <si>
    <t>SYST-MOR-0006774_S58_2.fq.gz</t>
  </si>
  <si>
    <t>QUE003330</t>
  </si>
  <si>
    <t>MO_BOT_043_All</t>
  </si>
  <si>
    <t>Quercus bicolor</t>
  </si>
  <si>
    <t>Forest, dry, former bottomlands</t>
  </si>
  <si>
    <t>Celtis laevigata, Ulmus rubra, Carya sp., Acer saccharinum</t>
  </si>
  <si>
    <t>Quercus bicolor Willd.</t>
  </si>
  <si>
    <t>MOR&lt;USA-IL&gt;: Whittemore, MO_BOT_043_All</t>
  </si>
  <si>
    <t>0111103MOR</t>
  </si>
  <si>
    <t>267A10B9-6C6F-4C69-BC3D-CC44062FF617</t>
  </si>
  <si>
    <t>https://swbiodiversity.org/seinet/collections/individual/index.php?occid=34693206</t>
  </si>
  <si>
    <t>SYST-MOR-0006775</t>
  </si>
  <si>
    <t>SYST-MOR-0006775_S59_1.fq.gz</t>
  </si>
  <si>
    <t>SYST-MOR-0006775_S59_2.fq.gz</t>
  </si>
  <si>
    <t>QUE003331</t>
  </si>
  <si>
    <t>MO_BOT_044_All</t>
  </si>
  <si>
    <t>Forest, dry, a bit open</t>
  </si>
  <si>
    <t>Celtis laevigata, elm</t>
  </si>
  <si>
    <t>MOR&lt;USA-IL&gt;: Whittemore, MO_BOT_044_All</t>
  </si>
  <si>
    <t>0111244MOR</t>
  </si>
  <si>
    <t>D75C5BFD-E56F-4A72-98EA-18F002FC59ED</t>
  </si>
  <si>
    <t>https://swbiodiversity.org/seinet/collections/individual/index.php?occid=34693745</t>
  </si>
  <si>
    <t>SYST-MOR-0006776</t>
  </si>
  <si>
    <t>SYST-MOR-0006776_S60_1.fq.gz</t>
  </si>
  <si>
    <t>SYST-MOR-0006776_S60_2.fq.gz</t>
  </si>
  <si>
    <t>QUE003332</t>
  </si>
  <si>
    <t>MO_BOT_045_All</t>
  </si>
  <si>
    <t>Near water, shrubby area</t>
  </si>
  <si>
    <t>Ulmus rubra, Celtis laevigata, Taxodium distichum</t>
  </si>
  <si>
    <t>MOR&lt;USA-IL&gt;: Whittemore, MO_BOT_045_All</t>
  </si>
  <si>
    <t>0111266MOR</t>
  </si>
  <si>
    <t>44DB3295-3C40-470D-8A1E-308BB235567B</t>
  </si>
  <si>
    <t>https://swbiodiversity.org/seinet/collections/individual/index.php?occid=34693327</t>
  </si>
  <si>
    <t>SYST-MOR-0006777</t>
  </si>
  <si>
    <t>SYST-MOR-0006777_S61_1.fq.gz</t>
  </si>
  <si>
    <t>SYST-MOR-0006777_S61_2.fq.gz</t>
  </si>
  <si>
    <t>QUE003523</t>
  </si>
  <si>
    <t>IL_OB_023_All</t>
  </si>
  <si>
    <t>Black oak, American elm, hackberry</t>
  </si>
  <si>
    <t>MOR&lt;USA-IL&gt;: Whittemore, IL_OB_023_All</t>
  </si>
  <si>
    <t>0111278MOR</t>
  </si>
  <si>
    <t>4D37AAD9-A373-4B9F-A444-17BB984FFE6B</t>
  </si>
  <si>
    <t>https://swbiodiversity.org/seinet/collections/individual/index.php?occid=34693359</t>
  </si>
  <si>
    <t>SYST-MOR-0006755</t>
  </si>
  <si>
    <t>SYST-MOR-0006755_S39_1.fq.gz</t>
  </si>
  <si>
    <t>SYST-MOR-0006755_S39_2.fq.gz</t>
  </si>
  <si>
    <t>QUE003528</t>
  </si>
  <si>
    <t>IL_MOR_135_MG</t>
  </si>
  <si>
    <t>MG906</t>
  </si>
  <si>
    <t>Mira Garner, Keion Mackay, Andrew Hipp</t>
  </si>
  <si>
    <t>DuPage</t>
  </si>
  <si>
    <t>The Morton Arboretum</t>
  </si>
  <si>
    <t>Oak savanna</t>
  </si>
  <si>
    <t>Quercus ellipsoidalis, Quercus macrocarpa, Clover, bottlebrush grass</t>
  </si>
  <si>
    <t>731 ft</t>
  </si>
  <si>
    <t>MOR&lt;USA-IL&gt;: Garner, IL_MOR_135_MG</t>
  </si>
  <si>
    <t>0111271MOR</t>
  </si>
  <si>
    <t>7B2C60F8-6257-48AC-9329-11D2916598AC</t>
  </si>
  <si>
    <t>https://swbiodiversity.org/seinet/collections/individual/index.php?occid=34693445</t>
  </si>
  <si>
    <t>SYST-MOR-0006729</t>
  </si>
  <si>
    <t>SYST-MOR-0006729_S13_1.fq.gz</t>
  </si>
  <si>
    <t>SYST-MOR-0006729_S13_2.fq.gz</t>
  </si>
  <si>
    <t>QUE003529</t>
  </si>
  <si>
    <t>IL_MOR_138_MG</t>
  </si>
  <si>
    <t>MG907</t>
  </si>
  <si>
    <t>Quercus rubra, Goldenrod, reed canary grass, hackberry, Virginia creeper</t>
  </si>
  <si>
    <t>718 ft</t>
  </si>
  <si>
    <t>MOR&lt;USA-IL&gt;: Garner, IL_MOR_138_MG</t>
  </si>
  <si>
    <t>0111006MOR</t>
  </si>
  <si>
    <t>64A21DEC-515D-4C7E-97C3-D74D567670FB</t>
  </si>
  <si>
    <t>https://swbiodiversity.org/seinet/collections/individual/index.php?occid=34693408</t>
  </si>
  <si>
    <t>SYST-MOR-0006730</t>
  </si>
  <si>
    <t>SYST-MOR-0006730_S14_1.fq.gz</t>
  </si>
  <si>
    <t>SYST-MOR-0006730_S14_2.fq.gz</t>
  </si>
  <si>
    <t>QUE003530</t>
  </si>
  <si>
    <t>IL_MOR_137_MG</t>
  </si>
  <si>
    <t>MG908</t>
  </si>
  <si>
    <t>Celtis occidentalis, Rubus sp., sassafras, grasses, poison ivy, Virginia creeper</t>
  </si>
  <si>
    <t>719 ft</t>
  </si>
  <si>
    <t>MOR&lt;USA-IL&gt;: Garner, IL_MOR_137_MG</t>
  </si>
  <si>
    <t>0111277MOR</t>
  </si>
  <si>
    <t>DFF2851E-6DDB-41CB-8552-B4B9A5D2909A</t>
  </si>
  <si>
    <t>https://swbiodiversity.org/seinet/collections/individual/index.php?occid=34693177</t>
  </si>
  <si>
    <t>SYST-MOR-0006731</t>
  </si>
  <si>
    <t>SYST-MOR-0006731_S15_1.fq.gz</t>
  </si>
  <si>
    <t>SYST-MOR-0006731_S15_2.fq.gz</t>
  </si>
  <si>
    <t>QUE003531</t>
  </si>
  <si>
    <t>IL_MOR_136_MG</t>
  </si>
  <si>
    <t>MG909</t>
  </si>
  <si>
    <t>Quercus macrocarpa, Poison ivy, Virginia creeper, Rubus sp., Symphyotrichum sp., sweet joe pye weed, goldenrod</t>
  </si>
  <si>
    <t>MOR&lt;USA-IL&gt;: Garner, IL_MOR_136_MG</t>
  </si>
  <si>
    <t>0111007MOR</t>
  </si>
  <si>
    <t>9F037EA5-EA74-4937-97D1-D0A0CFA89F4A</t>
  </si>
  <si>
    <t>https://swbiodiversity.org/seinet/collections/individual/index.php?occid=34693611</t>
  </si>
  <si>
    <t>SYST-MOR-0006732</t>
  </si>
  <si>
    <t>SYST-MOR-0006732_S16_1.fq.gz</t>
  </si>
  <si>
    <t>SYST-MOR-0006732_S16_2.fq.gz</t>
  </si>
  <si>
    <t>QUE003532</t>
  </si>
  <si>
    <t>IL_MOR_139_MG</t>
  </si>
  <si>
    <t>MG910</t>
  </si>
  <si>
    <t>Quercus macrocarpa (aff. Q. bicolor)</t>
  </si>
  <si>
    <t>Quercus bicolor, Honeysuckle, lawn grass, gooseberries, Symphyotrichum sp., Viburnum sp.</t>
  </si>
  <si>
    <t>Male flowers showing,Seeds ripening</t>
  </si>
  <si>
    <t>Quercus macrocarpa Michx. (aff. Q. bicolor)</t>
  </si>
  <si>
    <t>736 ft</t>
  </si>
  <si>
    <t>MOR&lt;USA-IL&gt;: Garner, IL_MOR_139_MG</t>
  </si>
  <si>
    <t>0111263MOR</t>
  </si>
  <si>
    <t>BADF2CF4-5769-4642-AB4D-67B8CA48CBD1</t>
  </si>
  <si>
    <t>https://swbiodiversity.org/seinet/collections/individual/index.php?occid=34693672</t>
  </si>
  <si>
    <t>SYST-MOR-0006733</t>
  </si>
  <si>
    <t>SYST-MOR-0006733_S17_1.fq.gz</t>
  </si>
  <si>
    <t>SYST-MOR-0006733_S17_2.fq.gz</t>
  </si>
  <si>
    <t>QUE003533</t>
  </si>
  <si>
    <t>IL_MOR_140_MG</t>
  </si>
  <si>
    <t>MG911</t>
  </si>
  <si>
    <t>Oak forest, dense understory</t>
  </si>
  <si>
    <t>Quercus rubra, Acer saccharum, Quercus alba, Solomon's seal, honeysuckle, Virginia creeper, Amur honeysuckle, oak seedlings, common buckthorn</t>
  </si>
  <si>
    <t>Male flowers showing</t>
  </si>
  <si>
    <t>742 ft</t>
  </si>
  <si>
    <t>MOR&lt;USA-IL&gt;: Garner, IL_MOR_140_MG</t>
  </si>
  <si>
    <t>0111008MOR</t>
  </si>
  <si>
    <t>64380F64-C4AB-4E7A-8128-5055B24A4C7B</t>
  </si>
  <si>
    <t>https://swbiodiversity.org/seinet/collections/individual/index.php?occid=34693391</t>
  </si>
  <si>
    <t>SYST-MOR-0006734</t>
  </si>
  <si>
    <t>SYST-MOR-0006734_S18_1.fq.gz</t>
  </si>
  <si>
    <t>SYST-MOR-0006734_S18_2.fq.gz</t>
  </si>
  <si>
    <t>QUE003534</t>
  </si>
  <si>
    <t>IL_MOR_142_MG</t>
  </si>
  <si>
    <t>MG912</t>
  </si>
  <si>
    <t>Oak forest, tall dense foliage</t>
  </si>
  <si>
    <t>Quercus alba, Aesculus glabra, Acer saccharum, Virginia creeper, American lopseed, enchanters nightshades, sweet joe pye-weed, garlic mustard, Solomon's plume, broad leafed helleboirne</t>
  </si>
  <si>
    <t>743 ft</t>
  </si>
  <si>
    <t>MOR&lt;USA-IL&gt;: Garner, IL_MOR_142_MG</t>
  </si>
  <si>
    <t>0111279MOR</t>
  </si>
  <si>
    <t>63D3BD8C-14E3-48CB-AB2D-8E76B09A12E3</t>
  </si>
  <si>
    <t>https://swbiodiversity.org/seinet/collections/individual/index.php?occid=34693389</t>
  </si>
  <si>
    <t>SYST-MOR-0006735</t>
  </si>
  <si>
    <t>SYST-MOR-0006735_S19_1.fq.gz</t>
  </si>
  <si>
    <t>SYST-MOR-0006735_S19_2.fq.gz</t>
  </si>
  <si>
    <t>QUE003535</t>
  </si>
  <si>
    <t>IL_MOR_141_MG</t>
  </si>
  <si>
    <t>MG913</t>
  </si>
  <si>
    <t>Quercus macrocarpa, Aesculus glabra, Acer saccharum, Virginia creeper, American lopseed, enchanters nightshades, sweet joe pye-weed, garlic mustard, Solomon's plume, broad leafed helleboirne</t>
  </si>
  <si>
    <t>MOR&lt;USA-IL&gt;: Garner, IL_MOR_141_MG</t>
  </si>
  <si>
    <t>0111009MOR</t>
  </si>
  <si>
    <t>289ACA8D-74D3-456D-8D80-BC11F3821328</t>
  </si>
  <si>
    <t>https://swbiodiversity.org/seinet/collections/individual/index.php?occid=34693250</t>
  </si>
  <si>
    <t>SYST-MOR-0006736</t>
  </si>
  <si>
    <t>SYST-MOR-0006736_S20_1.fq.gz</t>
  </si>
  <si>
    <t>SYST-MOR-0006736_S20_2.fq.gz</t>
  </si>
  <si>
    <t>QUE003536</t>
  </si>
  <si>
    <t>IL_MOR_143_MG</t>
  </si>
  <si>
    <t>MG914</t>
  </si>
  <si>
    <t>Open lawn area, old savanna oak</t>
  </si>
  <si>
    <t>Lawn grass, Erythranthe sp., dandelion</t>
  </si>
  <si>
    <t>MOR&lt;USA-IL&gt;: Garner, IL_MOR_143_MG</t>
  </si>
  <si>
    <t>0111269MOR</t>
  </si>
  <si>
    <t>40E58F70-F851-41B4-AAA1-43B54C69A839</t>
  </si>
  <si>
    <t>https://swbiodiversity.org/seinet/collections/individual/index.php?occid=34693323</t>
  </si>
  <si>
    <t>SYST-MOR-0006737</t>
  </si>
  <si>
    <t>SYST-MOR-0006737_S21_1.fq.gz</t>
  </si>
  <si>
    <t>SYST-MOR-0006737_S21_2.fq.gz</t>
  </si>
  <si>
    <t>QUE003537</t>
  </si>
  <si>
    <t>IL_MOR_145_MG</t>
  </si>
  <si>
    <t>MG915</t>
  </si>
  <si>
    <t>Forest, dense tall underbrush</t>
  </si>
  <si>
    <t>Ulmus americana, Ostrya virginiana, Tilia Americana, Hairy sweet cicely, Virginia creeper, honeysuckle, knotweed, bottlebrush grass, Symphyotrichum sp., wild grape</t>
  </si>
  <si>
    <t>759 ft</t>
  </si>
  <si>
    <t>MOR&lt;USA-IL&gt;: Garner, IL_MOR_145_MG</t>
  </si>
  <si>
    <t>0111280MOR</t>
  </si>
  <si>
    <t>A95D3E46-F9DA-448D-9CD6-C1811D161D22</t>
  </si>
  <si>
    <t>https://swbiodiversity.org/seinet/collections/individual/index.php?occid=34693619</t>
  </si>
  <si>
    <t>SYST-MOR-0006738</t>
  </si>
  <si>
    <t>SYST-MOR-0006738_S22_1.fq.gz</t>
  </si>
  <si>
    <t>SYST-MOR-0006738_S22_2.fq.gz</t>
  </si>
  <si>
    <t>QUE003538</t>
  </si>
  <si>
    <t>IL_MOR_144_MG</t>
  </si>
  <si>
    <t>MG916</t>
  </si>
  <si>
    <t>Forest, thick tall underbrush</t>
  </si>
  <si>
    <t>Quercus alba, Ostrya virginiana, Tilia americana, Sweet cicely, Symphyotrichum sp., Virginia creeper, avens, Solomon's seal, buckthorn</t>
  </si>
  <si>
    <t>761 ft</t>
  </si>
  <si>
    <t>MOR&lt;USA-IL&gt;: Garner, IL_MOR_144_MG</t>
  </si>
  <si>
    <t>0111010MOR</t>
  </si>
  <si>
    <t>9D6E3855-0E6E-42FC-99EA-BFA436FE45C2</t>
  </si>
  <si>
    <t>https://swbiodiversity.org/seinet/collections/individual/index.php?occid=34693577</t>
  </si>
  <si>
    <t>SYST-MOR-0006739</t>
  </si>
  <si>
    <t>SYST-MOR-0006739_S23_1.fq.gz</t>
  </si>
  <si>
    <t>SYST-MOR-0006739_S23_2.fq.gz</t>
  </si>
  <si>
    <t>QUE003539</t>
  </si>
  <si>
    <t>IL_MOR_146_MG</t>
  </si>
  <si>
    <t>MG917</t>
  </si>
  <si>
    <t>Oak forest, thick underbrush</t>
  </si>
  <si>
    <t>Quercus macrocarpa, Quercus alba, Poison ivy, Virginia creeper, ash, sunflower, bottlebrush grass, black cherry</t>
  </si>
  <si>
    <t>770 ft</t>
  </si>
  <si>
    <t>MOR&lt;USA-IL&gt;: Garner, IL_MOR_146_MG</t>
  </si>
  <si>
    <t>0111281MOR</t>
  </si>
  <si>
    <t>57768F5F-3B9D-4EEB-8203-F72B7E8DD0F6</t>
  </si>
  <si>
    <t>https://swbiodiversity.org/seinet/collections/individual/index.php?occid=34693346</t>
  </si>
  <si>
    <t>SYST-MOR-0006740</t>
  </si>
  <si>
    <t>SYST-MOR-0006740_S24_1.fq.gz</t>
  </si>
  <si>
    <t>SYST-MOR-0006740_S24_2.fq.gz</t>
  </si>
  <si>
    <t>QUE003540</t>
  </si>
  <si>
    <t>IL_MOR_147_MG</t>
  </si>
  <si>
    <t>MG918</t>
  </si>
  <si>
    <t>Quercus alba, Sweet joe-pye weed, goldenrod, Virginia creeper, Rubus sp., poison ivy</t>
  </si>
  <si>
    <t>765 ft</t>
  </si>
  <si>
    <t>MOR&lt;USA-IL&gt;: Garner, IL_MOR_147_MG</t>
  </si>
  <si>
    <t>0111011MOR</t>
  </si>
  <si>
    <t>7D9510E8-7921-4A05-AA4F-7809A8F7B67D</t>
  </si>
  <si>
    <t>https://swbiodiversity.org/seinet/collections/individual/index.php?occid=34693428</t>
  </si>
  <si>
    <t>SYST-MOR-0006741</t>
  </si>
  <si>
    <t>SYST-MOR-0006741_S25_1.fq.gz</t>
  </si>
  <si>
    <t>SYST-MOR-0006741_S25_2.fq.gz</t>
  </si>
  <si>
    <t>QUE003541</t>
  </si>
  <si>
    <t>IA_BSP_046_MG</t>
  </si>
  <si>
    <t>Mira Garner, Leah Samuels, Klara Peterson, Briana Beatty</t>
  </si>
  <si>
    <t>Iowa</t>
  </si>
  <si>
    <t>Story</t>
  </si>
  <si>
    <t>Brookside Park</t>
  </si>
  <si>
    <t>Wooded park</t>
  </si>
  <si>
    <t>Acer negundo, Tilia Americana</t>
  </si>
  <si>
    <t>Caps on the ground</t>
  </si>
  <si>
    <t>MOR&lt;USA-IL&gt;: Garner, IA_BSP_046_MG</t>
  </si>
  <si>
    <t>0111345MOR</t>
  </si>
  <si>
    <t>276E3D1C-CF4D-42A9-845C-1AEA71B6A8CE</t>
  </si>
  <si>
    <t>https://swbiodiversity.org/seinet/collections/individual/index.php?occid=34693239</t>
  </si>
  <si>
    <t>SYST-MOR-0006778</t>
  </si>
  <si>
    <t>SYST-MOR-0006778_S62_1.fq.gz</t>
  </si>
  <si>
    <t>SYST-MOR-0006778_S62_2.fq.gz</t>
  </si>
  <si>
    <t>QUE003542</t>
  </si>
  <si>
    <t>IA_BSP_047_MG</t>
  </si>
  <si>
    <t>Forested park</t>
  </si>
  <si>
    <t>Morus alba</t>
  </si>
  <si>
    <t>Seeds ripening,Caps on the ground</t>
  </si>
  <si>
    <t>MOR&lt;USA-IL&gt;: Garner, IA_BSP_047_MG</t>
  </si>
  <si>
    <t>0111349MOR</t>
  </si>
  <si>
    <t>396CB3C3-57D2-473B-A5B4-D32EB2094244</t>
  </si>
  <si>
    <t>https://swbiodiversity.org/seinet/collections/individual/index.php?occid=34693260</t>
  </si>
  <si>
    <t>SYST-MOR-0006779</t>
  </si>
  <si>
    <t>SYST-MOR-0006779_S63_1.fq.gz</t>
  </si>
  <si>
    <t>SYST-MOR-0006779_S63_2.fq.gz</t>
  </si>
  <si>
    <t>QUE003543</t>
  </si>
  <si>
    <t>IA_BSP_048_MG</t>
  </si>
  <si>
    <t>Forested area, bushy foliage</t>
  </si>
  <si>
    <t>Celtis occidentalis</t>
  </si>
  <si>
    <t>MOR&lt;USA-IL&gt;: Garner, IA_BSP_048_MG</t>
  </si>
  <si>
    <t>0111348MOR</t>
  </si>
  <si>
    <t>426482CF-F41E-4FF3-B2E0-86B97C45165D</t>
  </si>
  <si>
    <t>https://swbiodiversity.org/seinet/collections/individual/index.php?occid=34693269</t>
  </si>
  <si>
    <t>SYST-MOR-0006780</t>
  </si>
  <si>
    <t>SYST-MOR-0006780_S64_1.fq.gz</t>
  </si>
  <si>
    <t>SYST-MOR-0006780_S64_2.fq.gz</t>
  </si>
  <si>
    <t>QUE003544</t>
  </si>
  <si>
    <t>IA_BSP_049_MG</t>
  </si>
  <si>
    <t>Wooded area, hillside, near park</t>
  </si>
  <si>
    <t>Celtis occidentalis, Tilia americana</t>
  </si>
  <si>
    <t>MOR&lt;USA-IL&gt;: Garner, IA_BSP_049_MG</t>
  </si>
  <si>
    <t>0111347MOR</t>
  </si>
  <si>
    <t>98F33DE9-4EC7-43C1-84EB-646E1D779D5B</t>
  </si>
  <si>
    <t>https://swbiodiversity.org/seinet/collections/individual/index.php?occid=34693555</t>
  </si>
  <si>
    <t>SYST-MOR-0006781</t>
  </si>
  <si>
    <t>SYST-MOR-0006781_S65_1.fq.gz</t>
  </si>
  <si>
    <t>SYST-MOR-0006781_S65_2.fq.gz</t>
  </si>
  <si>
    <t>QUE003545</t>
  </si>
  <si>
    <t>IA_BSP_050_MG</t>
  </si>
  <si>
    <t>Honey locus</t>
  </si>
  <si>
    <t>MOR&lt;USA-IL&gt;: Garner, IA_BSP_050_MG</t>
  </si>
  <si>
    <t>0111346MOR</t>
  </si>
  <si>
    <t>42629ECF-1115-4C39-96CE-25BD40BDC4D6</t>
  </si>
  <si>
    <t>https://swbiodiversity.org/seinet/collections/individual/index.php?occid=34693268</t>
  </si>
  <si>
    <t>SYST-MOR-0006782</t>
  </si>
  <si>
    <t>SYST-MOR-0006782_S66_1.fq.gz</t>
  </si>
  <si>
    <t>SYST-MOR-0006782_S66_2.fq.gz</t>
  </si>
  <si>
    <t>QUE003546</t>
  </si>
  <si>
    <t>IA_LNW_051_MG</t>
  </si>
  <si>
    <t>Van Buren</t>
  </si>
  <si>
    <t>Lindsay Wilderness</t>
  </si>
  <si>
    <t>Thicker forested area, lots of shrubby bushes and other trees</t>
  </si>
  <si>
    <t>MOR&lt;USA-IL&gt;: Garner, IA_LNW_051_MG</t>
  </si>
  <si>
    <t>0111058MOR</t>
  </si>
  <si>
    <t>F99B0A65-9D7E-44B4-AA07-7649EA5952F0</t>
  </si>
  <si>
    <t>https://swbiodiversity.org/seinet/collections/individual/index.php?occid=34693758</t>
  </si>
  <si>
    <t>SYST-MOR-0006783</t>
  </si>
  <si>
    <t>SYST-MOR-0006783_S67_1.fq.gz</t>
  </si>
  <si>
    <t>SYST-MOR-0006783_S67_2.fq.gz</t>
  </si>
  <si>
    <t>QUE003547</t>
  </si>
  <si>
    <t>IA_LNW_052_MG</t>
  </si>
  <si>
    <t>Worded area, dense foliage</t>
  </si>
  <si>
    <t>Ironwood, Arrow wood, Blackberry</t>
  </si>
  <si>
    <t>MOR&lt;USA-IL&gt;: Garner, IA_LNW_052_MG</t>
  </si>
  <si>
    <t>0111059MOR</t>
  </si>
  <si>
    <t>931D28AA-0B57-43CF-8D39-A93FB248595F</t>
  </si>
  <si>
    <t>https://swbiodiversity.org/seinet/collections/individual/index.php?occid=34693568</t>
  </si>
  <si>
    <t>SYST-MOR-0006784</t>
  </si>
  <si>
    <t>SYST-MOR-0006784_S68_1.fq.gz</t>
  </si>
  <si>
    <t>SYST-MOR-0006784_S68_2.fq.gz</t>
  </si>
  <si>
    <t>QUE003548</t>
  </si>
  <si>
    <t>IA_LNW_053_MG</t>
  </si>
  <si>
    <t>Wooded area, bushy foliage</t>
  </si>
  <si>
    <t>Ironwood</t>
  </si>
  <si>
    <t>MOR&lt;USA-IL&gt;: Garner, IA_LNW_053_MG</t>
  </si>
  <si>
    <t>0111057MOR</t>
  </si>
  <si>
    <t>31219238-02D0-4BDE-97DB-EEBA523B5CE5</t>
  </si>
  <si>
    <t>https://swbiodiversity.org/seinet/collections/individual/index.php?occid=34693278</t>
  </si>
  <si>
    <t>SYST-MOR-0006785</t>
  </si>
  <si>
    <t>SYST-MOR-0006785_S69_1.fq.gz</t>
  </si>
  <si>
    <t>SYST-MOR-0006785_S69_2.fq.gz</t>
  </si>
  <si>
    <t>QUE003549</t>
  </si>
  <si>
    <t>IA_LNW_054_MG</t>
  </si>
  <si>
    <t>Dry forested area, foliage</t>
  </si>
  <si>
    <t>Quercus alba, shagbark hickory, hackberry, Blackberry, Ironwood, Virginia creeper, Water horhound, Creeping Charlie</t>
  </si>
  <si>
    <t>MOR&lt;USA-IL&gt;: Garner, IA_LNW_054_MG</t>
  </si>
  <si>
    <t>0111060MOR</t>
  </si>
  <si>
    <t>58DCFE86-C47A-42F9-A619-C24C14417834</t>
  </si>
  <si>
    <t>https://swbiodiversity.org/seinet/collections/individual/index.php?occid=34693380</t>
  </si>
  <si>
    <t>SYST-MOR-0006786</t>
  </si>
  <si>
    <t>SYST-MOR-0006786_S70_1.fq.gz</t>
  </si>
  <si>
    <t>SYST-MOR-0006786_S70_2.fq.gz</t>
  </si>
  <si>
    <t>QUE003550</t>
  </si>
  <si>
    <t>IA_LNW_055_MG</t>
  </si>
  <si>
    <t>Lower land, dry forest. Dense brush</t>
  </si>
  <si>
    <t>Red oak, Acer sp., hickory, Hog-peanut, Yellow violet, Virginia creeper</t>
  </si>
  <si>
    <t>652 ft</t>
  </si>
  <si>
    <t>MOR&lt;USA-IL&gt;: Garner, IA_LNW_055_MG</t>
  </si>
  <si>
    <t>0111153MOR</t>
  </si>
  <si>
    <t>B8A35AEF-E022-4DE5-9462-1127D906AA21</t>
  </si>
  <si>
    <t>https://swbiodiversity.org/seinet/collections/individual/index.php?occid=34693603</t>
  </si>
  <si>
    <t>SYST-MOR-0006787</t>
  </si>
  <si>
    <t>SYST-MOR-0006787_S71_1.fq.gz</t>
  </si>
  <si>
    <t>SYST-MOR-0006787_S71_2.fq.gz</t>
  </si>
  <si>
    <t>QUE003551</t>
  </si>
  <si>
    <t>IA_LNW_056_MG</t>
  </si>
  <si>
    <t>Forested area, lots of underbrush</t>
  </si>
  <si>
    <t>American elm, black maple, ironwood, Rubus sp., Jack in the pulpit, Mustard, Gooseberry</t>
  </si>
  <si>
    <t>MOR&lt;USA-IL&gt;: Garner, IA_LNW_056_MG</t>
  </si>
  <si>
    <t>0111152MOR</t>
  </si>
  <si>
    <t>E4B0C8F4-F11C-4FB0-9803-28BC5DA0CC7D</t>
  </si>
  <si>
    <t>https://swbiodiversity.org/seinet/collections/individual/index.php?occid=34693761</t>
  </si>
  <si>
    <t>SYST-MOR-0006788</t>
  </si>
  <si>
    <t>SYST-MOR-0006788_S72_1.fq.gz</t>
  </si>
  <si>
    <t>SYST-MOR-0006788_S72_2.fq.gz</t>
  </si>
  <si>
    <t>QUE003552</t>
  </si>
  <si>
    <t>IA_LNW_057_MG</t>
  </si>
  <si>
    <t>Woody, forest, dry</t>
  </si>
  <si>
    <t>red maple, red oak, hickory, Redbud</t>
  </si>
  <si>
    <t>642 ft</t>
  </si>
  <si>
    <t>MOR&lt;USA-IL&gt;: Garner, IA_LNW_057_MG</t>
  </si>
  <si>
    <t>0111151MOR</t>
  </si>
  <si>
    <t>3F20650C-5498-4FEE-875A-EB28A778D464</t>
  </si>
  <si>
    <t>https://swbiodiversity.org/seinet/collections/individual/index.php?occid=34693283</t>
  </si>
  <si>
    <t>SYST-MOR-0006789</t>
  </si>
  <si>
    <t>SYST-MOR-0006789_S73_1.fq.gz</t>
  </si>
  <si>
    <t>SYST-MOR-0006789_S73_2.fq.gz</t>
  </si>
  <si>
    <t>QUE003553</t>
  </si>
  <si>
    <t>IA_LNW_058_MG</t>
  </si>
  <si>
    <t>Woody forest, bluff hillside</t>
  </si>
  <si>
    <t>red maple, hackberry, Quercus muehlenbergii, Hickory, Red maple, Barberry, Redbud, Ironwood, Rubus sp., Poison ivy</t>
  </si>
  <si>
    <t>646 ft</t>
  </si>
  <si>
    <t>MOR&lt;USA-IL&gt;: Garner, IA_LNW_058_MG</t>
  </si>
  <si>
    <t>0111150MOR</t>
  </si>
  <si>
    <t>CE8BFC2B-F0A5-4A37-BE48-57A51F831670</t>
  </si>
  <si>
    <t>https://swbiodiversity.org/seinet/collections/individual/index.php?occid=34693668</t>
  </si>
  <si>
    <t>SYST-MOR-0006790</t>
  </si>
  <si>
    <t>SYST-MOR-0006790_S74_1.fq.gz</t>
  </si>
  <si>
    <t>SYST-MOR-0006790_S74_2.fq.gz</t>
  </si>
  <si>
    <t>QUE003554</t>
  </si>
  <si>
    <t>IA_LNW_059_MG</t>
  </si>
  <si>
    <t>Forest, low underbrush, more open, dry</t>
  </si>
  <si>
    <t>Quercus alba, Quercus macrocarpa, red maple, shagbark hickory, Mayapple, Poison ivy, Ash, Virginia creeper</t>
  </si>
  <si>
    <t>MOR&lt;USA-IL&gt;: Garner, IA_LNW_059_MG</t>
  </si>
  <si>
    <t>0111355MOR</t>
  </si>
  <si>
    <t>69C164C3-5DDA-4117-8AB0-0A4C6BC91E6B</t>
  </si>
  <si>
    <t>https://swbiodiversity.org/seinet/collections/individual/index.php?occid=34693432</t>
  </si>
  <si>
    <t>SYST-MOR-0006791</t>
  </si>
  <si>
    <t>SYST-MOR-0006791_S75_1.fq.gz</t>
  </si>
  <si>
    <t>SYST-MOR-0006791_S75_2.fq.gz</t>
  </si>
  <si>
    <t>QUE003555</t>
  </si>
  <si>
    <t>IA_LNW_060_MG</t>
  </si>
  <si>
    <t>Forest, lower brush but still a thick, a little open</t>
  </si>
  <si>
    <t>Fraxinus americana, hackberry, linden, Virginia creeper, Rose, Redbud</t>
  </si>
  <si>
    <t>MOR&lt;USA-IL&gt;: Garner, IA_LNW_060_MG</t>
  </si>
  <si>
    <t>0111354MOR</t>
  </si>
  <si>
    <t>EB76E7D8-4BF7-4A4F-87DA-712A1998A3E3</t>
  </si>
  <si>
    <t>https://swbiodiversity.org/seinet/collections/individual/index.php?occid=34693765</t>
  </si>
  <si>
    <t>SYST-MOR-0006792</t>
  </si>
  <si>
    <t>SYST-MOR-0006792_S76_1.fq.gz</t>
  </si>
  <si>
    <t>SYST-MOR-0006792_S76_2.fq.gz</t>
  </si>
  <si>
    <t>QUE003556</t>
  </si>
  <si>
    <t>IA_LNW_061_MG</t>
  </si>
  <si>
    <t>Woodland, bluff lands</t>
  </si>
  <si>
    <t>Quercus alba, Shagbark hickory, Fraxinus americana, Ironwood, Virginia creeper</t>
  </si>
  <si>
    <t>MOR&lt;USA-IL&gt;: Garner, IA_LNW_061_MG</t>
  </si>
  <si>
    <t>0111061MOR</t>
  </si>
  <si>
    <t>2DD9EC23-ADB2-402A-9A7E-59597D707AED</t>
  </si>
  <si>
    <t>https://swbiodiversity.org/seinet/collections/individual/index.php?occid=34693274</t>
  </si>
  <si>
    <t>SYST-MOR-0006793</t>
  </si>
  <si>
    <t>SYST-MOR-0006793_S77_1.fq.gz</t>
  </si>
  <si>
    <t>SYST-MOR-0006793_S77_2.fq.gz</t>
  </si>
  <si>
    <t>QUE003557</t>
  </si>
  <si>
    <t>IA_LNW_062_MG</t>
  </si>
  <si>
    <t>Woodland, bluff hills</t>
  </si>
  <si>
    <t>Quercus alba, shagbark hickory, red oak, Rose sp., Virginia creeper, Ironwood</t>
  </si>
  <si>
    <t>MOR&lt;USA-IL&gt;: Garner, IA_LNW_062_MG</t>
  </si>
  <si>
    <t>0111149MOR</t>
  </si>
  <si>
    <t>C50EB5CE-14A8-471C-A307-6CF9BF4B4F96</t>
  </si>
  <si>
    <t>https://swbiodiversity.org/seinet/collections/individual/index.php?occid=34693675</t>
  </si>
  <si>
    <t>SYST-MOR-0006794</t>
  </si>
  <si>
    <t>SYST-MOR-0006794_S78_1.fq.gz</t>
  </si>
  <si>
    <t>SYST-MOR-0006794_S78_2.fq.gz</t>
  </si>
  <si>
    <t>QUE003558</t>
  </si>
  <si>
    <t>IA_LNW_063_MG</t>
  </si>
  <si>
    <t>red maple, ironwood, Quercus bicolor, hickory, Barberry, Virginia creeper, Chokeberry</t>
  </si>
  <si>
    <t>649 ft</t>
  </si>
  <si>
    <t>MOR&lt;USA-IL&gt;: Garner, IA_LNW_063_MG</t>
  </si>
  <si>
    <t>0111097MOR</t>
  </si>
  <si>
    <t>F2A4F3F1-93A2-4E02-874E-5AC464ED2327</t>
  </si>
  <si>
    <t>https://swbiodiversity.org/seinet/collections/individual/index.php?occid=34693770</t>
  </si>
  <si>
    <t>SYST-MOR-0006795</t>
  </si>
  <si>
    <t>SYST-MOR-0006795_S79_1.fq.gz</t>
  </si>
  <si>
    <t>SYST-MOR-0006795_S79_2.fq.gz</t>
  </si>
  <si>
    <t>QUE003559</t>
  </si>
  <si>
    <t>IA_LNW_064_MG</t>
  </si>
  <si>
    <t>ash, Rose sp., Chokeberry, Virginia creeper</t>
  </si>
  <si>
    <t>MOR&lt;USA-IL&gt;: Garner, IA_LNW_064_MG</t>
  </si>
  <si>
    <t>0111095MOR</t>
  </si>
  <si>
    <t>658EFC81-95C8-4D39-88EA-18DF2553171D</t>
  </si>
  <si>
    <t>https://swbiodiversity.org/seinet/collections/individual/index.php?occid=34693411</t>
  </si>
  <si>
    <t>SYST-MOR-0006796</t>
  </si>
  <si>
    <t>SYST-MOR-0006796_S80_1.fq.gz</t>
  </si>
  <si>
    <t>SYST-MOR-0006796_S80_2.fq.gz</t>
  </si>
  <si>
    <t>QUE003560</t>
  </si>
  <si>
    <t>IA_LNW_065_MG</t>
  </si>
  <si>
    <t>Woodlands, bluff hills</t>
  </si>
  <si>
    <t>Quercus muehlenbergii, walnut, Virginia creeper, Rose sp., Autumn olive</t>
  </si>
  <si>
    <t>MOR&lt;USA-IL&gt;: Garner, IA_LNW_065_MG</t>
  </si>
  <si>
    <t>0111096MOR</t>
  </si>
  <si>
    <t>B740CC91-DB6C-48E5-9C6E-95F9D9DF1560</t>
  </si>
  <si>
    <t>https://swbiodiversity.org/seinet/collections/individual/index.php?occid=34693627</t>
  </si>
  <si>
    <t>SYST-MOR-0006797</t>
  </si>
  <si>
    <t>SYST-MOR-0006797_S81_1.fq.gz</t>
  </si>
  <si>
    <t>SYST-MOR-0006797_S81_2.fq.gz</t>
  </si>
  <si>
    <t>QUE003561</t>
  </si>
  <si>
    <t>IA_CHP_066_MG</t>
  </si>
  <si>
    <t>Linn</t>
  </si>
  <si>
    <t>Cherokee Park</t>
  </si>
  <si>
    <t>Park area</t>
  </si>
  <si>
    <t>Grass, dandelion</t>
  </si>
  <si>
    <t>Seeds ripening,Male flowers showing</t>
  </si>
  <si>
    <t>MOR&lt;USA-IL&gt;: Garner, IA_CHP_066_MG</t>
  </si>
  <si>
    <t>0111353MOR</t>
  </si>
  <si>
    <t>2C07C76B-53F7-4FA1-802E-3D088CA851F2</t>
  </si>
  <si>
    <t>https://swbiodiversity.org/seinet/collections/individual/index.php?occid=34693240</t>
  </si>
  <si>
    <t>SYST-MOR-0006798</t>
  </si>
  <si>
    <t>SYST-MOR-0006798_S82_1.fq.gz</t>
  </si>
  <si>
    <t>SYST-MOR-0006798_S82_2.fq.gz</t>
  </si>
  <si>
    <t>QUE003562</t>
  </si>
  <si>
    <t>IA_CHP_067_MG</t>
  </si>
  <si>
    <t>Open park area</t>
  </si>
  <si>
    <t>Grass, clover and dandelions</t>
  </si>
  <si>
    <t>MOR&lt;USA-IL&gt;: Garner, IA_CHP_067_MG</t>
  </si>
  <si>
    <t>0111352MOR</t>
  </si>
  <si>
    <t>A56CAA2F-3F44-4C18-A70B-B7FA62665432</t>
  </si>
  <si>
    <t>https://swbiodiversity.org/seinet/collections/individual/index.php?occid=34693614</t>
  </si>
  <si>
    <t>SYST-MOR-0006799</t>
  </si>
  <si>
    <t>SYST-MOR-0006799_S83_1.fq.gz</t>
  </si>
  <si>
    <t>SYST-MOR-0006799_S83_2.fq.gz</t>
  </si>
  <si>
    <t>QUE003563</t>
  </si>
  <si>
    <t>IA_CHP_068_MG</t>
  </si>
  <si>
    <t>grass, clover</t>
  </si>
  <si>
    <t>MOR&lt;USA-IL&gt;: Garner, IA_CHP_068_MG</t>
  </si>
  <si>
    <t>0111108MOR</t>
  </si>
  <si>
    <t>C2BBC054-1979-4B05-AB34-A7563A2D2E90</t>
  </si>
  <si>
    <t>https://swbiodiversity.org/seinet/collections/individual/index.php?occid=34693692</t>
  </si>
  <si>
    <t>SYST-MOR-0006800</t>
  </si>
  <si>
    <t>SYST-MOR-0006800_S84_1.fq.gz</t>
  </si>
  <si>
    <t>SYST-MOR-0006800_S84_2.fq.gz</t>
  </si>
  <si>
    <t>QUE003564</t>
  </si>
  <si>
    <t>IA_CHP_069_MG</t>
  </si>
  <si>
    <t>Open park</t>
  </si>
  <si>
    <t>Grass, common plantain, dandelion</t>
  </si>
  <si>
    <t>MOR&lt;USA-IL&gt;: Garner, IA_CHP_069_MG</t>
  </si>
  <si>
    <t>0111351MOR</t>
  </si>
  <si>
    <t>FEFF77F1-6820-476C-931A-8F24CC2E21EE</t>
  </si>
  <si>
    <t>https://swbiodiversity.org/seinet/collections/individual/index.php?occid=34693794</t>
  </si>
  <si>
    <t>SYST-MOR-0006801</t>
  </si>
  <si>
    <t>SYST-MOR-0006801_S85_1.fq.gz</t>
  </si>
  <si>
    <t>SYST-MOR-0006801_S85_2.fq.gz</t>
  </si>
  <si>
    <t>QUE003565</t>
  </si>
  <si>
    <t>IA_CHP_070_MG</t>
  </si>
  <si>
    <t xml:space="preserve"> Pine, Grass, dandelion</t>
  </si>
  <si>
    <t>842 ft</t>
  </si>
  <si>
    <t>MOR&lt;USA-IL&gt;: Garner, IA_CHP_070_MG</t>
  </si>
  <si>
    <t>0111350MOR</t>
  </si>
  <si>
    <t>1FBF8A6B-CB43-46EC-88E9-224F2BBB8E30</t>
  </si>
  <si>
    <t>https://swbiodiversity.org/seinet/collections/individual/index.php?occid=34693236</t>
  </si>
  <si>
    <t>SYST-MOR-0006802</t>
  </si>
  <si>
    <t>SYST-MOR-0006802_S86_1.fq.gz</t>
  </si>
  <si>
    <t>SYST-MOR-0006802_S86_2.fq.gz</t>
  </si>
  <si>
    <t>QUE003566</t>
  </si>
  <si>
    <t>MO_CSW_071_MGLS</t>
  </si>
  <si>
    <t>Leah Samuels, Mira Garner</t>
  </si>
  <si>
    <t>St. Louis</t>
  </si>
  <si>
    <t>Castlewood State Park</t>
  </si>
  <si>
    <t>Dense shrubby wood</t>
  </si>
  <si>
    <t>American elm, Sunflowers, American hog peanut, Virginia creeper</t>
  </si>
  <si>
    <t>444 ft</t>
  </si>
  <si>
    <t>MOR&lt;USA-IL&gt;: Samuels, MO_CSW_071_MGLS</t>
  </si>
  <si>
    <t>0111334MOR</t>
  </si>
  <si>
    <t>4DFE299C-F281-4F85-90B7-C6AFE50FA5C9</t>
  </si>
  <si>
    <t>https://swbiodiversity.org/seinet/collections/individual/index.php?occid=34693373</t>
  </si>
  <si>
    <t>SYST-MOR-0006803</t>
  </si>
  <si>
    <t>SYST-MOR-0006803_S87_1.fq.gz</t>
  </si>
  <si>
    <t>SYST-MOR-0006803_S87_2.fq.gz</t>
  </si>
  <si>
    <t>QUE003567</t>
  </si>
  <si>
    <t>MO_CSW_072_MGLS</t>
  </si>
  <si>
    <t>Shrubby woods, tall foliage</t>
  </si>
  <si>
    <t>hackberry, American elm, Poison ivy, Virginia creeper, sunflower, wheatgrass, paw paws</t>
  </si>
  <si>
    <t>442 ft</t>
  </si>
  <si>
    <t>MOR&lt;USA-IL&gt;: Samuels, MO_CSW_072_MGLS</t>
  </si>
  <si>
    <t>0111338MOR</t>
  </si>
  <si>
    <t>5F11F66B-82AC-4D73-B24B-AD3A85A7B3D1</t>
  </si>
  <si>
    <t>https://swbiodiversity.org/seinet/collections/individual/index.php?occid=34693350</t>
  </si>
  <si>
    <t>SYST-MOR-0006804</t>
  </si>
  <si>
    <t>SYST-MOR-0006804_S88_1.fq.gz</t>
  </si>
  <si>
    <t>SYST-MOR-0006804_S88_2.fq.gz</t>
  </si>
  <si>
    <t>QUE003568</t>
  </si>
  <si>
    <t>MO_CSW_073_MGLS</t>
  </si>
  <si>
    <t>Shrubby woods</t>
  </si>
  <si>
    <t>American sycamore, hackberry, Sunflower, American hog peanut, Virginia creeper, pawpaw, American jump seed</t>
  </si>
  <si>
    <t>443 ft</t>
  </si>
  <si>
    <t>MOR&lt;USA-IL&gt;: Samuels, MO_CSW_073_MGLS</t>
  </si>
  <si>
    <t>0111337MOR</t>
  </si>
  <si>
    <t>31BF161D-8D4B-467E-93DF-C40838C8AD86</t>
  </si>
  <si>
    <t>https://swbiodiversity.org/seinet/collections/individual/index.php?occid=34693302</t>
  </si>
  <si>
    <t>SYST-MOR-0006805</t>
  </si>
  <si>
    <t>SYST-MOR-0006805_S89_1.fq.gz</t>
  </si>
  <si>
    <t>SYST-MOR-0006805_S89_2.fq.gz</t>
  </si>
  <si>
    <t>QUE003569</t>
  </si>
  <si>
    <t>MO_TRC_074_MG</t>
  </si>
  <si>
    <t>Leah Samuels, Mira Garner, Erin O'Connell</t>
  </si>
  <si>
    <t>Tyson Research Center</t>
  </si>
  <si>
    <t>Side of hill, low foliage, wooded</t>
  </si>
  <si>
    <t>red oak, hickory, white ash, black oak, American hog peanut, Virginia creeper, redbud, grapevine, raspberry, sumac</t>
  </si>
  <si>
    <t>MOR&lt;USA-IL&gt;: Samuels, MO_TRC_074_MG</t>
  </si>
  <si>
    <t>0111468MOR</t>
  </si>
  <si>
    <t>8DBE75C3-A715-481D-8B87-51F522045919</t>
  </si>
  <si>
    <t>https://swbiodiversity.org/seinet/collections/individual/index.php?occid=34693545</t>
  </si>
  <si>
    <t>SYST-MOR-0006806</t>
  </si>
  <si>
    <t>SYST-MOR-0006806_S90_1.fq.gz</t>
  </si>
  <si>
    <t>SYST-MOR-0006806_S90_2.fq.gz</t>
  </si>
  <si>
    <t>QUE003570</t>
  </si>
  <si>
    <t>MO_TRC_075_MG</t>
  </si>
  <si>
    <t>Side of hill, low foliage, wooded area</t>
  </si>
  <si>
    <t>Quercus muehlenbergii, black oak, red oak, hickory, black walnut, Redbud, American hog peanut, Virginia creeper, sassafras</t>
  </si>
  <si>
    <t>675 ft</t>
  </si>
  <si>
    <t>MOR&lt;USA-IL&gt;: Samuels, MO_TRC_075_MG</t>
  </si>
  <si>
    <t>0111133MOR</t>
  </si>
  <si>
    <t>A2E34550-A627-4853-B8D9-B04F8CF1358F</t>
  </si>
  <si>
    <t>https://swbiodiversity.org/seinet/collections/individual/index.php?occid=34693631</t>
  </si>
  <si>
    <t>SYST-MOR-0006807</t>
  </si>
  <si>
    <t>SYST-MOR-0006807_S91_1.fq.gz</t>
  </si>
  <si>
    <t>SYST-MOR-0006807_S91_2.fq.gz</t>
  </si>
  <si>
    <t>QUE003571</t>
  </si>
  <si>
    <t>MO_TRC_076_MG</t>
  </si>
  <si>
    <t>On side of hill, low foliage, wooded</t>
  </si>
  <si>
    <t>red cedar, red oak, black oak, Quercus stellata, Redbud, Virginia creeper, American hog peanut, raspberry, buckthorn, flowering dogwood, ash, fragrant sumac</t>
  </si>
  <si>
    <t>704 ft</t>
  </si>
  <si>
    <t>MOR&lt;USA-IL&gt;: Samuels, MO_TRC_076_MG</t>
  </si>
  <si>
    <t>0111050MOR</t>
  </si>
  <si>
    <t>DF7B9D03-48F5-49A4-8434-ADC17CA3800A</t>
  </si>
  <si>
    <t>https://swbiodiversity.org/seinet/collections/individual/index.php?occid=34693143</t>
  </si>
  <si>
    <t>SYST-MOR-0006808</t>
  </si>
  <si>
    <t>SYST-MOR-0006808_S92_1.fq.gz</t>
  </si>
  <si>
    <t>SYST-MOR-0006808_S92_2.fq.gz</t>
  </si>
  <si>
    <t>QUE003572</t>
  </si>
  <si>
    <t>MO_TRC_077_MG</t>
  </si>
  <si>
    <t>Hillside, low foliage, wooded forest</t>
  </si>
  <si>
    <t>red oak, white oak, black oak, sugar maple, Fragrant sumac, Virginia creeper, redbud, American hog peanut</t>
  </si>
  <si>
    <t>MOR&lt;USA-IL&gt;: Samuels, MO_TRC_077_MG</t>
  </si>
  <si>
    <t>0111146MOR</t>
  </si>
  <si>
    <t>D654F753-9248-4257-B2C0-D419678077DC</t>
  </si>
  <si>
    <t>https://swbiodiversity.org/seinet/collections/individual/index.php?occid=34693720</t>
  </si>
  <si>
    <t>SYST-MOR-0006809</t>
  </si>
  <si>
    <t>SYST-MOR-0006809_S93_1.fq.gz</t>
  </si>
  <si>
    <t>SYST-MOR-0006809_S93_2.fq.gz</t>
  </si>
  <si>
    <t>QUE003573</t>
  </si>
  <si>
    <t>MO_TRC_078_MG</t>
  </si>
  <si>
    <t>Hillside, rocky ground, low foliage, wooded</t>
  </si>
  <si>
    <t>Quercus alba, red oak, shagbark hickory, Quercus muehlenbergii, black oak, Virginia creeper, fragrant sumac, redbud, American hog peanut, grass</t>
  </si>
  <si>
    <t>682 ft</t>
  </si>
  <si>
    <t>MOR&lt;USA-IL&gt;: Samuels, MO_TRC_078_MG</t>
  </si>
  <si>
    <t>0111049MOR</t>
  </si>
  <si>
    <t>5424BF8F-E281-4403-9041-A9520DC9FB33</t>
  </si>
  <si>
    <t>https://swbiodiversity.org/seinet/collections/individual/index.php?occid=34693343</t>
  </si>
  <si>
    <t>SYST-MOR-0006810</t>
  </si>
  <si>
    <t>SYST-MOR-0006810_S94_1.fq.gz</t>
  </si>
  <si>
    <t>SYST-MOR-0006810_S94_2.fq.gz</t>
  </si>
  <si>
    <t>QUE003574</t>
  </si>
  <si>
    <t>MO_TRC_079_MG</t>
  </si>
  <si>
    <t>Hillside, rocky, low foliage, wooded area</t>
  </si>
  <si>
    <t>black oak, Quercus alba, sugar maple, mockernut hickory, American hog peanut, Virginia creeper, Carolina buckthorn, trailing lespedeza, ash, honeysuckle, elm</t>
  </si>
  <si>
    <t>Caps on the ground,Male flowers showing</t>
  </si>
  <si>
    <t>710 ft</t>
  </si>
  <si>
    <t>MOR&lt;USA-IL&gt;: Samuels, MO_TRC_079_MG</t>
  </si>
  <si>
    <t>0111467MOR</t>
  </si>
  <si>
    <t>A6FE5164-2845-4E41-A5E6-621E4C434A15</t>
  </si>
  <si>
    <t>https://swbiodiversity.org/seinet/collections/individual/index.php?occid=34693585</t>
  </si>
  <si>
    <t>SYST-MOR-0006811</t>
  </si>
  <si>
    <t>SYST-MOR-0006811_S95_1.fq.gz</t>
  </si>
  <si>
    <t>SYST-MOR-0006811_S95_2.fq.gz</t>
  </si>
  <si>
    <t>QUE003575</t>
  </si>
  <si>
    <t>MO_TRC_080_MG</t>
  </si>
  <si>
    <t>Hillside, rocky low foliage, wooded</t>
  </si>
  <si>
    <t>sugar maple, sassafras, slippery elm, white ash, red oak, Redbud, Carolina buckthorn, American hog peanut, Virginia creeper, black oak, dogwood, honeysuckle</t>
  </si>
  <si>
    <t>MOR&lt;USA-IL&gt;: Samuels, MO_TRC_080_MG</t>
  </si>
  <si>
    <t>0111147MOR</t>
  </si>
  <si>
    <t>AD984A66-4993-467A-9735-3993CBAA08F6</t>
  </si>
  <si>
    <t>https://swbiodiversity.org/seinet/collections/individual/index.php?occid=34693639</t>
  </si>
  <si>
    <t>SYST-MOR-0006812</t>
  </si>
  <si>
    <t>SYST-MOR-0006812_S96_1.fq.gz</t>
  </si>
  <si>
    <t>SYST-MOR-0006812_S96_2.fq.gz</t>
  </si>
  <si>
    <t>QUE003576</t>
  </si>
  <si>
    <t>MO_TRC_081_MG</t>
  </si>
  <si>
    <t>Rocky hill, low foliage, wooded area</t>
  </si>
  <si>
    <t>sugar maple, black oak, Quercus alba, Quercus muehlenbergii, ash, American hog peanut, dogwood, redbud, fragrant sumac, sassafras, grass</t>
  </si>
  <si>
    <t>MOR&lt;USA-IL&gt;: Samuels, MO_TRC_081_MG</t>
  </si>
  <si>
    <t>0111148MOR</t>
  </si>
  <si>
    <t>9DF6101E-08B1-46BB-84DD-C09CD47F386A</t>
  </si>
  <si>
    <t>https://swbiodiversity.org/seinet/collections/individual/index.php?occid=34693580</t>
  </si>
  <si>
    <t>SYST-MOR-0006813</t>
  </si>
  <si>
    <t>SYST-MOR-0006813_S97_1.fq.gz</t>
  </si>
  <si>
    <t>SYST-MOR-0006813_S97_2.fq.gz</t>
  </si>
  <si>
    <t>QUE003577</t>
  </si>
  <si>
    <t>MO_TRC_082_MG</t>
  </si>
  <si>
    <t>Low foliage, wooded area</t>
  </si>
  <si>
    <t>Quercus stellata, red oak, ash, Inland wood oats, American hog peanut, fragrant sumac, Carolina buckthorn</t>
  </si>
  <si>
    <t>748 ft</t>
  </si>
  <si>
    <t>MOR&lt;USA-IL&gt;: Samuels, MO_TRC_082_MG</t>
  </si>
  <si>
    <t>0111466MOR</t>
  </si>
  <si>
    <t>71EC317D-7C85-4920-8594-D26591CF3D63</t>
  </si>
  <si>
    <t>https://swbiodiversity.org/seinet/collections/individual/index.php?occid=34693464</t>
  </si>
  <si>
    <t>SYST-MOR-0006814</t>
  </si>
  <si>
    <t>SYST-MOR-0006814_S98_1.fq.gz</t>
  </si>
  <si>
    <t>SYST-MOR-0006814_S98_2.fq.gz</t>
  </si>
  <si>
    <t>QUE003578</t>
  </si>
  <si>
    <t>MO_TRC_083_MG</t>
  </si>
  <si>
    <t>Low sparse foliage, wooded area</t>
  </si>
  <si>
    <t>hickory, Quercus stellata, black oak, ash, Honeysuckle, poison ivy, Carolina buckthorn, Virginia creeper</t>
  </si>
  <si>
    <t>MOR&lt;USA-IL&gt;: Samuels, MO_TRC_083_MG</t>
  </si>
  <si>
    <t>0111465MOR</t>
  </si>
  <si>
    <t>D2BA7369-0AED-4C20-94E1-CE0E35ABF037</t>
  </si>
  <si>
    <t>https://swbiodiversity.org/seinet/collections/individual/index.php?occid=34693716</t>
  </si>
  <si>
    <t>SYST-MOR-0006815</t>
  </si>
  <si>
    <t>SYST-MOR-0006815_S99_1.fq.gz</t>
  </si>
  <si>
    <t>SYST-MOR-0006815_S99_2.fq.gz</t>
  </si>
  <si>
    <t>QUE003579</t>
  </si>
  <si>
    <t>MO_TRC_084_MG</t>
  </si>
  <si>
    <t>Wooded area, mid height but not dense foliage, rocky soil</t>
  </si>
  <si>
    <t>red oak, ash, Fragrant sassafras, dogwood, Virginia creeper, mayapple, honeysuckle</t>
  </si>
  <si>
    <t>776 ft</t>
  </si>
  <si>
    <t>MOR&lt;USA-IL&gt;: Samuels, MO_TRC_084_MG</t>
  </si>
  <si>
    <t>0111142MOR</t>
  </si>
  <si>
    <t>9E2301AB-B88D-4B5B-A32B-BCEEA36D41B0</t>
  </si>
  <si>
    <t>https://swbiodiversity.org/seinet/collections/individual/index.php?occid=34693581</t>
  </si>
  <si>
    <t>SYST-MOR-0006816</t>
  </si>
  <si>
    <t>SYST-MOR-0006816_S100_1.fq.gz</t>
  </si>
  <si>
    <t>SYST-MOR-0006816_S100_2.fq.gz</t>
  </si>
  <si>
    <t>QUE003580</t>
  </si>
  <si>
    <t>MO_TRC_085_MG</t>
  </si>
  <si>
    <t>Wooded area, sparse foliage, gravelly</t>
  </si>
  <si>
    <t>red oak, black oak, hickory, Virginia creeper, honeysuckle, sassafras, ash</t>
  </si>
  <si>
    <t>745 ft</t>
  </si>
  <si>
    <t>MOR&lt;USA-IL&gt;: Samuels, MO_TRC_085_MG</t>
  </si>
  <si>
    <t>0111048MOR</t>
  </si>
  <si>
    <t>2CCEC5B1-FBE3-40F6-9CB5-8D7002958717</t>
  </si>
  <si>
    <t>https://swbiodiversity.org/seinet/collections/individual/index.php?occid=34693254</t>
  </si>
  <si>
    <t>SYST-MOR-0006817</t>
  </si>
  <si>
    <t>SYST-MOR-0006817_S101_1.fq.gz</t>
  </si>
  <si>
    <t>SYST-MOR-0006817_S101_2.fq.gz</t>
  </si>
  <si>
    <t>QUE003581</t>
  </si>
  <si>
    <t>MO_TRC_086_MG</t>
  </si>
  <si>
    <t>Wooded area, foliage, rocky ground</t>
  </si>
  <si>
    <t>hickory, red oak, Fragrant sumac, poison Ivy, serviceberry, dogwood</t>
  </si>
  <si>
    <t>741 ft</t>
  </si>
  <si>
    <t>MOR&lt;USA-IL&gt;: Samuels, MO_TRC_086_MG</t>
  </si>
  <si>
    <t>0111464MOR</t>
  </si>
  <si>
    <t>A1054615-B799-4A04-B8B2-2B0503BF7EEF</t>
  </si>
  <si>
    <t>https://swbiodiversity.org/seinet/collections/individual/index.php?occid=34693583</t>
  </si>
  <si>
    <t>SYST-MOR-0006818</t>
  </si>
  <si>
    <t>SYST-MOR-0006818_S102_1.fq.gz</t>
  </si>
  <si>
    <t>SYST-MOR-0006818_S102_2.fq.gz</t>
  </si>
  <si>
    <t>QUE003582</t>
  </si>
  <si>
    <t>MO_TRC_087_MG</t>
  </si>
  <si>
    <t>Wooded area, taller foliage</t>
  </si>
  <si>
    <t>ash, red oak, Fragrant sumac, clover</t>
  </si>
  <si>
    <t>744 ft</t>
  </si>
  <si>
    <t>MOR&lt;USA-IL&gt;: Samuels, MO_TRC_087_MG</t>
  </si>
  <si>
    <t>0111047MOR</t>
  </si>
  <si>
    <t>BF38A42C-C495-4A45-8FA5-64E677678B5A</t>
  </si>
  <si>
    <t>https://swbiodiversity.org/seinet/collections/individual/index.php?occid=34693689</t>
  </si>
  <si>
    <t>SYST-MOR-0006819</t>
  </si>
  <si>
    <t>SYST-MOR-0006819_S103_1.fq.gz</t>
  </si>
  <si>
    <t>SYST-MOR-0006819_S103_2.fq.gz</t>
  </si>
  <si>
    <t>QUE003583</t>
  </si>
  <si>
    <t>MO_TRC_088_MG</t>
  </si>
  <si>
    <t>Wooded area, sparse, low foliage</t>
  </si>
  <si>
    <t>red oak, black oak, Quercus alba, Ash, hickory, Carolina buckthorn, false buckthorn, American hog peanut</t>
  </si>
  <si>
    <t>763 ft</t>
  </si>
  <si>
    <t>MOR&lt;USA-IL&gt;: Samuels, MO_TRC_088_MG</t>
  </si>
  <si>
    <t>0111046MOR</t>
  </si>
  <si>
    <t>AF748CE7-0355-43D2-8607-236F64772C97</t>
  </si>
  <si>
    <t>https://swbiodiversity.org/seinet/collections/individual/index.php?occid=34693658</t>
  </si>
  <si>
    <t>SYST-MOR-0006820</t>
  </si>
  <si>
    <t>SYST-MOR-0006820_S104_1.fq.gz</t>
  </si>
  <si>
    <t>SYST-MOR-0006820_S104_2.fq.gz</t>
  </si>
  <si>
    <t>QUE003584</t>
  </si>
  <si>
    <t>MO_HHT_089_MG</t>
  </si>
  <si>
    <t>Camden</t>
  </si>
  <si>
    <t>Ha Ha Tonka State Park</t>
  </si>
  <si>
    <t>Wooded area, dense, tall foliage</t>
  </si>
  <si>
    <t>elm, ironwood, sycamore, Pawpaw, Virginia creeper, garlic mustard, northern spicebush, coral berry</t>
  </si>
  <si>
    <t>MOR&lt;USA-IL&gt;: Samuels, MO_HHT_089_MG</t>
  </si>
  <si>
    <t>0111336MOR</t>
  </si>
  <si>
    <t>83FA48D5-8A7E-49D9-80F1-C2804287EE38</t>
  </si>
  <si>
    <t>https://swbiodiversity.org/seinet/collections/individual/index.php?occid=34693497</t>
  </si>
  <si>
    <t>SYST-MOR-0006821</t>
  </si>
  <si>
    <t>SYST-MOR-0006821_S105_1.fq.gz</t>
  </si>
  <si>
    <t>SYST-MOR-0006821_S105_2.fq.gz</t>
  </si>
  <si>
    <t>QUE003585</t>
  </si>
  <si>
    <t>MO_HHT_090_MG</t>
  </si>
  <si>
    <t>Open woodlands</t>
  </si>
  <si>
    <t>Quercus stellata, black oak, Sunflower, fragrant sumac, common dittany, Virginia creeper, American hog peanut</t>
  </si>
  <si>
    <t>Male flowers showing,Caps on the ground</t>
  </si>
  <si>
    <t>838 ft</t>
  </si>
  <si>
    <t>MOR&lt;USA-IL&gt;: Samuels, MO_HHT_090_MG</t>
  </si>
  <si>
    <t>0111045MOR</t>
  </si>
  <si>
    <t>A4A02C37-6628-4AF0-A2B6-1D6848A8EC83</t>
  </si>
  <si>
    <t>https://swbiodiversity.org/seinet/collections/individual/index.php?occid=34693652</t>
  </si>
  <si>
    <t>SYST-MOR-0006822</t>
  </si>
  <si>
    <t>SYST-MOR-0006822_S106_1.fq.gz</t>
  </si>
  <si>
    <t>SYST-MOR-0006822_S106_2.fq.gz</t>
  </si>
  <si>
    <t>QUE003586</t>
  </si>
  <si>
    <t>MO_HHT_091_MG</t>
  </si>
  <si>
    <t>Quercus alba, black oak, Quercus stellata, black cherry, Poison ivy, sunflower, sassafras, fragrant sumac, Virginia creeper</t>
  </si>
  <si>
    <t>839 ft</t>
  </si>
  <si>
    <t>MOR&lt;USA-IL&gt;: Samuels, MO_HHT_091_MG</t>
  </si>
  <si>
    <t>0111463MOR</t>
  </si>
  <si>
    <t>24C6C0DA-B9EC-4BDF-9318-2C6821736C15</t>
  </si>
  <si>
    <t>https://swbiodiversity.org/seinet/collections/individual/index.php?occid=34693249</t>
  </si>
  <si>
    <t>SYST-MOR-0006823</t>
  </si>
  <si>
    <t>SYST-MOR-0006823_S107_1.fq.gz</t>
  </si>
  <si>
    <t>SYST-MOR-0006823_S107_2.fq.gz</t>
  </si>
  <si>
    <t>QUE003587</t>
  </si>
  <si>
    <t>MO_HHT_092_MG</t>
  </si>
  <si>
    <t>Open dry woodlands</t>
  </si>
  <si>
    <t>Quercus stellata, sassafras, black oak, mockernut hickory, Sunflower, trefoil, fragrant sumac, black snakeroot</t>
  </si>
  <si>
    <t>848 ft</t>
  </si>
  <si>
    <t>MOR&lt;USA-IL&gt;: Samuels, MO_HHT_092_MG</t>
  </si>
  <si>
    <t>0111044MOR</t>
  </si>
  <si>
    <t>4CC23046-509E-48AA-86C4-ECB266EBCD42</t>
  </si>
  <si>
    <t>https://swbiodiversity.org/seinet/collections/individual/index.php?occid=34693337</t>
  </si>
  <si>
    <t>SYST-MOR-0006824</t>
  </si>
  <si>
    <t>SYST-MOR-0006824_S108_1.fq.gz</t>
  </si>
  <si>
    <t>SYST-MOR-0006824_S108_2.fq.gz</t>
  </si>
  <si>
    <t>QUE003588</t>
  </si>
  <si>
    <t>MO_HHT_093_MG</t>
  </si>
  <si>
    <t>Quercus alba, sassafras, black oak, mockernut hickory, Sunflower, trefoil, fragrant sumac, black snakeroot</t>
  </si>
  <si>
    <t>MOR&lt;USA-IL&gt;: Samuels, MO_HHT_093_MG</t>
  </si>
  <si>
    <t>0111461MOR</t>
  </si>
  <si>
    <t>E34EBF57-956C-47A3-BB3B-06FA7C9ADF31</t>
  </si>
  <si>
    <t>https://swbiodiversity.org/seinet/collections/individual/index.php?occid=34693154</t>
  </si>
  <si>
    <t>SYST-MOR-0006825</t>
  </si>
  <si>
    <t>SYST-MOR-0006825_S109_1.fq.gz</t>
  </si>
  <si>
    <t>SYST-MOR-0006825_S109_2.fq.gz</t>
  </si>
  <si>
    <t>QUE003589</t>
  </si>
  <si>
    <t>MO_HHT_094_MG</t>
  </si>
  <si>
    <t>sugar hackberry, Quercus stellata, eastern red cedar, red oak, Sunflower, fragrant sumac, redbud, Carolina buckthorn</t>
  </si>
  <si>
    <t>860 ft</t>
  </si>
  <si>
    <t>MOR&lt;USA-IL&gt;: Samuels, MO_HHT_094_MG</t>
  </si>
  <si>
    <t>0111460MOR</t>
  </si>
  <si>
    <t>95CEDE4B-1A69-4B29-86BC-3B4147B70FBE</t>
  </si>
  <si>
    <t>https://swbiodiversity.org/seinet/collections/individual/index.php?occid=34693510</t>
  </si>
  <si>
    <t>SYST-MOR-0006826</t>
  </si>
  <si>
    <t>SYST-MOR-0006826_S110_1.fq.gz</t>
  </si>
  <si>
    <t>SYST-MOR-0006826_S110_2.fq.gz</t>
  </si>
  <si>
    <t>QUE003590</t>
  </si>
  <si>
    <t>MO_HHT_095_MG</t>
  </si>
  <si>
    <t>Edge of forested area and open meadow</t>
  </si>
  <si>
    <t>Quercus muehlenbergii, black oak, eastern red cedar, Redbud, Carolina buckthorn, fragrant sumac</t>
  </si>
  <si>
    <t>867 ft</t>
  </si>
  <si>
    <t>MOR&lt;USA-IL&gt;: Samuels, MO_HHT_095_MG</t>
  </si>
  <si>
    <t>0111141MOR</t>
  </si>
  <si>
    <t>BDB23D3E-F8BB-4AEC-BE88-C846110ED4D3</t>
  </si>
  <si>
    <t>https://swbiodiversity.org/seinet/collections/individual/index.php?occid=34693705</t>
  </si>
  <si>
    <t>SYST-MOR-0006827</t>
  </si>
  <si>
    <t>SYST-MOR-0006827_S111_1.fq.gz</t>
  </si>
  <si>
    <t>SYST-MOR-0006827_S111_2.fq.gz</t>
  </si>
  <si>
    <t>QUE003591</t>
  </si>
  <si>
    <t>MO_HHT_096_MG</t>
  </si>
  <si>
    <t>Sparse foliage, dry woodlands</t>
  </si>
  <si>
    <t>Quercus muehlenbergii, Gum bumelia, Hickory, Quercus stellata, red oak, Redbud, sunflower, American hog peanut, hackberry, bush clover</t>
  </si>
  <si>
    <t>885 ft</t>
  </si>
  <si>
    <t>MOR&lt;USA-IL&gt;: Samuels, MO_HHT_096_MG</t>
  </si>
  <si>
    <t>0111138MOR</t>
  </si>
  <si>
    <t>E223E84F-CB27-4B72-A4D9-9DDEBB3E5F2B</t>
  </si>
  <si>
    <t>https://swbiodiversity.org/seinet/collections/individual/index.php?occid=34693181</t>
  </si>
  <si>
    <t>SYST-MOR-0006828</t>
  </si>
  <si>
    <t>SYST-MOR-0006828_S112_1.fq.gz</t>
  </si>
  <si>
    <t>SYST-MOR-0006828_S112_2.fq.gz</t>
  </si>
  <si>
    <t>QUE003592</t>
  </si>
  <si>
    <t>MO_HHT_097_MG</t>
  </si>
  <si>
    <t>red oak, Quercus muehlenbergii, Quercus stellata, Sunflower, fragrant sumac, Lespedeza sp., greenbrier</t>
  </si>
  <si>
    <t>871 ft</t>
  </si>
  <si>
    <t>MOR&lt;USA-IL&gt;: Samuels, MO_HHT_097_MG</t>
  </si>
  <si>
    <t>0111139MOR</t>
  </si>
  <si>
    <t>756BDA52-B480-4851-A87A-05CE2EAEFD6D</t>
  </si>
  <si>
    <t>https://swbiodiversity.org/seinet/collections/individual/index.php?occid=34693467</t>
  </si>
  <si>
    <t>SYST-MOR-0006829</t>
  </si>
  <si>
    <t>SYST-MOR-0006829_S113_1.fq.gz</t>
  </si>
  <si>
    <t>SYST-MOR-0006829_S113_2.fq.gz</t>
  </si>
  <si>
    <t>QUE003593</t>
  </si>
  <si>
    <t>MO_HHT_098_MG</t>
  </si>
  <si>
    <t>Hillside, open grassy area near wooded area</t>
  </si>
  <si>
    <t>American persimmon, Fragrant sumac, sunflower, dogwood, redbud</t>
  </si>
  <si>
    <t>841 ft</t>
  </si>
  <si>
    <t>MOR&lt;USA-IL&gt;: Samuels, MO_HHT_098_MG</t>
  </si>
  <si>
    <t>0111140MOR</t>
  </si>
  <si>
    <t>B91EEB77-9625-4054-9697-0A51E69D59CB</t>
  </si>
  <si>
    <t>https://swbiodiversity.org/seinet/collections/individual/index.php?occid=34693662</t>
  </si>
  <si>
    <t>SYST-MOR-0006830</t>
  </si>
  <si>
    <t>SYST-MOR-0006830_S114_1.fq.gz</t>
  </si>
  <si>
    <t>SYST-MOR-0006830_S114_2.fq.gz</t>
  </si>
  <si>
    <t>QUE003594</t>
  </si>
  <si>
    <t>MO_HHT_099_MG</t>
  </si>
  <si>
    <t>Open woodlands, hillside, minimal foliage</t>
  </si>
  <si>
    <t>Quercus alba, eastern red cedar, Dogwood, service berries, fragrant sumac</t>
  </si>
  <si>
    <t>799 ft</t>
  </si>
  <si>
    <t>MOR&lt;USA-IL&gt;: Samuels, MO_HHT_099_MG</t>
  </si>
  <si>
    <t>0111043MOR</t>
  </si>
  <si>
    <t>62E3F757-DD82-49F3-9E74-78FEECD202EA</t>
  </si>
  <si>
    <t>https://swbiodiversity.org/seinet/collections/individual/index.php?occid=34693354</t>
  </si>
  <si>
    <t>SYST-MOR-0006831</t>
  </si>
  <si>
    <t>SYST-MOR-0006831_S115_1.fq.gz</t>
  </si>
  <si>
    <t>SYST-MOR-0006831_S115_2.fq.gz</t>
  </si>
  <si>
    <t>QUE003595</t>
  </si>
  <si>
    <t>MO_HHT_100_MG</t>
  </si>
  <si>
    <t>Open forest</t>
  </si>
  <si>
    <t>sugar maple, Quercus alba, white ash, American hog peanut, poison ivy, fragrant sumac, coral berry, sunflower, Virginia creeper, hickory</t>
  </si>
  <si>
    <t>879 ft</t>
  </si>
  <si>
    <t>MOR&lt;USA-IL&gt;: Samuels, MO_HHT_100_MG</t>
  </si>
  <si>
    <t>0111462MOR</t>
  </si>
  <si>
    <t>41F194A9-C1D9-4D3F-9939-89628CF76BB8</t>
  </si>
  <si>
    <t>https://swbiodiversity.org/seinet/collections/individual/index.php?occid=34693266</t>
  </si>
  <si>
    <t>SYST-MOR-0006832</t>
  </si>
  <si>
    <t>SYST-MOR-0006832_S116_1.fq.gz</t>
  </si>
  <si>
    <t>SYST-MOR-0006832_S116_2.fq.gz</t>
  </si>
  <si>
    <t>QUE003596</t>
  </si>
  <si>
    <t>MO_HHT_101_MG</t>
  </si>
  <si>
    <t>dry forest, minimal vegetation</t>
  </si>
  <si>
    <t>Quercus alba, black oak, Quercus stellata, Lespedeza sp., redbud, American hog peanut, Virginia creeper, aster</t>
  </si>
  <si>
    <t>872 ft</t>
  </si>
  <si>
    <t>MOR&lt;USA-IL&gt;: Samuels, MO_HHT_101_MG</t>
  </si>
  <si>
    <t>0111459MOR</t>
  </si>
  <si>
    <t>1FBAE6F9-E84C-45DF-8AE7-6D40438989A0</t>
  </si>
  <si>
    <t>https://swbiodiversity.org/seinet/collections/individual/index.php?occid=34693235</t>
  </si>
  <si>
    <t>SYST-MOR-0006833</t>
  </si>
  <si>
    <t>SYST-MOR-0006833_S117_1.fq.gz</t>
  </si>
  <si>
    <t>SYST-MOR-0006833_S117_2.fq.gz</t>
  </si>
  <si>
    <t>QUE003597</t>
  </si>
  <si>
    <t>MO_PSP_MG922_MG</t>
  </si>
  <si>
    <t>MG922</t>
  </si>
  <si>
    <t>Quercus prinoides</t>
  </si>
  <si>
    <t>Leah Samuels, Mira Garner, Andrew Braun</t>
  </si>
  <si>
    <t>Barton</t>
  </si>
  <si>
    <t>Prairie State Park</t>
  </si>
  <si>
    <t>Wooded area of prairie, riparian?</t>
  </si>
  <si>
    <t>Hedge apple, Honey locust, Red mulberry, Pin oak, Buckbrush</t>
  </si>
  <si>
    <t>Quercus prinoides Willd.</t>
  </si>
  <si>
    <t>MOR&lt;USA-IL&gt;: Samuels, MO_PSP_MG922_MG</t>
  </si>
  <si>
    <t>0111206MOR</t>
  </si>
  <si>
    <t>5EBDCE5F-3D34-443D-A462-2654093165BB</t>
  </si>
  <si>
    <t>https://swbiodiversity.org/seinet/collections/individual/index.php?occid=34693370</t>
  </si>
  <si>
    <t>SYST-MOR-0006834</t>
  </si>
  <si>
    <t>SYST-MOR-0006834_S118_1.fq.gz</t>
  </si>
  <si>
    <t>SYST-MOR-0006834_S118_2.fq.gz</t>
  </si>
  <si>
    <t>QUE003598</t>
  </si>
  <si>
    <t>MO_PSP_MG923_MG</t>
  </si>
  <si>
    <t>MG923, tag102</t>
  </si>
  <si>
    <t>Edge of prairie</t>
  </si>
  <si>
    <t>gum bumelia, pin oak, American elm, Q. stellata, Gentian, crownbeard, coral berry, grasses, ragweed</t>
  </si>
  <si>
    <t>MOR&lt;USA-IL&gt;: Samuels, MO_PSP_MG923_MG</t>
  </si>
  <si>
    <t>0111205MOR</t>
  </si>
  <si>
    <t>4F976612-350E-4FD1-B211-3C9B39DCB98F</t>
  </si>
  <si>
    <t>https://swbiodiversity.org/seinet/collections/individual/index.php?occid=34693395</t>
  </si>
  <si>
    <t>SYST-MOR-0006835</t>
  </si>
  <si>
    <t>SYST-MOR-0006835_S119_1.fq.gz</t>
  </si>
  <si>
    <t>SYST-MOR-0006835_S119_2.fq.gz</t>
  </si>
  <si>
    <t>QUE003599</t>
  </si>
  <si>
    <t>MO_PSP_MG924_MG</t>
  </si>
  <si>
    <t>MG924, tag103</t>
  </si>
  <si>
    <t>gum bumelia, pin oak, American elm, Quercus prinoides, Gentian sp., crownbeard, coral berry, grasses, ragweed</t>
  </si>
  <si>
    <t>MOR&lt;USA-IL&gt;: Samuels, MO_PSP_MG924_MG</t>
  </si>
  <si>
    <t>0108146MOR</t>
  </si>
  <si>
    <t>FAAECE6F-6C7A-4371-ABAD-DA7EE1677D90</t>
  </si>
  <si>
    <t>https://swbiodiversity.org/seinet/collections/individual/index.php?occid=34578120</t>
  </si>
  <si>
    <t>SRR31778381</t>
  </si>
  <si>
    <t>SYST-MOR-0006836</t>
  </si>
  <si>
    <t>SYST-MOR-0006836_S120_1.fq.gz</t>
  </si>
  <si>
    <t>SYST-MOR-0006836_S120_2.fq.gz</t>
  </si>
  <si>
    <t>SAMN45895338</t>
  </si>
  <si>
    <t>QUE003600</t>
  </si>
  <si>
    <t>MO_PSP_MG925_MG</t>
  </si>
  <si>
    <t>MG925, tag104</t>
  </si>
  <si>
    <t>Wooded area near prairie</t>
  </si>
  <si>
    <t>hackberry, elm, pin oak, red mulberry, American hog peanut, sassafras, grasses, coral berry</t>
  </si>
  <si>
    <t>MOR&lt;USA-IL&gt;: Samuels, MO_PSP_MG925_MG</t>
  </si>
  <si>
    <t>0111204MOR</t>
  </si>
  <si>
    <t>94F16FC3-A19D-42D8-AD49-59FB0FF5732C</t>
  </si>
  <si>
    <t>https://swbiodiversity.org/seinet/collections/individual/index.php?occid=34693550</t>
  </si>
  <si>
    <t>SYST-MOR-0006837</t>
  </si>
  <si>
    <t>SYST-MOR-0006837_S121_1.fq.gz</t>
  </si>
  <si>
    <t>SYST-MOR-0006837_S121_2.fq.gz</t>
  </si>
  <si>
    <t>QUE003601</t>
  </si>
  <si>
    <t>MO_PSP_MG926_MG</t>
  </si>
  <si>
    <t>MG926</t>
  </si>
  <si>
    <t>MOR&lt;USA-IL&gt;: Samuels, MO_PSP_MG926_MG</t>
  </si>
  <si>
    <t>0111454MOR</t>
  </si>
  <si>
    <t>2FA651F0-20FD-44E5-B492-B36EDF1976A3</t>
  </si>
  <si>
    <t>https://swbiodiversity.org/seinet/collections/individual/index.php?occid=34693312</t>
  </si>
  <si>
    <t>SYST-MOR-0006838</t>
  </si>
  <si>
    <t>SYST-MOR-0006838_S122_1.fq.gz</t>
  </si>
  <si>
    <t>SYST-MOR-0006838_S122_2.fq.gz</t>
  </si>
  <si>
    <t>QUE003602</t>
  </si>
  <si>
    <t>MO_PSP_MG927_MG</t>
  </si>
  <si>
    <t>MG927, tag105</t>
  </si>
  <si>
    <t>persimmon, pin oak, gum bumelia, grass, Rubus sp., ironweed</t>
  </si>
  <si>
    <t>MOR&lt;USA-IL&gt;: Samuels, MO_PSP_MG927_MG</t>
  </si>
  <si>
    <t>0111203MOR</t>
  </si>
  <si>
    <t>762AF442-372B-4E69-AD0C-28E714E32478</t>
  </si>
  <si>
    <t>https://swbiodiversity.org/seinet/collections/individual/index.php?occid=34693487</t>
  </si>
  <si>
    <t>SYST-MOR-0006839</t>
  </si>
  <si>
    <t>SYST-MOR-0006839_S123_1.fq.gz</t>
  </si>
  <si>
    <t>SYST-MOR-0006839_S123_2.fq.gz</t>
  </si>
  <si>
    <t>QUE003603</t>
  </si>
  <si>
    <t>OK_RRC_106_MG</t>
  </si>
  <si>
    <t>Caddo</t>
  </si>
  <si>
    <t>Red Rock Canyon Adventure Park</t>
  </si>
  <si>
    <t>Dense forest, near river</t>
  </si>
  <si>
    <t>Quercus stellata, gum bumelia, eastern red cedar, Elm, coralberry, Solomon's seal, moonseed</t>
  </si>
  <si>
    <t>1535 ft</t>
  </si>
  <si>
    <t>MOR&lt;USA-IL&gt;: Samuels, OK_RRC_106_MG</t>
  </si>
  <si>
    <t>0111115MOR</t>
  </si>
  <si>
    <t>9E7D2E85-81F9-430A-BCF6-DF709DABAD0A</t>
  </si>
  <si>
    <t>https://swbiodiversity.org/seinet/collections/individual/index.php?occid=34693537</t>
  </si>
  <si>
    <t>SYST-MOR-0006840</t>
  </si>
  <si>
    <t>SYST-MOR-0006840_S124_1.fq.gz</t>
  </si>
  <si>
    <t>SYST-MOR-0006840_S124_2.fq.gz</t>
  </si>
  <si>
    <t>QUE003604</t>
  </si>
  <si>
    <t>OK_RRC_107_MG</t>
  </si>
  <si>
    <t>Quercus margaretiae</t>
  </si>
  <si>
    <t>Quercus stellata, gum bumelia, eastern red cedar, Quercus muehlenbergii, Elm, coralberry, Solomon's seal, moonseed, Virginia creeper, redbud</t>
  </si>
  <si>
    <t>Quercus stellata Wangenh.|Q. margaretiae</t>
  </si>
  <si>
    <t>R. Mohn|</t>
  </si>
  <si>
    <t>3/3/2024|</t>
  </si>
  <si>
    <t>NA|</t>
  </si>
  <si>
    <t>1529 ft</t>
  </si>
  <si>
    <t>MOR&lt;USA-IL&gt;: Samuels, OK_RRC_107_MG</t>
  </si>
  <si>
    <t>0111256MOR</t>
  </si>
  <si>
    <t>AD828A87-CF3D-45DC-83F6-9E619E291974</t>
  </si>
  <si>
    <t>https://swbiodiversity.org/seinet/collections/individual/index.php?occid=34693638</t>
  </si>
  <si>
    <t>SYST-MOR-0006841</t>
  </si>
  <si>
    <t>SYST-MOR-0006841_S125_1.fq.gz</t>
  </si>
  <si>
    <t>SYST-MOR-0006841_S125_2.fq.gz</t>
  </si>
  <si>
    <t>QUE003605</t>
  </si>
  <si>
    <t>MG_928</t>
  </si>
  <si>
    <t>Quercus stellata Wangenh. (margaretta?)|Quercus margaretiae</t>
  </si>
  <si>
    <t>1554 ft</t>
  </si>
  <si>
    <t>MOR&lt;USA-IL&gt;: Samuels, MG_928</t>
  </si>
  <si>
    <t>0111255MOR</t>
  </si>
  <si>
    <t>91D9F821-A216-4394-BD01-2C031CDA47AB</t>
  </si>
  <si>
    <t>https://swbiodiversity.org/seinet/collections/individual/index.php?occid=34693508</t>
  </si>
  <si>
    <t>SYST-MOR-0006842</t>
  </si>
  <si>
    <t>SYST-MOR-0006842_S126_1.fq.gz</t>
  </si>
  <si>
    <t>SYST-MOR-0006842_S126_2.fq.gz</t>
  </si>
  <si>
    <t>QUE003606</t>
  </si>
  <si>
    <t>OK_RRC_108_MG</t>
  </si>
  <si>
    <t>Wooded area, edge of ridge line</t>
  </si>
  <si>
    <t>Quercus muehlenbergii, Quercus macrocarpa, Elm, eastern red cedar, Hackberry, grasses, fragrant sumac</t>
  </si>
  <si>
    <t>1524 ft</t>
  </si>
  <si>
    <t>MOR&lt;USA-IL&gt;: Samuels, OK_RRC_108_MG</t>
  </si>
  <si>
    <t>0111116MOR</t>
  </si>
  <si>
    <t>498871C7-E5D5-4090-B56D-D759CDEF8E08</t>
  </si>
  <si>
    <t>https://swbiodiversity.org/seinet/collections/individual/index.php?occid=34693297</t>
  </si>
  <si>
    <t>SYST-MOR-0006843</t>
  </si>
  <si>
    <t>SYST-MOR-0006843_S127_1.fq.gz</t>
  </si>
  <si>
    <t>SYST-MOR-0006843_S127_2.fq.gz</t>
  </si>
  <si>
    <t>QUE003607</t>
  </si>
  <si>
    <t>OK_RRC_109_MG</t>
  </si>
  <si>
    <t>Quercus muehlenbergii, Elm, eastern red cedar, hackberry, grasses, legumes</t>
  </si>
  <si>
    <t>1519 ft</t>
  </si>
  <si>
    <t>MOR&lt;USA-IL&gt;: Samuels, OK_RRC_109_MG</t>
  </si>
  <si>
    <t>0111312MOR</t>
  </si>
  <si>
    <t>B7D88D94-A481-4731-9F87-C6A0A2E9882A</t>
  </si>
  <si>
    <t>https://swbiodiversity.org/seinet/collections/individual/index.php?occid=34693646</t>
  </si>
  <si>
    <t>SYST-MOR-0006844</t>
  </si>
  <si>
    <t>SYST-MOR-0006844_S128_1.fq.gz</t>
  </si>
  <si>
    <t>SYST-MOR-0006844_S128_2.fq.gz</t>
  </si>
  <si>
    <t>QUE003608</t>
  </si>
  <si>
    <t>OK_RRC_110_MG</t>
  </si>
  <si>
    <t>Dry, open grasslands</t>
  </si>
  <si>
    <t>eastern red cedar, Quercus marilandica, Prickly pear, grasses, Lespedeza sp.</t>
  </si>
  <si>
    <t>1505 ft</t>
  </si>
  <si>
    <t>MOR&lt;USA-IL&gt;: Samuels, OK_RRC_110_MG</t>
  </si>
  <si>
    <t>0111260MOR</t>
  </si>
  <si>
    <t>72AE52FB-FF76-44FB-BF04-6C5F9C4367EC</t>
  </si>
  <si>
    <t>https://swbiodiversity.org/seinet/collections/individual/index.php?occid=34693485</t>
  </si>
  <si>
    <t>SYST-MOR-0006845</t>
  </si>
  <si>
    <t>SYST-MOR-0006845_S129_1.fq.gz</t>
  </si>
  <si>
    <t>SYST-MOR-0006845_S129_2.fq.gz</t>
  </si>
  <si>
    <t>QUE003609</t>
  </si>
  <si>
    <t>OK_RRC_111_MG</t>
  </si>
  <si>
    <t>Dry ridge, little foliage, small trees, rocky dry soils</t>
  </si>
  <si>
    <t>Quercus marilandica, eastern red cedar, Grasses, California mugwort, Indian blanket</t>
  </si>
  <si>
    <t>1508 ft</t>
  </si>
  <si>
    <t>MOR&lt;USA-IL&gt;: Samuels, OK_RRC_111_MG</t>
  </si>
  <si>
    <t>0111257MOR</t>
  </si>
  <si>
    <t>43255040-C3D1-4F0E-A8E0-9E2FD62970C5</t>
  </si>
  <si>
    <t>https://swbiodiversity.org/seinet/collections/individual/index.php?occid=34693291</t>
  </si>
  <si>
    <t>SYST-MOR-0006846</t>
  </si>
  <si>
    <t>SYST-MOR-0006846_S130_1.fq.gz</t>
  </si>
  <si>
    <t>SYST-MOR-0006846_S130_2.fq.gz</t>
  </si>
  <si>
    <t>QUE003610</t>
  </si>
  <si>
    <t>OK_RRC_112_MG</t>
  </si>
  <si>
    <t>Dry, open, some trees, little foliage, sandy and rocky</t>
  </si>
  <si>
    <t>eastern red cedar, Grasses, ferns, purple-stem cliffbrake</t>
  </si>
  <si>
    <t>1511 ft</t>
  </si>
  <si>
    <t>MOR&lt;USA-IL&gt;: Samuels, OK_RRC_112_MG</t>
  </si>
  <si>
    <t>0111258MOR</t>
  </si>
  <si>
    <t>9EEA7ACD-38D3-45CE-97FC-2BACB7F16B11</t>
  </si>
  <si>
    <t>https://swbiodiversity.org/seinet/collections/individual/index.php?occid=34693609</t>
  </si>
  <si>
    <t>SYST-MOR-0006847</t>
  </si>
  <si>
    <t>SYST-MOR-0006847_S131_1.fq.gz</t>
  </si>
  <si>
    <t>SYST-MOR-0006847_S131_2.fq.gz</t>
  </si>
  <si>
    <t>QUE003611</t>
  </si>
  <si>
    <t>OK_RRC_113_MG</t>
  </si>
  <si>
    <t>eastern red cedar, Plains fleabane, Indian blanket, grasses</t>
  </si>
  <si>
    <t>1512 ft</t>
  </si>
  <si>
    <t>MOR&lt;USA-IL&gt;: Samuels, OK_RRC_113_MG</t>
  </si>
  <si>
    <t>0111261MOR</t>
  </si>
  <si>
    <t>8F6A6CD8-94D8-4DD8-A6D7-15C65599CB24</t>
  </si>
  <si>
    <t>https://swbiodiversity.org/seinet/collections/individual/index.php?occid=34693506</t>
  </si>
  <si>
    <t>SYST-MOR-0006848</t>
  </si>
  <si>
    <t>SYST-MOR-0006848_S132_1.fq.gz</t>
  </si>
  <si>
    <t>SYST-MOR-0006848_S132_2.fq.gz</t>
  </si>
  <si>
    <t>QUE003612</t>
  </si>
  <si>
    <t>OK_RRC_114_MG</t>
  </si>
  <si>
    <t>eastern red cedar, Gum bumelia, grasses, Lespedeza sp., Plains fleabane, Indian blanket, hackberry</t>
  </si>
  <si>
    <t>1507 ft</t>
  </si>
  <si>
    <t>MOR&lt;USA-IL&gt;: Samuels, OK_RRC_114_MG</t>
  </si>
  <si>
    <t>0111117MOR</t>
  </si>
  <si>
    <t>88736F32-46A6-4C76-920B-9B71351188DC</t>
  </si>
  <si>
    <t>https://swbiodiversity.org/seinet/collections/individual/index.php?occid=34693501</t>
  </si>
  <si>
    <t>SYST-MOR-0006849</t>
  </si>
  <si>
    <t>SYST-MOR-0006849_S133_1.fq.gz</t>
  </si>
  <si>
    <t>SYST-MOR-0006849_S133_2.fq.gz</t>
  </si>
  <si>
    <t>QUE003613</t>
  </si>
  <si>
    <t>OK_RRC_115_MG</t>
  </si>
  <si>
    <t>Wooded area, air of hill, tall but not dense foliage</t>
  </si>
  <si>
    <t>eastern red cedar, Quercus stellata, Quercus muehlenbergii, gum bumelia, Grasses, hackberry, Virginia creeper</t>
  </si>
  <si>
    <t>MOR&lt;USA-IL&gt;: Samuels, OK_RRC_115_MG</t>
  </si>
  <si>
    <t>0111118MOR</t>
  </si>
  <si>
    <t>9486991F-C5CE-4E29-B857-B6C83CB56058</t>
  </si>
  <si>
    <t>https://swbiodiversity.org/seinet/collections/individual/index.php?occid=34693528</t>
  </si>
  <si>
    <t>SYST-MOR-0006850</t>
  </si>
  <si>
    <t>SYST-MOR-0006850_S134_1.fq.gz</t>
  </si>
  <si>
    <t>SYST-MOR-0006850_S134_2.fq.gz</t>
  </si>
  <si>
    <t>QUE003614</t>
  </si>
  <si>
    <t>OK_RRC_116_MG</t>
  </si>
  <si>
    <t>Side of hill, growing on rocks, edge of forested area and desert like open area, very little foliage</t>
  </si>
  <si>
    <t>Quercus muehlenbergii, Eastern red cedar, walnut, Virginia creeper, Lespedeza sp., poison ivy</t>
  </si>
  <si>
    <t>MOR&lt;USA-IL&gt;: Samuels, OK_RRC_116_MG</t>
  </si>
  <si>
    <t>0111119MOR</t>
  </si>
  <si>
    <t>6AEBA38A-39EE-44F5-8436-CB679A6D4401</t>
  </si>
  <si>
    <t>https://swbiodiversity.org/seinet/collections/individual/index.php?occid=34693454</t>
  </si>
  <si>
    <t>SYST-MOR-0006851</t>
  </si>
  <si>
    <t>SYST-MOR-0006851_S135_1.fq.gz</t>
  </si>
  <si>
    <t>SYST-MOR-0006851_S135_2.fq.gz</t>
  </si>
  <si>
    <t>QUE003615</t>
  </si>
  <si>
    <t>OK_RRC_117_MG</t>
  </si>
  <si>
    <t>Rocky soil, right by canyon wall, little foliage, by road</t>
  </si>
  <si>
    <t>elm, eastern red cedar, Sugar maple, Virginia creeper, greenbriers</t>
  </si>
  <si>
    <t>1564 ft</t>
  </si>
  <si>
    <t>MOR&lt;USA-IL&gt;: Samuels, OK_RRC_117_MG</t>
  </si>
  <si>
    <t>0111311MOR</t>
  </si>
  <si>
    <t>158E1472-5CDE-4423-ACEA-EFF037FEE573</t>
  </si>
  <si>
    <t>https://swbiodiversity.org/seinet/collections/individual/index.php?occid=34693227</t>
  </si>
  <si>
    <t>SYST-MOR-0006852</t>
  </si>
  <si>
    <t>SYST-MOR-0006852_S136_1.fq.gz</t>
  </si>
  <si>
    <t>SYST-MOR-0006852_S136_2.fq.gz</t>
  </si>
  <si>
    <t>QUE003616</t>
  </si>
  <si>
    <t>OK_RRC_118_MG</t>
  </si>
  <si>
    <t>Forested area, thicker foliage, sandy ground</t>
  </si>
  <si>
    <t>Quercus muehlenbergii, eastern red cedar, box elder, American trumpet vine, moonseed, horsetail</t>
  </si>
  <si>
    <t>1568 ft</t>
  </si>
  <si>
    <t>MOR&lt;USA-IL&gt;: Samuels, OK_RRC_118_MG</t>
  </si>
  <si>
    <t>0111313MOR</t>
  </si>
  <si>
    <t>7F78C33C-35AC-4CF1-9D59-F1BE17EFC232</t>
  </si>
  <si>
    <t>https://swbiodiversity.org/seinet/collections/individual/index.php?occid=34693470</t>
  </si>
  <si>
    <t>SYST-MOR-0006853</t>
  </si>
  <si>
    <t>SYST-MOR-0006853_S137_1.fq.gz</t>
  </si>
  <si>
    <t>SYST-MOR-0006853_S137_2.fq.gz</t>
  </si>
  <si>
    <t>QUE003617</t>
  </si>
  <si>
    <t>OK_RRC_119_MG</t>
  </si>
  <si>
    <t>Forested area, dense foliage, near canyon wall</t>
  </si>
  <si>
    <t>Quercus macrocarpa, Quercus muehlenbergii, walnut, Poison ivy, Virginia creeper, elm, snowberry, greenbriers, American trumpet vine</t>
  </si>
  <si>
    <t>1570 ft</t>
  </si>
  <si>
    <t>MOR&lt;USA-IL&gt;: Samuels, OK_RRC_119_MG</t>
  </si>
  <si>
    <t>0111310MOR</t>
  </si>
  <si>
    <t>4526F0CE-4612-4107-8506-1528FC55AF0D</t>
  </si>
  <si>
    <t>https://swbiodiversity.org/seinet/collections/individual/index.php?occid=34693270</t>
  </si>
  <si>
    <t>SYST-MOR-0006854</t>
  </si>
  <si>
    <t>SYST-MOR-0006854_S138_1.fq.gz</t>
  </si>
  <si>
    <t>SYST-MOR-0006854_S138_2.fq.gz</t>
  </si>
  <si>
    <t>QUE003618</t>
  </si>
  <si>
    <t>OK_RRC_120_MG</t>
  </si>
  <si>
    <t>Forested area, dense foliage, hillside</t>
  </si>
  <si>
    <t>walnut,Virginia creeper, winged euonymus, poison ivy</t>
  </si>
  <si>
    <t>1574 ft</t>
  </si>
  <si>
    <t>MOR&lt;USA-IL&gt;: Samuels, OK_RRC_120_MG</t>
  </si>
  <si>
    <t>0111264MOR</t>
  </si>
  <si>
    <t>7D5FF802-6BC9-4E0F-9FA7-96A15966D3C1</t>
  </si>
  <si>
    <t>https://swbiodiversity.org/seinet/collections/individual/index.php?occid=34693491</t>
  </si>
  <si>
    <t>SYST-MOR-0006855</t>
  </si>
  <si>
    <t>SYST-MOR-0006855_S139_1.fq.gz</t>
  </si>
  <si>
    <t>SYST-MOR-0006855_S139_2.fq.gz</t>
  </si>
  <si>
    <t>QUE003619</t>
  </si>
  <si>
    <t>OK_RRC_121_MG</t>
  </si>
  <si>
    <t>Side of hill, forested area, rocky, sandy soil</t>
  </si>
  <si>
    <t>Quercus stellata, eastern red cedar, Hackberry, winged elm, grasses</t>
  </si>
  <si>
    <t>1542 ft</t>
  </si>
  <si>
    <t>MOR&lt;USA-IL&gt;: Samuels, OK_RRC_121_MG</t>
  </si>
  <si>
    <t>0111259MOR</t>
  </si>
  <si>
    <t>43090D81-B829-41B4-BE20-8D453778A419</t>
  </si>
  <si>
    <t>https://swbiodiversity.org/seinet/collections/individual/index.php?occid=34693288</t>
  </si>
  <si>
    <t>SYST-MOR-0006856</t>
  </si>
  <si>
    <t>SYST-MOR-0006856_S140_1.fq.gz</t>
  </si>
  <si>
    <t>SYST-MOR-0006856_S140_2.fq.gz</t>
  </si>
  <si>
    <t>QUE003620</t>
  </si>
  <si>
    <t>OK_TGP_122_MG</t>
  </si>
  <si>
    <t>Pawhuska</t>
  </si>
  <si>
    <t>Tallgrass Prairie Preserve</t>
  </si>
  <si>
    <t>Prairie, edge of forested area</t>
  </si>
  <si>
    <t>Quercus macrocarpa, walnut, asters, hedge parsley, grasses, rosette grasses, sassafras, tweedy tick clover, leafy elephants foot</t>
  </si>
  <si>
    <t>1000 ft</t>
  </si>
  <si>
    <t>MOR&lt;USA-IL&gt;: Samuels, OK_TGP_122_MG</t>
  </si>
  <si>
    <t>0111306MOR</t>
  </si>
  <si>
    <t>ED015223-C1F9-4A37-9574-934BD5ADBC35</t>
  </si>
  <si>
    <t>https://swbiodiversity.org/seinet/collections/individual/index.php?occid=34693733</t>
  </si>
  <si>
    <t>SYST-MOR-0006857</t>
  </si>
  <si>
    <t>SYST-MOR-0006857_S141_1.fq.gz</t>
  </si>
  <si>
    <t>SYST-MOR-0006857_S141_2.fq.gz</t>
  </si>
  <si>
    <t>QUE003621</t>
  </si>
  <si>
    <t>OK_TGP_123_MG</t>
  </si>
  <si>
    <t>Open prairie, next to river, near forested area</t>
  </si>
  <si>
    <t>Quercus macrocarpa, Milkweed, pipevine, crownbeard, borage, iron weeds, inland wood oat</t>
  </si>
  <si>
    <t>1002 ft</t>
  </si>
  <si>
    <t>MOR&lt;USA-IL&gt;: Samuels, OK_TGP_123_MG</t>
  </si>
  <si>
    <t>0111305MOR</t>
  </si>
  <si>
    <t>AF61575A-2AD8-4F2F-AF3F-2A6E7A96AD66</t>
  </si>
  <si>
    <t>https://swbiodiversity.org/seinet/collections/individual/index.php?occid=34693657</t>
  </si>
  <si>
    <t>SYST-MOR-0006858</t>
  </si>
  <si>
    <t>SYST-MOR-0006858_S142_1.fq.gz</t>
  </si>
  <si>
    <t>SYST-MOR-0006858_S142_2.fq.gz</t>
  </si>
  <si>
    <t>QUE003622</t>
  </si>
  <si>
    <t>OK_TGP_124_MG</t>
  </si>
  <si>
    <t>Edge of prairie and wooded area</t>
  </si>
  <si>
    <t>red oak group, Quercus stellata, hickory, Aster, grasses, San Diego sagewort, legumes, trick trefoiles, inland wood oats</t>
  </si>
  <si>
    <t>1042 ft</t>
  </si>
  <si>
    <t>MOR&lt;USA-IL&gt;: Samuels, OK_TGP_124_MG</t>
  </si>
  <si>
    <t>0111470MOR</t>
  </si>
  <si>
    <t>9ADF700C-7F02-484B-9818-897E55066458</t>
  </si>
  <si>
    <t>https://swbiodiversity.org/seinet/collections/individual/index.php?occid=34693534</t>
  </si>
  <si>
    <t>SYST-MOR-0006859</t>
  </si>
  <si>
    <t>SYST-MOR-0006859_S143_1.fq.gz</t>
  </si>
  <si>
    <t>SYST-MOR-0006859_S143_2.fq.gz</t>
  </si>
  <si>
    <t>QUE003623</t>
  </si>
  <si>
    <t>OK_TGP_125_MG</t>
  </si>
  <si>
    <t>Hillside, edge of wood and prairie</t>
  </si>
  <si>
    <t>hickory, Quercus macrocarpa, red oak group, Quercus muehlenbergii,Virginia creeper, poison ivy, asters, ruellia</t>
  </si>
  <si>
    <t>1046 ft</t>
  </si>
  <si>
    <t>MOR&lt;USA-IL&gt;: Samuels, OK_TGP_125_MG</t>
  </si>
  <si>
    <t>0111122MOR</t>
  </si>
  <si>
    <t>9B74A5B5-C99A-4E9E-A957-6FF68A720E21</t>
  </si>
  <si>
    <t>https://swbiodiversity.org/seinet/collections/individual/index.php?occid=34693535</t>
  </si>
  <si>
    <t>SYST-MOR-0006860</t>
  </si>
  <si>
    <t>SYST-MOR-0006860_S144_1.fq.gz</t>
  </si>
  <si>
    <t>SYST-MOR-0006860_S144_2.fq.gz</t>
  </si>
  <si>
    <t>QUE003624</t>
  </si>
  <si>
    <t>OK_TGP_126_MG</t>
  </si>
  <si>
    <t>Hillside, edge of woods and prairie, near small creek</t>
  </si>
  <si>
    <t>Quercus muehlenbergii, red oak group, Virginia creeper, asters, smooth ruellia, Acanthaceae, sassafras</t>
  </si>
  <si>
    <t>1010 ft</t>
  </si>
  <si>
    <t>MOR&lt;USA-IL&gt;: Samuels, OK_TGP_126_MG</t>
  </si>
  <si>
    <t>0111309MOR</t>
  </si>
  <si>
    <t>C9979758-B72A-4E29-9380-D3FE95C53058</t>
  </si>
  <si>
    <t>https://swbiodiversity.org/seinet/collections/individual/index.php?occid=34693695</t>
  </si>
  <si>
    <t>SYST-MOR-0006861</t>
  </si>
  <si>
    <t>SYST-MOR-0006861_S145_1.fq.gz</t>
  </si>
  <si>
    <t>SYST-MOR-0006861_S145_2.fq.gz</t>
  </si>
  <si>
    <t>QUE003625</t>
  </si>
  <si>
    <t>OK_TGP_127_MG</t>
  </si>
  <si>
    <t>Wooded area, next to small creek, hillside, low dense foliage</t>
  </si>
  <si>
    <t>elm, Quercus muehlenbergii, pin oak, Virginia creeper, grasses, pointed-leaf tick trefoil, moonseed</t>
  </si>
  <si>
    <t>MOR&lt;USA-IL&gt;: Samuels, OK_TGP_127_MG</t>
  </si>
  <si>
    <t>0111308MOR</t>
  </si>
  <si>
    <t>E86AB8F0-F834-4259-A020-057DEFC0571C</t>
  </si>
  <si>
    <t>https://swbiodiversity.org/seinet/collections/individual/index.php?occid=34693764</t>
  </si>
  <si>
    <t>SYST-MOR-0006862</t>
  </si>
  <si>
    <t>SYST-MOR-0006862_S146_1.fq.gz</t>
  </si>
  <si>
    <t>SYST-MOR-0006862_S146_2.fq.gz</t>
  </si>
  <si>
    <t>QUE003626</t>
  </si>
  <si>
    <t>OK_TGP_128_MG</t>
  </si>
  <si>
    <t>Forested area, hillside, low dense foliage, near small creek</t>
  </si>
  <si>
    <t>Querucs macrocarpa, elm, Quercus muehlenbergii, pin oak, Aster, Virginia creeper, moonseed, legumes, grasses, hickory</t>
  </si>
  <si>
    <t>MOR&lt;USA-IL&gt;: Samuels, OK_TGP_128_MG</t>
  </si>
  <si>
    <t>0111121MOR</t>
  </si>
  <si>
    <t>6F10AEBA-8416-401A-8382-F664B8F55871</t>
  </si>
  <si>
    <t>https://swbiodiversity.org/seinet/collections/individual/index.php?occid=34693480</t>
  </si>
  <si>
    <t>SYST-MOR-0006863</t>
  </si>
  <si>
    <t>SYST-MOR-0006863_S147_1.fq.gz</t>
  </si>
  <si>
    <t>SYST-MOR-0006863_S147_2.fq.gz</t>
  </si>
  <si>
    <t>QUE003627</t>
  </si>
  <si>
    <t>OK_TGP_129_MG</t>
  </si>
  <si>
    <t>Open prairie edge of forest</t>
  </si>
  <si>
    <t>Quercus stellata, Quercus marilandica, red oak group, grasses, Virginia creeper, legumes, moonseed, Rubus sp.</t>
  </si>
  <si>
    <t>1036 ft</t>
  </si>
  <si>
    <t>MOR&lt;USA-IL&gt;: Samuels, OK_TGP_129_MG</t>
  </si>
  <si>
    <t>0111471MOR</t>
  </si>
  <si>
    <t>5A5ED182-8EB9-4328-A885-EC087B14BB9A</t>
  </si>
  <si>
    <t>https://swbiodiversity.org/seinet/collections/individual/index.php?occid=34693403</t>
  </si>
  <si>
    <t>SYST-MOR-0006864</t>
  </si>
  <si>
    <t>SYST-MOR-0006864_S148_1.fq.gz</t>
  </si>
  <si>
    <t>SYST-MOR-0006864_S148_2.fq.gz</t>
  </si>
  <si>
    <t>QUE003628</t>
  </si>
  <si>
    <t>OK_TGP_130_MG</t>
  </si>
  <si>
    <t>Edge of road and forested area, thick short foliage</t>
  </si>
  <si>
    <t>pin oak, Quercus macrocarpa, Poison ivy, aster, Virginia creeper, panicled tick trefoil, grasses, legumes</t>
  </si>
  <si>
    <t>MOR&lt;USA-IL&gt;: Samuels, OK_TGP_130_MG</t>
  </si>
  <si>
    <t>0111472MOR</t>
  </si>
  <si>
    <t>5949E659-EF97-478E-9E33-9394E7BD50BD</t>
  </si>
  <si>
    <t>https://swbiodiversity.org/seinet/collections/individual/index.php?occid=34693382</t>
  </si>
  <si>
    <t>SYST-MOR-0006865</t>
  </si>
  <si>
    <t>SYST-MOR-0006865_S149_1.fq.gz</t>
  </si>
  <si>
    <t>SYST-MOR-0006865_S149_2.fq.gz</t>
  </si>
  <si>
    <t>QUE003629</t>
  </si>
  <si>
    <t>OK_TGP_131_MG</t>
  </si>
  <si>
    <t>Near road and prairie, edge of forested area, short dense foliage</t>
  </si>
  <si>
    <t>Quercus stellata, pin oak, hickory, black oak, Poison ivy, aster, Virginia creeper, panicled tick trefoil, grasses, legumes</t>
  </si>
  <si>
    <t>997 ft</t>
  </si>
  <si>
    <t>MOR&lt;USA-IL&gt;: Samuels, OK_TGP_131_MG</t>
  </si>
  <si>
    <t>0111307MOR</t>
  </si>
  <si>
    <t>E26AEFAD-197D-4901-A4EF-791F10749876</t>
  </si>
  <si>
    <t>https://swbiodiversity.org/seinet/collections/individual/index.php?occid=34693183</t>
  </si>
  <si>
    <t>SYST-MOR-0006866</t>
  </si>
  <si>
    <t>SYST-MOR-0006866_S150_1.fq.gz</t>
  </si>
  <si>
    <t>SYST-MOR-0006866_S150_2.fq.gz</t>
  </si>
  <si>
    <t>QUE003630</t>
  </si>
  <si>
    <t>OK_TGP_132_MG</t>
  </si>
  <si>
    <t>Prairie, next to small lake</t>
  </si>
  <si>
    <t>Quercus stellata, Yellow sweet clover, aster, vetchling, grasses, wormwood</t>
  </si>
  <si>
    <t>1053 ft</t>
  </si>
  <si>
    <t>MOR&lt;USA-IL&gt;: Samuels, OK_TGP_132_MG</t>
  </si>
  <si>
    <t>0111473MOR</t>
  </si>
  <si>
    <t>8397083A-4FA5-4E83-9249-87B20F321DB0</t>
  </si>
  <si>
    <t>https://swbiodiversity.org/seinet/collections/individual/index.php?occid=34693538</t>
  </si>
  <si>
    <t>SYST-MOR-0006867</t>
  </si>
  <si>
    <t>SYST-MOR-0006867_S151_1.fq.gz</t>
  </si>
  <si>
    <t>SYST-MOR-0006867_S151_2.fq.gz</t>
  </si>
  <si>
    <t>QUE003631</t>
  </si>
  <si>
    <t>OK_TGP_133_MG</t>
  </si>
  <si>
    <t>Prairie, near small stand of trees, low grasses, near dirt road</t>
  </si>
  <si>
    <t>Quercus stellata, Sagebrush, mint family, wild rye, grasses, brome</t>
  </si>
  <si>
    <t>1040 ft</t>
  </si>
  <si>
    <t>MOR&lt;USA-IL&gt;: Samuels, OK_TGP_133_MG</t>
  </si>
  <si>
    <t>0111474MOR</t>
  </si>
  <si>
    <t>33B13949-37E6-4DFB-94EA-1CDA52A14AC9</t>
  </si>
  <si>
    <t>https://swbiodiversity.org/seinet/collections/individual/index.php?occid=34693257</t>
  </si>
  <si>
    <t>SYST-MOR-0006868</t>
  </si>
  <si>
    <t>SYST-MOR-0006868_S152_1.fq.gz</t>
  </si>
  <si>
    <t>SYST-MOR-0006868_S152_2.fq.gz</t>
  </si>
  <si>
    <t>QUE003632</t>
  </si>
  <si>
    <t>OK_TGP_134_MG</t>
  </si>
  <si>
    <t>Side of hill, forested, low but dense foliage</t>
  </si>
  <si>
    <t>red oak group, Quercus muehlenbergii, Virginia creeper, grasses, American hog peanut, legumes, smooth ruellia</t>
  </si>
  <si>
    <t>MOR&lt;USA-IL&gt;: Samuels, OK_TGP_134_MG</t>
  </si>
  <si>
    <t>0111120MOR</t>
  </si>
  <si>
    <t>F02E259A-AED2-448D-929B-16DFED4D27BF</t>
  </si>
  <si>
    <t>https://swbiodiversity.org/seinet/collections/individual/index.php?occid=34693734</t>
  </si>
  <si>
    <t>SYST-MOR-0006869</t>
  </si>
  <si>
    <t>SYST-MOR-0006869_S153_1.fq.gz</t>
  </si>
  <si>
    <t>SYST-MOR-0006869_S153_2.fq.gz</t>
  </si>
  <si>
    <t>QUE003633</t>
  </si>
  <si>
    <t>TN_BCP_148_MG</t>
  </si>
  <si>
    <t>Leah Samuels, Mira Garner, Andrew Hipp</t>
  </si>
  <si>
    <t>Tennessee</t>
  </si>
  <si>
    <t>Sumner</t>
  </si>
  <si>
    <t>Bledsoe Creek State Park</t>
  </si>
  <si>
    <t>Lowlands, forest area near creek, low/thin foliage</t>
  </si>
  <si>
    <t>Juniper sp., Ulmus rubra, Ulmus olata, Fraxinus sp., Acer nugundo, Elymus sp., Ostrya virginiana, Black locust, Baptisia sp.</t>
  </si>
  <si>
    <t>466 ft</t>
  </si>
  <si>
    <t>MOR&lt;USA-IL&gt;: Samuels, TN_BCP_148_MG</t>
  </si>
  <si>
    <t>0111411MOR</t>
  </si>
  <si>
    <t>A40B6AEE-2357-4FE4-887A-3B0E62772FCA</t>
  </si>
  <si>
    <t>https://swbiodiversity.org/seinet/collections/individual/index.php?occid=34693584</t>
  </si>
  <si>
    <t>SYST-MOR-0006870</t>
  </si>
  <si>
    <t>SYST-MOR-0006870_S154_1.fq.gz</t>
  </si>
  <si>
    <t>SYST-MOR-0006870_S154_2.fq.gz</t>
  </si>
  <si>
    <t>QUE003634</t>
  </si>
  <si>
    <t>TN_BCP_149_MG</t>
  </si>
  <si>
    <t>Juniper sp., Quercus coccinea, Ulmus rubra, honey locust, Quercus muehlenbergii, Quercus macrocarpa, Fraxinus americana, Acer saccharum, Celtis levigata, Poison ivy, Baptisia sp., grass</t>
  </si>
  <si>
    <t>474 ft</t>
  </si>
  <si>
    <t>MOR&lt;USA-IL&gt;: Samuels, TN_BCP_149_MG</t>
  </si>
  <si>
    <t>0111181MOR</t>
  </si>
  <si>
    <t>A9591D98-97DF-4611-B0BC-7734A3A2248B</t>
  </si>
  <si>
    <t>https://swbiodiversity.org/seinet/collections/individual/index.php?occid=34693618</t>
  </si>
  <si>
    <t>SYST-MOR-0006871</t>
  </si>
  <si>
    <t>SYST-MOR-0006871_S155_1.fq.gz</t>
  </si>
  <si>
    <t>SYST-MOR-0006871_S155_2.fq.gz</t>
  </si>
  <si>
    <t>QUE003635</t>
  </si>
  <si>
    <t>TN_BCP_150_MG</t>
  </si>
  <si>
    <t>redbud, Juglans nigra,  Prunus serotina, Juniperus sp., Quercus muehlenbergii, Celtis olata, Fraxinus sp., Acer negundo, Fraxinus americana, Platanus occidentalis, Poison ivy, Baptisia sp., grass, Elymus sp., Verbesina sp., Black locust</t>
  </si>
  <si>
    <t>470 ft</t>
  </si>
  <si>
    <t>MOR&lt;USA-IL&gt;: Samuels, TN_BCP_150_MG</t>
  </si>
  <si>
    <t>0111413MOR</t>
  </si>
  <si>
    <t>90BEF096-DE9C-407A-BAFF-52B38084E6CD</t>
  </si>
  <si>
    <t>https://swbiodiversity.org/seinet/collections/individual/index.php?occid=34693526</t>
  </si>
  <si>
    <t>SYST-MOR-0006872</t>
  </si>
  <si>
    <t>SYST-MOR-0006872_S156_1.fq.gz</t>
  </si>
  <si>
    <t>SYST-MOR-0006872_S156_2.fq.gz</t>
  </si>
  <si>
    <t>QUE003636</t>
  </si>
  <si>
    <t>TN_BCP_151_MG</t>
  </si>
  <si>
    <t>Hillside forest, near river, low/thin foliage t</t>
  </si>
  <si>
    <t>Quercus macrocarpa, Juniper sp., Fraxinus americana, Quercus muehlenbergii, Celtis levigata, Ulmus rubra, Grasses</t>
  </si>
  <si>
    <t>472 ft</t>
  </si>
  <si>
    <t>MOR&lt;USA-IL&gt;: Samuels, TN_BCP_151_MG</t>
  </si>
  <si>
    <t>0111412MOR</t>
  </si>
  <si>
    <t>A91BAB87-23B9-45AC-951F-8A5CFC33D8A6</t>
  </si>
  <si>
    <t>https://swbiodiversity.org/seinet/collections/individual/index.php?occid=34693617</t>
  </si>
  <si>
    <t>SYST-MOR-0006873</t>
  </si>
  <si>
    <t>SYST-MOR-0006873_S157_1.fq.gz</t>
  </si>
  <si>
    <t>SYST-MOR-0006873_S157_2.fq.gz</t>
  </si>
  <si>
    <t>QUE003637</t>
  </si>
  <si>
    <t>TN_BCP_152_MG</t>
  </si>
  <si>
    <t>Hillside forest, little foliage, near creek</t>
  </si>
  <si>
    <t>Fraxinus sp., Juniper sp., Quercus macrocarpa, Quercus muehlenbergii, Elymus sp., Carex sp., Lonicera sp., Fern, Polysticum sp.</t>
  </si>
  <si>
    <t>MOR&lt;USA-IL&gt;: Samuels, TN_BCP_152_MG</t>
  </si>
  <si>
    <t>0111182MOR</t>
  </si>
  <si>
    <t>7BCAF97B-D950-4503-AC7F-1392C997D2E0</t>
  </si>
  <si>
    <t>https://swbiodiversity.org/seinet/collections/individual/index.php?occid=34693449</t>
  </si>
  <si>
    <t>SYST-MOR-0006874</t>
  </si>
  <si>
    <t>SYST-MOR-0006874_S158_1.fq.gz</t>
  </si>
  <si>
    <t>SYST-MOR-0006874_S158_2.fq.gz</t>
  </si>
  <si>
    <t>QUE003638</t>
  </si>
  <si>
    <t>TN_BCP_153_MG</t>
  </si>
  <si>
    <t>Hillside forest, near reservoir, low/thin foliage</t>
  </si>
  <si>
    <t>Juniper sp., Fraxinus sp., Quercus muehlenbergii, Ulmus rubra, Elymus sp., Carex sp., Lonicera sp., Fern,  Polysticum sp.</t>
  </si>
  <si>
    <t>MOR&lt;USA-IL&gt;: Samuels, TN_BCP_153_MG</t>
  </si>
  <si>
    <t>0111409MOR</t>
  </si>
  <si>
    <t>05709217-9989-411C-9906-5AA35401B65A</t>
  </si>
  <si>
    <t>https://swbiodiversity.org/seinet/collections/individual/index.php?occid=34693138</t>
  </si>
  <si>
    <t>SYST-MOR-0006875</t>
  </si>
  <si>
    <t>SYST-MOR-0006875_S159_1.fq.gz</t>
  </si>
  <si>
    <t>SYST-MOR-0006875_S159_2.fq.gz</t>
  </si>
  <si>
    <t>QUE003639</t>
  </si>
  <si>
    <t>TN_BCP_154_MG</t>
  </si>
  <si>
    <t>Hillside forest, little foliage, near a river</t>
  </si>
  <si>
    <t>Quercus muehlenbergii, Juniper sp., Fraxinus sp., black walnut, Red oak group, Elymus sp., Carex sp., Lonicera sp., Fern, Polysticum sp.</t>
  </si>
  <si>
    <t>471 ft</t>
  </si>
  <si>
    <t>MOR&lt;USA-IL&gt;: Samuels, TN_BCP_154_MG</t>
  </si>
  <si>
    <t>0111183MOR</t>
  </si>
  <si>
    <t>2CDA7078-9493-4854-8E55-EDA18241B191</t>
  </si>
  <si>
    <t>https://swbiodiversity.org/seinet/collections/individual/index.php?occid=34693255</t>
  </si>
  <si>
    <t>SYST-MOR-0006876</t>
  </si>
  <si>
    <t>SYST-MOR-0006876_S160_1.fq.gz</t>
  </si>
  <si>
    <t>SYST-MOR-0006876_S160_2.fq.gz</t>
  </si>
  <si>
    <t>QUE003640</t>
  </si>
  <si>
    <t>TN_BCP_155_MG</t>
  </si>
  <si>
    <t>Hillside forest, sparse foliage, clear reservoir</t>
  </si>
  <si>
    <t>Acer saccharum, red oak group, Fraxinus sp., Fern, Moss, Carex sp.</t>
  </si>
  <si>
    <t>490 ft</t>
  </si>
  <si>
    <t>MOR&lt;USA-IL&gt;: Samuels, TN_BCP_155_MG</t>
  </si>
  <si>
    <t>0111024MOR</t>
  </si>
  <si>
    <t>17B33570-602E-411D-BB1A-66A4C21EE295</t>
  </si>
  <si>
    <t>https://swbiodiversity.org/seinet/collections/individual/index.php?occid=34693199</t>
  </si>
  <si>
    <t>SYST-MOR-0006877</t>
  </si>
  <si>
    <t>SYST-MOR-0006877_S161_1.fq.gz</t>
  </si>
  <si>
    <t>SYST-MOR-0006877_S161_2.fq.gz</t>
  </si>
  <si>
    <t>QUE003641</t>
  </si>
  <si>
    <t>TN_BCP_156_MG</t>
  </si>
  <si>
    <t>Hillside forest, very sparse foliage, near reservoir</t>
  </si>
  <si>
    <t>Quercus alba, Quercus macrocarpa, Quercus muehlenbergii, Fraxinus sp., Quercus rubra, Greenbrier</t>
  </si>
  <si>
    <t>495 ft</t>
  </si>
  <si>
    <t>MOR&lt;USA-IL&gt;: Samuels, TN_BCP_156_MG</t>
  </si>
  <si>
    <t>0111410MOR</t>
  </si>
  <si>
    <t>4CA1B89A-D677-4457-B345-1D1CBF6AFA94</t>
  </si>
  <si>
    <t>https://swbiodiversity.org/seinet/collections/individual/index.php?occid=34693335</t>
  </si>
  <si>
    <t>SYST-MOR-0006878</t>
  </si>
  <si>
    <t>SYST-MOR-0006878_S162_1.fq.gz</t>
  </si>
  <si>
    <t>SYST-MOR-0006878_S162_2.fq.gz</t>
  </si>
  <si>
    <t>QUE003642</t>
  </si>
  <si>
    <t>TN_BCP_157_MG</t>
  </si>
  <si>
    <t>Hillside forest, very little foliage, near reservoir</t>
  </si>
  <si>
    <t>Quercus macrocarpa, red oak group, Quercus muehlenbergii, Quercus rubra, Virginia creeper</t>
  </si>
  <si>
    <t>MOR&lt;USA-IL&gt;: Samuels, TN_BCP_157_MG</t>
  </si>
  <si>
    <t>0108152MOR</t>
  </si>
  <si>
    <t>094C9EF2-84D4-4750-9D97-234B5AD73266</t>
  </si>
  <si>
    <t>https://swbiodiversity.org/seinet/collections/individual/index.php?occid=34578102</t>
  </si>
  <si>
    <t>SRR31778380</t>
  </si>
  <si>
    <t>SYST-MOR-0006879</t>
  </si>
  <si>
    <t>SYST-MOR-0006879_S163_1.fq.gz</t>
  </si>
  <si>
    <t>SYST-MOR-0006879_S163_2.fq.gz</t>
  </si>
  <si>
    <t>SAMN45895339</t>
  </si>
  <si>
    <t>QUE003643</t>
  </si>
  <si>
    <t>TN_BCP_158_MG</t>
  </si>
  <si>
    <t>Hillside forest, little foliage, near reservoir</t>
  </si>
  <si>
    <t>Quercus rubra, Quercus muehlenbergii, red oak group, Quercus alba, Quercus macrocarpa, Poison ivy</t>
  </si>
  <si>
    <t>494 ft</t>
  </si>
  <si>
    <t>MOR&lt;USA-IL&gt;: Samuels, TN_BCP_158_MG</t>
  </si>
  <si>
    <t>0111184MOR</t>
  </si>
  <si>
    <t>2948723D-06F6-468E-A835-81C6321346FE</t>
  </si>
  <si>
    <t>https://swbiodiversity.org/seinet/collections/individual/index.php?occid=34693252</t>
  </si>
  <si>
    <t>SYST-MOR-0006880</t>
  </si>
  <si>
    <t>SYST-MOR-0006880_S164_1.fq.gz</t>
  </si>
  <si>
    <t>SYST-MOR-0006880_S164_2.fq.gz</t>
  </si>
  <si>
    <t>QUE003644</t>
  </si>
  <si>
    <t>TN_BCP_159_MG</t>
  </si>
  <si>
    <t>Fraxinus sp., Quercus muehlenbergii, persimmon, Poison ivy, Honeysuckle</t>
  </si>
  <si>
    <t>498 ft</t>
  </si>
  <si>
    <t>MOR&lt;USA-IL&gt;: Samuels, TN_BCP_159_MG</t>
  </si>
  <si>
    <t>0111025MOR</t>
  </si>
  <si>
    <t>3B97F91D-7331-47A5-808E-C86A6A6719A5</t>
  </si>
  <si>
    <t>https://swbiodiversity.org/seinet/collections/individual/index.php?occid=34693281</t>
  </si>
  <si>
    <t>SYST-MOR-0006881</t>
  </si>
  <si>
    <t>SYST-MOR-0006881_S165_1.fq.gz</t>
  </si>
  <si>
    <t>SYST-MOR-0006881_S165_2.fq.gz</t>
  </si>
  <si>
    <t>QUE003645</t>
  </si>
  <si>
    <t>TN_BCP_160_MG</t>
  </si>
  <si>
    <t>Quercus muehlenbergii, persimmon, Fraxinus sp., Ulmus sp., Poison ivy</t>
  </si>
  <si>
    <t>501 ft</t>
  </si>
  <si>
    <t>MOR&lt;USA-IL&gt;: Samuels, TN_BCP_160_MG</t>
  </si>
  <si>
    <t>0111185MOR</t>
  </si>
  <si>
    <t>CE0C6B9C-539E-4990-83EA-B7B86A558307</t>
  </si>
  <si>
    <t>https://swbiodiversity.org/seinet/collections/individual/index.php?occid=34693667</t>
  </si>
  <si>
    <t>SYST-MOR-0006882</t>
  </si>
  <si>
    <t>SYST-MOR-0006882_S166_1.fq.gz</t>
  </si>
  <si>
    <t>SYST-MOR-0006882_S166_2.fq.gz</t>
  </si>
  <si>
    <t>QUE003646</t>
  </si>
  <si>
    <t>TN_BCP_161_MG</t>
  </si>
  <si>
    <t>Quercus alba, Quercus muehlenbergii, Virginia creeper, Poison ivy, Honeysuckle, Pawpaw</t>
  </si>
  <si>
    <t>504 ft</t>
  </si>
  <si>
    <t>MOR&lt;USA-IL&gt;: Samuels, TN_BCP_161_MG</t>
  </si>
  <si>
    <t>0111026MOR</t>
  </si>
  <si>
    <t>78D8F9C4-5142-4D7C-B59E-FB3E159052C3</t>
  </si>
  <si>
    <t>https://swbiodiversity.org/seinet/collections/individual/index.php?occid=34693468</t>
  </si>
  <si>
    <t>SYST-MOR-0006883</t>
  </si>
  <si>
    <t>SYST-MOR-0006883_S167_1.fq.gz</t>
  </si>
  <si>
    <t>SYST-MOR-0006883_S167_2.fq.gz</t>
  </si>
  <si>
    <t>QUE003647</t>
  </si>
  <si>
    <t>TN_BCP_162_MG</t>
  </si>
  <si>
    <t>Forested area, flat area right near water. Grasses</t>
  </si>
  <si>
    <t>Juniper, red oak group, Ulmus americana, Platanus occidentalis, Flat spikelets, Elymus sp., Carex sp., Poison ivy</t>
  </si>
  <si>
    <t>484 ft</t>
  </si>
  <si>
    <t>MOR&lt;USA-IL&gt;: Samuels, TN_BCP_162_MG</t>
  </si>
  <si>
    <t>0111027MOR</t>
  </si>
  <si>
    <t>63C34254-DCE0-4921-8F31-13AA24C03D6F</t>
  </si>
  <si>
    <t>https://swbiodiversity.org/seinet/collections/individual/index.php?occid=34693388</t>
  </si>
  <si>
    <t>SYST-MOR-0006884</t>
  </si>
  <si>
    <t>SYST-MOR-0006884_S168_1.fq.gz</t>
  </si>
  <si>
    <t>SYST-MOR-0006884_S168_2.fq.gz</t>
  </si>
  <si>
    <t>QUE003648</t>
  </si>
  <si>
    <t>TN_CLP_163_MG</t>
  </si>
  <si>
    <t>Leah Samuels, Mira Garner, Andrew Hipp, Drew Larson, Paul Manos</t>
  </si>
  <si>
    <t>Lebanon</t>
  </si>
  <si>
    <t>Cedars of Lebanon State Park</t>
  </si>
  <si>
    <t>Dense forest area, limestone and wet soil</t>
  </si>
  <si>
    <t>Fraxinus sp., Juniperus sp., Virginia creeper, Redbud, Honeysuckle, Dogwood, Fern</t>
  </si>
  <si>
    <t>740 ft</t>
  </si>
  <si>
    <t>MOR&lt;USA-IL&gt;: Samuels, TN_CLP_163_MG</t>
  </si>
  <si>
    <t>0111186MOR</t>
  </si>
  <si>
    <t>E5F683EC-7A24-4667-8A33-D33BF540422C</t>
  </si>
  <si>
    <t>https://swbiodiversity.org/seinet/collections/individual/index.php?occid=34693727</t>
  </si>
  <si>
    <t>SYST-MOR-0006885</t>
  </si>
  <si>
    <t>SYST-MOR-0006885_S169_1.fq.gz</t>
  </si>
  <si>
    <t>SYST-MOR-0006885_S169_2.fq.gz</t>
  </si>
  <si>
    <t>QUE003649</t>
  </si>
  <si>
    <t>TN_CLP_164_MG</t>
  </si>
  <si>
    <t>Juniper sp., Walnut, Virginia creeper, Fraxinus sp., Aster family, Dogwood, Honeysuckle, Fragrant sumac</t>
  </si>
  <si>
    <t>MOR&lt;USA-IL&gt;: Samuels, TN_CLP_164_MG</t>
  </si>
  <si>
    <t>0111485MOR</t>
  </si>
  <si>
    <t>CD1C8BFD-0833-404C-8EE5-F5BA2E132AB8</t>
  </si>
  <si>
    <t>https://swbiodiversity.org/seinet/collections/individual/index.php?occid=34693698</t>
  </si>
  <si>
    <t>SYST-MOR-0006886</t>
  </si>
  <si>
    <t>SYST-MOR-0006886_S170_1.fq.gz</t>
  </si>
  <si>
    <t>SYST-MOR-0006886_S170_2.fq.gz</t>
  </si>
  <si>
    <t>QUE003650</t>
  </si>
  <si>
    <t>TN_CLP_165_MG</t>
  </si>
  <si>
    <t>Limestone area, dense woods, forest, muddy</t>
  </si>
  <si>
    <t>Juniperus sp., Honeysuckle, Virginia creeper, Dogwood, St John's wart</t>
  </si>
  <si>
    <t>752 ft</t>
  </si>
  <si>
    <t>MOR&lt;USA-IL&gt;: Samuels, TN_CLP_165_MG</t>
  </si>
  <si>
    <t>0111180MOR</t>
  </si>
  <si>
    <t>4C7CE9B3-4D35-4371-B329-48FF8E178D49</t>
  </si>
  <si>
    <t>https://swbiodiversity.org/seinet/collections/individual/index.php?occid=34693333</t>
  </si>
  <si>
    <t>SYST-MOR-0006887</t>
  </si>
  <si>
    <t>SYST-MOR-0006887_S171_1.fq.gz</t>
  </si>
  <si>
    <t>SYST-MOR-0006887_S171_2.fq.gz</t>
  </si>
  <si>
    <t>QUE003651</t>
  </si>
  <si>
    <t>TN_CLP_166_MG</t>
  </si>
  <si>
    <t>Quercus stellata, Fraxinus sp., Quercus muehlenbergii, Juniperus sp., Poison ivy, Virginia creeper, White avens, Ulmus sp., Rhumatica, Polysticum sp., Quercus Shumarii, Fragrant sumac</t>
  </si>
  <si>
    <t>750 ft</t>
  </si>
  <si>
    <t>MOR&lt;USA-IL&gt;: Samuels, TN_CLP_166_MG</t>
  </si>
  <si>
    <t>0111486MOR</t>
  </si>
  <si>
    <t>5D159BD1-66D1-48E7-BA69-C0C6F74EED7F</t>
  </si>
  <si>
    <t>https://swbiodiversity.org/seinet/collections/individual/index.php?occid=34693385</t>
  </si>
  <si>
    <t>SYST-MOR-0006888</t>
  </si>
  <si>
    <t>SYST-MOR-0006888_S172_1.fq.gz</t>
  </si>
  <si>
    <t>SYST-MOR-0006888_S172_2.fq.gz</t>
  </si>
  <si>
    <t>QUE003652</t>
  </si>
  <si>
    <t>TN_CLP_167_MG</t>
  </si>
  <si>
    <t>Juniperus sp., Quercus alba, Quercus velutina, Hickory, Poison ivy, Redbud, Birch family</t>
  </si>
  <si>
    <t>758 ft</t>
  </si>
  <si>
    <t>MOR&lt;USA-IL&gt;: Samuels, TN_CLP_167_MG</t>
  </si>
  <si>
    <t>0111028MOR</t>
  </si>
  <si>
    <t>9A594B8E-4A96-4C08-A37F-E3BFFDF550D9</t>
  </si>
  <si>
    <t>https://swbiodiversity.org/seinet/collections/individual/index.php?occid=34693575</t>
  </si>
  <si>
    <t>SYST-MOR-0006889</t>
  </si>
  <si>
    <t>SYST-MOR-0006889_S173_1.fq.gz</t>
  </si>
  <si>
    <t>SYST-MOR-0006889_S173_2.fq.gz</t>
  </si>
  <si>
    <t>QUE003653</t>
  </si>
  <si>
    <t>KY_LXC_168_MG</t>
  </si>
  <si>
    <t>Leah Samuels, Mira Garner, Andrew Hipp, Drew Larson, Paul Manos, Tom Kimmerer</t>
  </si>
  <si>
    <t>Kentucky</t>
  </si>
  <si>
    <t>Fayette</t>
  </si>
  <si>
    <t>Lexington Cemetery</t>
  </si>
  <si>
    <t>Cemetery lawn, woodland pasture</t>
  </si>
  <si>
    <t>Pinus strobus, black cherry, Poison ivy, Lawn grass</t>
  </si>
  <si>
    <t>Caps on the ground,Seeds ripening</t>
  </si>
  <si>
    <t>240 m</t>
  </si>
  <si>
    <t>MOR&lt;USA-IL&gt;: Samuels, KY_LXC_168_MG</t>
  </si>
  <si>
    <t>0111389MOR</t>
  </si>
  <si>
    <t>7BA133B6-A478-4087-B1B2-6AC976314E66</t>
  </si>
  <si>
    <t>https://swbiodiversity.org/seinet/collections/individual/index.php?occid=34693448</t>
  </si>
  <si>
    <t>SYST-MOR-0006890</t>
  </si>
  <si>
    <t>SYST-MOR-0006890_S174_1.fq.gz</t>
  </si>
  <si>
    <t>SYST-MOR-0006890_S174_2.fq.gz</t>
  </si>
  <si>
    <t>QUE003654</t>
  </si>
  <si>
    <t>KY_LXC_169_MG</t>
  </si>
  <si>
    <t>Cemetery lawn, edge of forested area, former woodland pasture</t>
  </si>
  <si>
    <t>Quercus macrocarpa, Pinus strobus, Morus rubra, Honeysuckle, Celastrus scandens</t>
  </si>
  <si>
    <t>247 m</t>
  </si>
  <si>
    <t>MOR&lt;USA-IL&gt;: Samuels, KY_LXC_169_MG</t>
  </si>
  <si>
    <t>0111390MOR</t>
  </si>
  <si>
    <t>303D4C9A-B408-4130-8E22-C1B4C47267B7</t>
  </si>
  <si>
    <t>https://swbiodiversity.org/seinet/collections/individual/index.php?occid=34693256</t>
  </si>
  <si>
    <t>SYST-MOR-0006891</t>
  </si>
  <si>
    <t>SYST-MOR-0006891_S175_1.fq.gz</t>
  </si>
  <si>
    <t>SYST-MOR-0006891_S175_2.fq.gz</t>
  </si>
  <si>
    <t>QUE003655</t>
  </si>
  <si>
    <t>KY_LXC_170_MG</t>
  </si>
  <si>
    <t>Open grown, woodland pasture</t>
  </si>
  <si>
    <t>Catalpas, Lawn grass, Euonymus sp.</t>
  </si>
  <si>
    <t>265 m</t>
  </si>
  <si>
    <t>MOR&lt;USA-IL&gt;: Samuels, KY_LXC_170_MG</t>
  </si>
  <si>
    <t>0111388MOR</t>
  </si>
  <si>
    <t>39472247-DA03-41F7-9CCF-0752EF123956</t>
  </si>
  <si>
    <t>https://swbiodiversity.org/seinet/collections/individual/index.php?occid=34693307</t>
  </si>
  <si>
    <t>SYST-MOR-0006892</t>
  </si>
  <si>
    <t>SYST-MOR-0006892_S176_1.fq.gz</t>
  </si>
  <si>
    <t>SYST-MOR-0006892_S176_2.fq.gz</t>
  </si>
  <si>
    <t>QUE003656</t>
  </si>
  <si>
    <t>KY_LXC_171_MG</t>
  </si>
  <si>
    <t>Cemetery lawn, former woodlands pasture</t>
  </si>
  <si>
    <t>Malus sp., Grasses, Ground ivy, Virginia creeper</t>
  </si>
  <si>
    <t>Male flowers showing,Caps on the ground,Seeds ripening</t>
  </si>
  <si>
    <t>249 m</t>
  </si>
  <si>
    <t>MOR&lt;USA-IL&gt;: Samuels, KY_LXC_171_MG</t>
  </si>
  <si>
    <t>0111391MOR</t>
  </si>
  <si>
    <t>4CE30F79-918C-4DFA-B519-254B5175C096</t>
  </si>
  <si>
    <t>https://swbiodiversity.org/seinet/collections/individual/index.php?occid=34693339</t>
  </si>
  <si>
    <t>SYST-MOR-0006893</t>
  </si>
  <si>
    <t>SYST-MOR-0006893_S177_1.fq.gz</t>
  </si>
  <si>
    <t>SYST-MOR-0006893_S177_2.fq.gz</t>
  </si>
  <si>
    <t>QUE003657</t>
  </si>
  <si>
    <t>KY_CSW_172_MG</t>
  </si>
  <si>
    <t>Open park lawn, former woodlands pasture</t>
  </si>
  <si>
    <t>blue ash, Euonymus sp., Lawn grass</t>
  </si>
  <si>
    <t>Male flowers showing,Seeds ripening,Caps on the ground</t>
  </si>
  <si>
    <t>263 m</t>
  </si>
  <si>
    <t>MOR&lt;USA-IL&gt;: Samuels, KY_CSW_172_MG</t>
  </si>
  <si>
    <t>0111392MOR</t>
  </si>
  <si>
    <t>4251BA2A-2299-446D-850F-946A10A9E57F</t>
  </si>
  <si>
    <t>https://swbiodiversity.org/seinet/collections/individual/index.php?occid=34693267</t>
  </si>
  <si>
    <t>SYST-MOR-0006894</t>
  </si>
  <si>
    <t>SYST-MOR-0006894_S178_1.fq.gz</t>
  </si>
  <si>
    <t>SYST-MOR-0006894_S178_2.fq.gz</t>
  </si>
  <si>
    <t>QUE003658</t>
  </si>
  <si>
    <t>KY_CSW_173_MG</t>
  </si>
  <si>
    <t>Open park, former woodlands pasture</t>
  </si>
  <si>
    <t>spruce, Ground ivy, Euonymus sp., Grasses</t>
  </si>
  <si>
    <t>255 m</t>
  </si>
  <si>
    <t>MOR&lt;USA-IL&gt;: Samuels, KY_CSW_173_MG</t>
  </si>
  <si>
    <t>0111197MOR</t>
  </si>
  <si>
    <t>CB9CBC49-8F44-4AD6-8ED4-163C72C7F89A</t>
  </si>
  <si>
    <t>https://swbiodiversity.org/seinet/collections/individual/index.php?occid=34693713</t>
  </si>
  <si>
    <t>SYST-MOR-0006895</t>
  </si>
  <si>
    <t>SYST-MOR-0006895_S179_1.fq.gz</t>
  </si>
  <si>
    <t>SYST-MOR-0006895_S179_2.fq.gz</t>
  </si>
  <si>
    <t>QUE003659</t>
  </si>
  <si>
    <t>KY_CSW_174_MG</t>
  </si>
  <si>
    <t>Celtis sp., Ground ivy, Grass, Common plantain</t>
  </si>
  <si>
    <t>MOR&lt;USA-IL&gt;: Samuels, KY_CSW_174_MG</t>
  </si>
  <si>
    <t>0111196MOR</t>
  </si>
  <si>
    <t>D62B4226-5A6C-4CDC-B383-7B3A5DC09095</t>
  </si>
  <si>
    <t>https://swbiodiversity.org/seinet/collections/individual/index.php?occid=34693719</t>
  </si>
  <si>
    <t>SYST-MOR-0006896</t>
  </si>
  <si>
    <t>SYST-MOR-0006896_S180_1.fq.gz</t>
  </si>
  <si>
    <t>SYST-MOR-0006896_S180_2.fq.gz</t>
  </si>
  <si>
    <t>QUE003660</t>
  </si>
  <si>
    <t>KY_BBF_175_MG</t>
  </si>
  <si>
    <t>Briarbrook Farm</t>
  </si>
  <si>
    <t>Woodland pasture</t>
  </si>
  <si>
    <t>Quercus macrocarpa, Juglans nigra, Quercus muehlenbergii, Honeysuckle, Common plantain, Clover, Grass</t>
  </si>
  <si>
    <t>880 ft</t>
  </si>
  <si>
    <t>MOR&lt;USA-IL&gt;: Samuels, KY_BBF_175_MG</t>
  </si>
  <si>
    <t>0111399MOR</t>
  </si>
  <si>
    <t>F2A9C831-0D69-41F3-BE4B-A97D2A887904</t>
  </si>
  <si>
    <t>https://swbiodiversity.org/seinet/collections/individual/index.php?occid=34693771</t>
  </si>
  <si>
    <t>SYST-MOR-0006897</t>
  </si>
  <si>
    <t>SYST-MOR-0006897_S181_1.fq.gz</t>
  </si>
  <si>
    <t>SYST-MOR-0006897_S181_2.fq.gz</t>
  </si>
  <si>
    <t>QUE003661</t>
  </si>
  <si>
    <t>KY_BBF_176_MG</t>
  </si>
  <si>
    <t>Quercus macrocarpa, Fraxinus quadrangulata, Honeysuckle, Grass, Poison ivy</t>
  </si>
  <si>
    <t>884 ft</t>
  </si>
  <si>
    <t>MOR&lt;USA-IL&gt;: Samuels, KY_BBF_176_MG</t>
  </si>
  <si>
    <t>0111195MOR</t>
  </si>
  <si>
    <t>A27231D7-5B35-4B81-BABD-761794368869</t>
  </si>
  <si>
    <t>https://swbiodiversity.org/seinet/collections/individual/index.php?occid=34693613</t>
  </si>
  <si>
    <t>SYST-MOR-0006898</t>
  </si>
  <si>
    <t>SYST-MOR-0006898_S182_1.fq.gz</t>
  </si>
  <si>
    <t>SYST-MOR-0006898_S182_2.fq.gz</t>
  </si>
  <si>
    <t>QUE003662</t>
  </si>
  <si>
    <t>KY_BBF_177_MG</t>
  </si>
  <si>
    <t>Celtis occidentalis, Honeysuckle, Grass, Smooth ruellia</t>
  </si>
  <si>
    <t>MOR&lt;USA-IL&gt;: Samuels, KY_BBF_177_MG</t>
  </si>
  <si>
    <t>0111398MOR</t>
  </si>
  <si>
    <t>7A4DEA92-84CD-426C-B4B8-DE7E88FBB3B0</t>
  </si>
  <si>
    <t>https://swbiodiversity.org/seinet/collections/individual/index.php?occid=34693425</t>
  </si>
  <si>
    <t>SYST-MOR-0006899</t>
  </si>
  <si>
    <t>SYST-MOR-0006899_S183_1.fq.gz</t>
  </si>
  <si>
    <t>SYST-MOR-0006899_S183_2.fq.gz</t>
  </si>
  <si>
    <t>QUE003663</t>
  </si>
  <si>
    <t>KY_BBF_178_MG</t>
  </si>
  <si>
    <t>Celtis occidentalis, Poison ivy, Honeysuckle, Rose, Pennistum sp., Ash, Trumpet vine, Vitis sp.</t>
  </si>
  <si>
    <t>863 ft</t>
  </si>
  <si>
    <t>MOR&lt;USA-IL&gt;: Samuels, KY_BBF_178_MG</t>
  </si>
  <si>
    <t>0111194MOR</t>
  </si>
  <si>
    <t>5C903107-6428-44FF-9342-D9112667FF37</t>
  </si>
  <si>
    <t>https://swbiodiversity.org/seinet/collections/individual/index.php?occid=34693384</t>
  </si>
  <si>
    <t>SYST-MOR-0006900</t>
  </si>
  <si>
    <t>SYST-MOR-0006900_S184_1.fq.gz</t>
  </si>
  <si>
    <t>SYST-MOR-0006900_S184_2.fq.gz</t>
  </si>
  <si>
    <t>QUE003664</t>
  </si>
  <si>
    <t>KY_BBF_179_MG</t>
  </si>
  <si>
    <t>Poison ivy, Virginia creeper, Honeysuckle, Euonymus sp., Glechoma sp., Burdock, Ambrosia sp.</t>
  </si>
  <si>
    <t>849 ft</t>
  </si>
  <si>
    <t>MOR&lt;USA-IL&gt;: Samuels, KY_BBF_179_MG</t>
  </si>
  <si>
    <t>0111193MOR</t>
  </si>
  <si>
    <t>A9E0B887-E8F5-44B3-BC52-DA865FB88A1E</t>
  </si>
  <si>
    <t>https://swbiodiversity.org/seinet/collections/individual/index.php?occid=34693635</t>
  </si>
  <si>
    <t>SYST-MOR-0006901</t>
  </si>
  <si>
    <t>SYST-MOR-0006901_S185_1.fq.gz</t>
  </si>
  <si>
    <t>SYST-MOR-0006901_S185_2.fq.gz</t>
  </si>
  <si>
    <t>QUE003665</t>
  </si>
  <si>
    <t>KY_BBF_180_MG</t>
  </si>
  <si>
    <t>Quercus muehlenbergii, Poison ivy, Honeysuckle, Common plantain, Pennisetum sp., Smooth ruellia</t>
  </si>
  <si>
    <t>840 ft</t>
  </si>
  <si>
    <t>MOR&lt;USA-IL&gt;: Samuels, KY_BBF_180_MG</t>
  </si>
  <si>
    <t>0111179MOR</t>
  </si>
  <si>
    <t>D540D4A2-C19C-47EE-895C-A16D633FEC03</t>
  </si>
  <si>
    <t>https://swbiodiversity.org/seinet/collections/individual/index.php?occid=34693671</t>
  </si>
  <si>
    <t>SYST-MOR-0006902</t>
  </si>
  <si>
    <t>SYST-MOR-0006902_S186_1.fq.gz</t>
  </si>
  <si>
    <t>SYST-MOR-0006902_S186_2.fq.gz</t>
  </si>
  <si>
    <t>QUE003666</t>
  </si>
  <si>
    <t>KY_BBF_181_MG</t>
  </si>
  <si>
    <t>Kingnut hickory, Honeysuckle, Poison ivy, Ragweed, Common plantain, Sassafras, Pennisetum sp., Smooth ruellia</t>
  </si>
  <si>
    <t>824 ft</t>
  </si>
  <si>
    <t>MOR&lt;USA-IL&gt;: Samuels, KY_BBF_181_MG</t>
  </si>
  <si>
    <t>0111400MOR</t>
  </si>
  <si>
    <t>E9741784-40F6-4E8C-8D35-51D74ED1E2C9</t>
  </si>
  <si>
    <t>https://swbiodiversity.org/seinet/collections/individual/index.php?occid=34693731</t>
  </si>
  <si>
    <t>SYST-MOR-0006903</t>
  </si>
  <si>
    <t>SYST-MOR-0006903_S187_1.fq.gz</t>
  </si>
  <si>
    <t>SYST-MOR-0006903_S187_2.fq.gz</t>
  </si>
  <si>
    <t>QUE003667</t>
  </si>
  <si>
    <t>KY_BBF_182_MG</t>
  </si>
  <si>
    <t>Poison ivy, Ragweed, Common plantain, Pennisetum sp., Smooth ruellia</t>
  </si>
  <si>
    <t>834 ft</t>
  </si>
  <si>
    <t>MOR&lt;USA-IL&gt;: Samuels, KY_BBF_182_MG</t>
  </si>
  <si>
    <t>0111401MOR</t>
  </si>
  <si>
    <t>1C9E9316-4AC4-48D7-9A7F-DF4132B947DA</t>
  </si>
  <si>
    <t>https://swbiodiversity.org/seinet/collections/individual/index.php?occid=34693203</t>
  </si>
  <si>
    <t>SYST-MOR-0006904</t>
  </si>
  <si>
    <t>SYST-MOR-0006904_S188_1.fq.gz</t>
  </si>
  <si>
    <t>SYST-MOR-0006904_S188_2.fq.gz</t>
  </si>
  <si>
    <t>QUE003668</t>
  </si>
  <si>
    <t>KY_BBF_183_MG</t>
  </si>
  <si>
    <t>Poison ivy, Honeysuckle, Pokeweed, Vitis sp., Common plantain, Grass family</t>
  </si>
  <si>
    <t>837 ft</t>
  </si>
  <si>
    <t>MOR&lt;USA-IL&gt;: Samuels, KY_BBF_183_MG</t>
  </si>
  <si>
    <t>0111178MOR</t>
  </si>
  <si>
    <t>8AA67CB0-FF19-4F3A-83CC-9F7347383BC3</t>
  </si>
  <si>
    <t>https://swbiodiversity.org/seinet/collections/individual/index.php?occid=34693542</t>
  </si>
  <si>
    <t>SYST-MOR-0006905</t>
  </si>
  <si>
    <t>SYST-MOR-0006905_S189_1.fq.gz</t>
  </si>
  <si>
    <t>SYST-MOR-0006905_S189_2.fq.gz</t>
  </si>
  <si>
    <t>QUE003669</t>
  </si>
  <si>
    <t>KY_BBF_184_MG</t>
  </si>
  <si>
    <t>Fraxinus quadrangulata, Virginia creeper, Ragweed, Common plantain, Grass family, Hackberry, Thistle, Vitis sp.</t>
  </si>
  <si>
    <t>844 ft</t>
  </si>
  <si>
    <t>MOR&lt;USA-IL&gt;: Samuels, KY_BBF_184_MG</t>
  </si>
  <si>
    <t>0111402MOR</t>
  </si>
  <si>
    <t>A0E78611-E9F8-4CD4-84B0-F28CCCA2A6A1</t>
  </si>
  <si>
    <t>https://swbiodiversity.org/seinet/collections/individual/index.php?occid=34693582</t>
  </si>
  <si>
    <t>SYST-MOR-0006906</t>
  </si>
  <si>
    <t>SYST-MOR-0006906_S190_1.fq.gz</t>
  </si>
  <si>
    <t>SYST-MOR-0006906_S190_2.fq.gz</t>
  </si>
  <si>
    <t>QUE003670</t>
  </si>
  <si>
    <t>KY_ASF_185_MG</t>
  </si>
  <si>
    <t>Airdrie Stud Farm est. 1780</t>
  </si>
  <si>
    <t>Kingnut hickory, Virginia creeper, Poison ivy, Burdocks, Urtica sp., Ground ivy, grass</t>
  </si>
  <si>
    <t>819 ft</t>
  </si>
  <si>
    <t>MOR&lt;USA-IL&gt;: Samuels, KY_ASF_185_MG</t>
  </si>
  <si>
    <t>0111404MOR</t>
  </si>
  <si>
    <t>938F8C5D-7D3B-483A-A441-A00F0AEF5938</t>
  </si>
  <si>
    <t>https://swbiodiversity.org/seinet/collections/individual/index.php?occid=34693569</t>
  </si>
  <si>
    <t>SYST-MOR-0006907</t>
  </si>
  <si>
    <t>SYST-MOR-0006907_S191_1.fq.gz</t>
  </si>
  <si>
    <t>SYST-MOR-0006907_S191_2.fq.gz</t>
  </si>
  <si>
    <t>QUE003671</t>
  </si>
  <si>
    <t>KY_ASF_186_MG</t>
  </si>
  <si>
    <t>Woodlands pasture</t>
  </si>
  <si>
    <t>Fraxinus quadrangulata, Burdock, knotweed, Trifolium repens, Avens sp., Creeping Charlie, Ragweed, Grasses family, Viola sp., Lonicera sp., Vitus sp., Rhumex sp.</t>
  </si>
  <si>
    <t>821 ft</t>
  </si>
  <si>
    <t>MOR&lt;USA-IL&gt;: Samuels, KY_ASF_186_MG</t>
  </si>
  <si>
    <t>0111405MOR</t>
  </si>
  <si>
    <t>E655831A-DC7B-49DC-AFF2-DC75B4023CEF</t>
  </si>
  <si>
    <t>https://swbiodiversity.org/seinet/collections/individual/index.php?occid=34693723</t>
  </si>
  <si>
    <t>SYST-MOR-0006908</t>
  </si>
  <si>
    <t>SYST-MOR-0006908_S192_1.fq.gz</t>
  </si>
  <si>
    <t>SYST-MOR-0006908_S192_2.fq.gz</t>
  </si>
  <si>
    <t>QUE003672</t>
  </si>
  <si>
    <t>KY_ASF_187_MG</t>
  </si>
  <si>
    <t>Solanum carolinense, clover, Burdock, honeysuckle, grass family, ragweed, poison ivy, Trifolium ripens, Virginia creeper</t>
  </si>
  <si>
    <t>836 ft</t>
  </si>
  <si>
    <t>MOR&lt;USA-IL&gt;: Samuels, KY_ASF_187_MG</t>
  </si>
  <si>
    <t>0111406MOR</t>
  </si>
  <si>
    <t>3F764116-D3F5-4192-9F60-71A1EA779C9C</t>
  </si>
  <si>
    <t>https://swbiodiversity.org/seinet/collections/individual/index.php?occid=34693285</t>
  </si>
  <si>
    <t>SYST-MOR-0006909</t>
  </si>
  <si>
    <t>SYST-MOR-0006909_S193_1.fq.gz</t>
  </si>
  <si>
    <t>SYST-MOR-0006909_S193_2.fq.gz</t>
  </si>
  <si>
    <t>QUE003673</t>
  </si>
  <si>
    <t>KY_ASF_188_MG</t>
  </si>
  <si>
    <t>Woodland Pasture</t>
  </si>
  <si>
    <t>Juniperus sp., Juglans nigra, Celtis occidentalis, Acer saccharum, Fraxinus sp., Glechoma hederacea, Poaceae, nettle</t>
  </si>
  <si>
    <t>MOR&lt;USA-IL&gt;: Samuels, KY_ASF_188_MG</t>
  </si>
  <si>
    <t>0111177MOR</t>
  </si>
  <si>
    <t>9F6A350D-1AFC-4008-B79B-2F715EA48EC9</t>
  </si>
  <si>
    <t>https://swbiodiversity.org/seinet/collections/individual/index.php?occid=34693628</t>
  </si>
  <si>
    <t>SYST-MOR-0006910</t>
  </si>
  <si>
    <t>SYST-MOR-0006910_S194_1.fq.gz</t>
  </si>
  <si>
    <t>SYST-MOR-0006910_S194_2.fq.gz</t>
  </si>
  <si>
    <t>QUE003674</t>
  </si>
  <si>
    <t>KY_ASF_189_MG</t>
  </si>
  <si>
    <t>Juniper sp., Juglans nigra, pin oak, Acer saccharum, Glechoma hederacea, Poaceae, Virginia creeper</t>
  </si>
  <si>
    <t>843 ft</t>
  </si>
  <si>
    <t>MOR&lt;USA-IL&gt;: Samuels, KY_ASF_189_MG</t>
  </si>
  <si>
    <t>0111407MOR</t>
  </si>
  <si>
    <t>B561E3BB-23DE-4140-B133-E2AB640BD610</t>
  </si>
  <si>
    <t>https://swbiodiversity.org/seinet/collections/individual/index.php?occid=34693600</t>
  </si>
  <si>
    <t>SYST-MOR-0006911</t>
  </si>
  <si>
    <t>SYST-MOR-0006911_S195_1.fq.gz</t>
  </si>
  <si>
    <t>SYST-MOR-0006911_S195_2.fq.gz</t>
  </si>
  <si>
    <t>QUE003675</t>
  </si>
  <si>
    <t>KY_ASF_190_MG</t>
  </si>
  <si>
    <t>Celtis occidentalis, Fraxinus quadrangulata, Acer saccharum, Honeysuckle, Vitus sp., trifolium ripens, ground ivy, Euonymus sp., Asteracae, Poaceae</t>
  </si>
  <si>
    <t>852 ft</t>
  </si>
  <si>
    <t>MOR&lt;USA-IL&gt;: Samuels, KY_ASF_190_MG</t>
  </si>
  <si>
    <t>0111408MOR</t>
  </si>
  <si>
    <t>949858F4-9416-4D25-A37E-7C248E4206BF</t>
  </si>
  <si>
    <t>https://swbiodiversity.org/seinet/collections/individual/index.php?occid=34693548</t>
  </si>
  <si>
    <t>SYST-MOR-0006912</t>
  </si>
  <si>
    <t>SYST-MOR-0006912_S196_1.fq.gz</t>
  </si>
  <si>
    <t>SYST-MOR-0006912_S196_2.fq.gz</t>
  </si>
  <si>
    <t>QUE003676</t>
  </si>
  <si>
    <t>KY_ASF_191_MG</t>
  </si>
  <si>
    <t>Juniper sp., Ground ivy, Poaceae, Euonymus sp., Virginia creeper, Lamium sp., Persicaria virginiana</t>
  </si>
  <si>
    <t>835 ft</t>
  </si>
  <si>
    <t>MOR&lt;USA-IL&gt;: Samuels, KY_ASF_191_MG</t>
  </si>
  <si>
    <t>0111192MOR</t>
  </si>
  <si>
    <t>05C0F882-CB37-4043-86D5-4C6F327C06AE</t>
  </si>
  <si>
    <t>https://swbiodiversity.org/seinet/collections/individual/index.php?occid=34693144</t>
  </si>
  <si>
    <t>SYST-MOR-0006913</t>
  </si>
  <si>
    <t>SYST-MOR-0006913_S197_1.fq.gz</t>
  </si>
  <si>
    <t>SYST-MOR-0006913_S197_2.fq.gz</t>
  </si>
  <si>
    <t>QUE003677</t>
  </si>
  <si>
    <t>KY_ASF_192_MG</t>
  </si>
  <si>
    <t>In forested area at edge of woodland pasture</t>
  </si>
  <si>
    <t>Acer saccharum, Celtis occidentalis, Honeysuckle, ground ivy, Euonymus sp.</t>
  </si>
  <si>
    <t>MOR&lt;USA-IL&gt;: Samuels, KY_ASF_192_MG</t>
  </si>
  <si>
    <t>0111191MOR</t>
  </si>
  <si>
    <t>FB2FD694-A353-401A-B578-8A3C76B42C2D</t>
  </si>
  <si>
    <t>https://swbiodiversity.org/seinet/collections/individual/index.php?occid=34693779</t>
  </si>
  <si>
    <t>SYST-MOR-0006914</t>
  </si>
  <si>
    <t>SYST-MOR-0006914_S198_1.fq.gz</t>
  </si>
  <si>
    <t>SYST-MOR-0006914_S198_2.fq.gz</t>
  </si>
  <si>
    <t>QUE003678</t>
  </si>
  <si>
    <t>KY_ASF_193_MG</t>
  </si>
  <si>
    <t>Forested area near woodland pasture</t>
  </si>
  <si>
    <t>Aesculus sp., Celtis occidentalis, Stinging nettles, honeysuckle, Poaceae, American pokeweed, ground ivy, Euonymus sp.</t>
  </si>
  <si>
    <t>854 ft</t>
  </si>
  <si>
    <t>MOR&lt;USA-IL&gt;: Samuels, KY_ASF_193_MG</t>
  </si>
  <si>
    <t>0111190MOR</t>
  </si>
  <si>
    <t>2DFB19D9-C869-468B-8ABB-D49C4814A18C</t>
  </si>
  <si>
    <t>https://swbiodiversity.org/seinet/collections/individual/index.php?occid=34693275</t>
  </si>
  <si>
    <t>SYST-MOR-0006915</t>
  </si>
  <si>
    <t>SYST-MOR-0006915_S199_1.fq.gz</t>
  </si>
  <si>
    <t>SYST-MOR-0006915_S199_2.fq.gz</t>
  </si>
  <si>
    <t>QUE003679</t>
  </si>
  <si>
    <t>KY_ASF_194_MG</t>
  </si>
  <si>
    <t>Edge of woodland pasture, more wooded area with denser foliage</t>
  </si>
  <si>
    <t>Fraxinus quadrangulata, Celtis occidentalis, Acer saccharum, Stinging nettle, ground ivy, honeysuckle, Poaceae, Euonymus sp.</t>
  </si>
  <si>
    <t>MOR&lt;USA-IL&gt;: Samuels, KY_ASF_194_MG</t>
  </si>
  <si>
    <t>0111189MOR</t>
  </si>
  <si>
    <t>70A277D8-CDFE-4D69-86EE-4DEECED39F12</t>
  </si>
  <si>
    <t>https://swbiodiversity.org/seinet/collections/individual/index.php?occid=34693418</t>
  </si>
  <si>
    <t>SYST-MOR-0006916</t>
  </si>
  <si>
    <t>SYST-MOR-0006916_S200_1.fq.gz</t>
  </si>
  <si>
    <t>SYST-MOR-0006916_S200_2.fq.gz</t>
  </si>
  <si>
    <t>QUE003680</t>
  </si>
  <si>
    <t>KY_JJA_195_MG</t>
  </si>
  <si>
    <t>Hendersen</t>
  </si>
  <si>
    <t>John James Audubon State Park</t>
  </si>
  <si>
    <t>Bottomlands forest, wetlands</t>
  </si>
  <si>
    <t>Sugar maple, Fraxinussp, Quercus palustris, Liquidambar styraciflua, Celtis occidentalis, Kentucky coffee tree, Ulmus rubra, Virginia creeper, poison ivy, paw paw, Carex sp., Boehmaria sp., moonseed, creeping Jenny</t>
  </si>
  <si>
    <t>365 ft</t>
  </si>
  <si>
    <t>MOR&lt;USA-IL&gt;: Samuels, KY_JJA_195_MG</t>
  </si>
  <si>
    <t>0111217MOR</t>
  </si>
  <si>
    <t>F11623F3-836D-4541-A1F4-B62B9BA0726D</t>
  </si>
  <si>
    <t>https://swbiodiversity.org/seinet/collections/individual/index.php?occid=34693787</t>
  </si>
  <si>
    <t>SYST-MOR-0006917</t>
  </si>
  <si>
    <t>SYST-MOR-0006917_S201_1.fq.gz</t>
  </si>
  <si>
    <t>SYST-MOR-0006917_S201_2.fq.gz</t>
  </si>
  <si>
    <t>QUE003681</t>
  </si>
  <si>
    <t>KY_JJA_196_MG</t>
  </si>
  <si>
    <t>Acer saccharum, Quercus lyrata, Fraxinus sp., Willow, Sycamore, Stinging nettle, Carex sp., Pilea pumila, Impatiens sp., Saururus cernuus, Lamiaceae</t>
  </si>
  <si>
    <t>MOR&lt;USA-IL&gt;: Samuels, KY_JJA_196_MG</t>
  </si>
  <si>
    <t>0111239MOR</t>
  </si>
  <si>
    <t>610E6FA8-C5A5-424A-9F60-5520FBDAE6B2</t>
  </si>
  <si>
    <t>https://swbiodiversity.org/seinet/collections/individual/index.php?occid=34693406</t>
  </si>
  <si>
    <t>SYST-MOR-0006918</t>
  </si>
  <si>
    <t>SYST-MOR-0006918_S202_1.fq.gz</t>
  </si>
  <si>
    <t>SYST-MOR-0006918_S202_2.fq.gz</t>
  </si>
  <si>
    <t>QUE003682</t>
  </si>
  <si>
    <t>KY_JJA_197_MG</t>
  </si>
  <si>
    <t>Bottomlands Forest, wetlands</t>
  </si>
  <si>
    <t>Carya laciniosa, Quercus michauxii, Celtis laevigata, Liquidambar styraciflua, Pin oak, Bignonia sp., trumpet vine, Carex sp., Triosteum aurantiacum, Virginia creeper, hackberry</t>
  </si>
  <si>
    <t>367 ft</t>
  </si>
  <si>
    <t>MOR&lt;USA-IL&gt;: Samuels, KY_JJA_197_MG</t>
  </si>
  <si>
    <t>0111224MOR</t>
  </si>
  <si>
    <t>1193700F-F969-405F-9B01-4CE8530462C3</t>
  </si>
  <si>
    <t>https://swbiodiversity.org/seinet/collections/individual/index.php?occid=34693225</t>
  </si>
  <si>
    <t>SYST-MOR-0006919</t>
  </si>
  <si>
    <t>SYST-MOR-0006919_S203_1.fq.gz</t>
  </si>
  <si>
    <t>SYST-MOR-0006919_S203_2.fq.gz</t>
  </si>
  <si>
    <t>QUE003683</t>
  </si>
  <si>
    <t>KY_JJA_198_MG</t>
  </si>
  <si>
    <t>Celtis laevigata, Quercus palustris, Liquidambar styraciflua, Poison ivy, trumpet vine, Carex sp., Virginia creeper, Carex grayi, Chasmanthium latifolium, Viola sp., Smilax sp.</t>
  </si>
  <si>
    <t>371 ft</t>
  </si>
  <si>
    <t>MOR&lt;USA-IL&gt;: Samuels, KY_JJA_198_MG</t>
  </si>
  <si>
    <t>0111218MOR</t>
  </si>
  <si>
    <t>236AEC93-9572-4D84-8083-568A23F057B0</t>
  </si>
  <si>
    <t>https://swbiodiversity.org/seinet/collections/individual/index.php?occid=34693205</t>
  </si>
  <si>
    <t>SYST-MOR-0006920</t>
  </si>
  <si>
    <t>SYST-MOR-0006920_S204_1.fq.gz</t>
  </si>
  <si>
    <t>SYST-MOR-0006920_S204_2.fq.gz</t>
  </si>
  <si>
    <t>QUE003684</t>
  </si>
  <si>
    <t>KY_JJA_199_MG</t>
  </si>
  <si>
    <t>Quercus macrocarpa, Celtis laevigata, Quercus palustris, Pawpaw, Smilax tamnoides, Triosteum aurantiacum, poison ivy, Viola sp., American trumpet vine</t>
  </si>
  <si>
    <t>MOR&lt;USA-IL&gt;: Samuels, KY_JJA_199_MG</t>
  </si>
  <si>
    <t>0111238MOR</t>
  </si>
  <si>
    <t>1C25BA08-6BE8-40C7-90F1-B43D2C8F079D</t>
  </si>
  <si>
    <t>https://swbiodiversity.org/seinet/collections/individual/index.php?occid=34693232</t>
  </si>
  <si>
    <t>SYST-MOR-0006921</t>
  </si>
  <si>
    <t>SYST-MOR-0006921_S205_1.fq.gz</t>
  </si>
  <si>
    <t>SYST-MOR-0006921_S205_2.fq.gz</t>
  </si>
  <si>
    <t>QUE003685</t>
  </si>
  <si>
    <t>KY_JJA_200_MG</t>
  </si>
  <si>
    <t>Acer saccharum, Quercus alba x michauxii, Celtis laevigata, Quercus velutina, Poison ivy, Gentian sp., inland oats, Pawpaw, Carexsp., Virginia creeper</t>
  </si>
  <si>
    <t>373 ft</t>
  </si>
  <si>
    <t>MOR&lt;USA-IL&gt;: Samuels, KY_JJA_200_MG</t>
  </si>
  <si>
    <t>0110995MOR</t>
  </si>
  <si>
    <t>6BE0E57B-7D3B-4D42-87AB-6AF334F7F3CD</t>
  </si>
  <si>
    <t>https://swbiodiversity.org/seinet/collections/individual/index.php?occid=34693475</t>
  </si>
  <si>
    <t>SYST-MOR-0006922</t>
  </si>
  <si>
    <t>SYST-MOR-0006922_S206_1.fq.gz</t>
  </si>
  <si>
    <t>SYST-MOR-0006922_S206_2.fq.gz</t>
  </si>
  <si>
    <t>QUE003686</t>
  </si>
  <si>
    <t>KY_JJA_201_MG</t>
  </si>
  <si>
    <t>Quercus alba x michauxii Nutt.</t>
  </si>
  <si>
    <t>Forest bottomlands, wetlands</t>
  </si>
  <si>
    <t>Carya laciniosa, Quercus alba, Acer saccharum, Quercus michauxii, Quercus palustris, Pawpaw, poison ivy, Virginia creeper, Carex sp., inland oak, Greenbrier, Gentian sp., sugar maple</t>
  </si>
  <si>
    <t>Quercus alba L. x michauxii Nutt.</t>
  </si>
  <si>
    <t>MOR&lt;USA-IL&gt;: Samuels, KY_JJA_201_MG</t>
  </si>
  <si>
    <t>0111268MOR</t>
  </si>
  <si>
    <t>2256D83D-FD18-4E99-B107-BDD8778CEE69</t>
  </si>
  <si>
    <t>https://swbiodiversity.org/seinet/collections/individual/index.php?occid=34693221</t>
  </si>
  <si>
    <t>SYST-MOR-0006923</t>
  </si>
  <si>
    <t>SYST-MOR-0006923_S207_1.fq.gz</t>
  </si>
  <si>
    <t>SYST-MOR-0006923_S207_2.fq.gz</t>
  </si>
  <si>
    <t>QUE003687</t>
  </si>
  <si>
    <t>KY_JJA_202_MG</t>
  </si>
  <si>
    <t>Carya laciniosa, Quercus michauxii, Fraxinus sp., Liquidambar styraciflua, poison ivy, Carex sp., Campsis radicans, Saururus cernuus</t>
  </si>
  <si>
    <t>MOR&lt;USA-IL&gt;: Samuels, KY_JJA_202_MG</t>
  </si>
  <si>
    <t>0111219MOR</t>
  </si>
  <si>
    <t>B00F6370-B362-4A41-9310-E37AE1271785</t>
  </si>
  <si>
    <t>https://swbiodiversity.org/seinet/collections/individual/index.php?occid=34693621</t>
  </si>
  <si>
    <t>SYST-MOR-0006924</t>
  </si>
  <si>
    <t>SYST-MOR-0006924_S208_1.fq.gz</t>
  </si>
  <si>
    <t>SYST-MOR-0006924_S208_2.fq.gz</t>
  </si>
  <si>
    <t>QUE003688</t>
  </si>
  <si>
    <t>KY_JJA_203_MG</t>
  </si>
  <si>
    <t>Fraxinus sp., Quercus michauxii, Carya laciniosa, American trumpet vine, poison ivy, Lizard's tail, Dioscorea villosa, Sugar maple</t>
  </si>
  <si>
    <t>378 ft</t>
  </si>
  <si>
    <t>MOR&lt;USA-IL&gt;: Samuels, KY_JJA_203_MG</t>
  </si>
  <si>
    <t>0111237MOR</t>
  </si>
  <si>
    <t>D534FAD9-9635-4FF5-B609-E11AA45F7CE0</t>
  </si>
  <si>
    <t>https://swbiodiversity.org/seinet/collections/individual/index.php?occid=34693670</t>
  </si>
  <si>
    <t>SYST-MOR-0006925</t>
  </si>
  <si>
    <t>SYST-MOR-0006925_S209_1.fq.gz</t>
  </si>
  <si>
    <t>SYST-MOR-0006925_S209_2.fq.gz</t>
  </si>
  <si>
    <t>QUE003689</t>
  </si>
  <si>
    <t>KY_JJA_204_MG</t>
  </si>
  <si>
    <t>Acer saccharum, Quercus pagoda, Quercus palustris, Fraxinus sp., Campsis radicans, poison ivy, Smilax sp., Liquidambar styraciflua, pawpaw, Carex sp., Celtis sp., Vitis sp.</t>
  </si>
  <si>
    <t>385 ft</t>
  </si>
  <si>
    <t>MOR&lt;USA-IL&gt;: Samuels, KY_JJA_204_MG</t>
  </si>
  <si>
    <t>0110994MOR</t>
  </si>
  <si>
    <t>47EDABA8-4904-4B47-8BFC-F580E202B85F</t>
  </si>
  <si>
    <t>https://swbiodiversity.org/seinet/collections/individual/index.php?occid=34693328</t>
  </si>
  <si>
    <t>SYST-MOR-0006926</t>
  </si>
  <si>
    <t>SYST-MOR-0006926_S210_1.fq.gz</t>
  </si>
  <si>
    <t>SYST-MOR-0006926_S210_2.fq.gz</t>
  </si>
  <si>
    <t>QUE003690</t>
  </si>
  <si>
    <t>KY_JJA_205_MG</t>
  </si>
  <si>
    <t>Bottomlands forest, wetlands, area with minimal foliage</t>
  </si>
  <si>
    <t>Celtis occidentalis, Acer saccharum, Fraxinus sp., Celtis laevigata, Campsis radicans, Gentian sp., Vitis sp.</t>
  </si>
  <si>
    <t>380 ft</t>
  </si>
  <si>
    <t>MOR&lt;USA-IL&gt;: Samuels, KY_JJA_205_MG</t>
  </si>
  <si>
    <t>0111236MOR</t>
  </si>
  <si>
    <t>3D0E4AB5-F98D-4EBB-B7EC-B650B2FE88A5</t>
  </si>
  <si>
    <t>https://swbiodiversity.org/seinet/collections/individual/index.php?occid=34693319</t>
  </si>
  <si>
    <t>SYST-MOR-0006927</t>
  </si>
  <si>
    <t>SYST-MOR-0006927_S211_1.fq.gz</t>
  </si>
  <si>
    <t>SYST-MOR-0006927_S211_2.fq.gz</t>
  </si>
  <si>
    <t>QUE003691</t>
  </si>
  <si>
    <t>KY_JJA_206_MG</t>
  </si>
  <si>
    <t>Quercus alba, Celtis laevigata, red oak group, Carya sp., Hackberry, Gentian sp., poison ivy, Viola sp., greenbriers, Carex sp.</t>
  </si>
  <si>
    <t>381 ft</t>
  </si>
  <si>
    <t>MOR&lt;USA-IL&gt;: Samuels, KY_JJA_206_MG</t>
  </si>
  <si>
    <t>0110993MOR</t>
  </si>
  <si>
    <t>CAB61E02-715C-424E-904B-3EDF6643DD62</t>
  </si>
  <si>
    <t>https://swbiodiversity.org/seinet/collections/individual/index.php?occid=34693665</t>
  </si>
  <si>
    <t>SYST-MOR-0006928</t>
  </si>
  <si>
    <t>SYST-MOR-0006928_S212_1.fq.gz</t>
  </si>
  <si>
    <t>SYST-MOR-0006928_S212_2.fq.gz</t>
  </si>
  <si>
    <t>QUE003692</t>
  </si>
  <si>
    <t>KY_JJA_207_MG</t>
  </si>
  <si>
    <t>Hillside, drier conditions, forest with sparse foliage</t>
  </si>
  <si>
    <t>Acer saccharum, Fraxinus sp., Virginia creeper, poison ivy, Gentian sp., pawpaw, hackberry, Pilea sp.</t>
  </si>
  <si>
    <t>539 ft</t>
  </si>
  <si>
    <t>MOR&lt;USA-IL&gt;: Samuels, KY_JJA_207_MG</t>
  </si>
  <si>
    <t>0111188MOR</t>
  </si>
  <si>
    <t>68C5059E-1387-476E-B3F9-0AFF69FEA575</t>
  </si>
  <si>
    <t>https://swbiodiversity.org/seinet/collections/individual/index.php?occid=34693413</t>
  </si>
  <si>
    <t>SYST-MOR-0006929</t>
  </si>
  <si>
    <t>SYST-MOR-0006929_S213_1.fq.gz</t>
  </si>
  <si>
    <t>SYST-MOR-0006929_S213_2.fq.gz</t>
  </si>
  <si>
    <t>QUE003693</t>
  </si>
  <si>
    <t>KY_JJA_208_MG</t>
  </si>
  <si>
    <t>Along a hill, sparse foliage, near a body of water</t>
  </si>
  <si>
    <t>Carya glabra, Acer saccharum, Carya ovata, Fraxinus americana, Pawpaw, Virginia creeper, Asteraceae</t>
  </si>
  <si>
    <t>485 ft</t>
  </si>
  <si>
    <t>MOR&lt;USA-IL&gt;: Samuels, KY_JJA_208_MG</t>
  </si>
  <si>
    <t>0111187MOR</t>
  </si>
  <si>
    <t>9D7711D7-C574-44BD-A574-67160818437A</t>
  </si>
  <si>
    <t>https://swbiodiversity.org/seinet/collections/individual/index.php?occid=34693578</t>
  </si>
  <si>
    <t>SYST-MOR-0006930</t>
  </si>
  <si>
    <t>SYST-MOR-0006930_S214_1.fq.gz</t>
  </si>
  <si>
    <t>SYST-MOR-0006930_S214_2.fq.gz</t>
  </si>
  <si>
    <t>QUE003694</t>
  </si>
  <si>
    <t>KY_JJA_209_MG</t>
  </si>
  <si>
    <t>Forest hillside, sparse foliage, dry, near parking lot</t>
  </si>
  <si>
    <t>Ulmus sp., Quercus muehlenbergii, Fagus grandifolia, Celtis sp., Oriental Bittersweet, ground clover, Poaceae, Lindera benzoin</t>
  </si>
  <si>
    <t>MOR&lt;USA-IL&gt;: Samuels, KY_JJA_209_MG</t>
  </si>
  <si>
    <t>0111403MOR</t>
  </si>
  <si>
    <t>04C7D5E9-C8F3-44C9-87B0-D052315AB9B5</t>
  </si>
  <si>
    <t>https://swbiodiversity.org/seinet/collections/individual/index.php?occid=34693148</t>
  </si>
  <si>
    <t>SYST-MOR-0006931</t>
  </si>
  <si>
    <t>SYST-MOR-0006931_S215_1.fq.gz</t>
  </si>
  <si>
    <t>SYST-MOR-0006931_S215_2.fq.gz</t>
  </si>
  <si>
    <t>QUE003695</t>
  </si>
  <si>
    <t>KY_GRF_210_MG</t>
  </si>
  <si>
    <t>Green River State Forest</t>
  </si>
  <si>
    <t>Sloping downwards, near still river, forest, understory</t>
  </si>
  <si>
    <t>Red oak group, Carya laevigata, Liquidambar styraciflua,Trumpet vine, poison ivy, honeysuckle, Honewort, Carex sp., Virginia creeper</t>
  </si>
  <si>
    <t>416 ft</t>
  </si>
  <si>
    <t>MOR&lt;USA-IL&gt;: Samuels, KY_GRF_210_MG</t>
  </si>
  <si>
    <t>0111396MOR</t>
  </si>
  <si>
    <t>896A9972-388D-4258-946B-EA126815D8B2</t>
  </si>
  <si>
    <t>https://swbiodiversity.org/seinet/collections/individual/index.php?occid=34693522</t>
  </si>
  <si>
    <t>SYST-MOR-0006932</t>
  </si>
  <si>
    <t>SYST-MOR-0006932_S216_1.fq.gz</t>
  </si>
  <si>
    <t>SYST-MOR-0006932_S216_2.fq.gz</t>
  </si>
  <si>
    <t>QUE003696</t>
  </si>
  <si>
    <t>KY_GRF_211_MG</t>
  </si>
  <si>
    <t>Sloping downward, edge of road and forest, dense foliage, near water</t>
  </si>
  <si>
    <t>Quercus pagoda, Liquidambar styraciflua, Acer saccharum, Poison ivy, honeysuckle, Carex sp., redbud, American hog peanut, tweedys tick clover, clover, Vitis sp., inland oak, Virginia wildrye, asteraceae</t>
  </si>
  <si>
    <t>410 ft</t>
  </si>
  <si>
    <t>MOR&lt;USA-IL&gt;: Samuels, KY_GRF_211_MG</t>
  </si>
  <si>
    <t>0111397MOR</t>
  </si>
  <si>
    <t>893E26DE-EA95-4458-93B3-DC9652FBE5D2</t>
  </si>
  <si>
    <t>https://swbiodiversity.org/seinet/collections/individual/index.php?occid=34693521</t>
  </si>
  <si>
    <t>SYST-MOR-0006933</t>
  </si>
  <si>
    <t>SYST-MOR-0006933_S217_1.fq.gz</t>
  </si>
  <si>
    <t>SYST-MOR-0006933_S217_2.fq.gz</t>
  </si>
  <si>
    <t>QUE003697</t>
  </si>
  <si>
    <t>KY_GRF_212_MG</t>
  </si>
  <si>
    <t>Quercus macrocarpa, American hog peanut, Virginia creeper, Carexsp., Greenbrier, poison ivy, green dragon, smooth ruellia</t>
  </si>
  <si>
    <t>MOR&lt;USA-IL&gt;: Samuels, KY_GRF_212_MG</t>
  </si>
  <si>
    <t>0111395MOR</t>
  </si>
  <si>
    <t>91BD2FB2-73FB-4CBC-8B0D-46BEDA26E3DA</t>
  </si>
  <si>
    <t>https://swbiodiversity.org/seinet/collections/individual/index.php?occid=34693546</t>
  </si>
  <si>
    <t>SYST-MOR-0006934</t>
  </si>
  <si>
    <t>SYST-MOR-0006934_S218_1.fq.gz</t>
  </si>
  <si>
    <t>SYST-MOR-0006934_S218_2.fq.gz</t>
  </si>
  <si>
    <t>QUE003698</t>
  </si>
  <si>
    <t>KY_GRF_213_MG</t>
  </si>
  <si>
    <t>Celtis sp., Acer nagundo, Virginia creeper, redbud, Smilax sp., Asteraceae, Carex sp., Ruellia sp., Redbud, American hog peanut</t>
  </si>
  <si>
    <t>1.8m</t>
  </si>
  <si>
    <t>409 ft</t>
  </si>
  <si>
    <t>MOR&lt;USA-IL&gt;: Samuels, KY_GRF_213_MG</t>
  </si>
  <si>
    <t>0111394MOR</t>
  </si>
  <si>
    <t>3E17501F-B500-462D-A8E4-23F604353959</t>
  </si>
  <si>
    <t>https://swbiodiversity.org/seinet/collections/individual/index.php?occid=34693264</t>
  </si>
  <si>
    <t>SYST-MOR-0006935</t>
  </si>
  <si>
    <t>SYST-MOR-0006935_S219_1.fq.gz</t>
  </si>
  <si>
    <t>SYST-MOR-0006935_S219_2.fq.gz</t>
  </si>
  <si>
    <t>QUE003699</t>
  </si>
  <si>
    <t>KY_GRF_214_MG</t>
  </si>
  <si>
    <t>Celtis laevigata, Box elder, Virginia creeper, Asteraceae, Carex sp., wild garlic, trumpet vine,</t>
  </si>
  <si>
    <t>402 ft</t>
  </si>
  <si>
    <t>MOR&lt;USA-IL&gt;: Samuels, KY_GRF_214_MG</t>
  </si>
  <si>
    <t>0111393MOR</t>
  </si>
  <si>
    <t>95071556-BE43-4204-BF53-13912209C4C4</t>
  </si>
  <si>
    <t>https://swbiodiversity.org/seinet/collections/individual/index.php?occid=34693551</t>
  </si>
  <si>
    <t>SYST-MOR-0006936</t>
  </si>
  <si>
    <t>SYST-MOR-0006936_S220_1.fq.gz</t>
  </si>
  <si>
    <t>SYST-MOR-0006936_S220_2.fq.gz</t>
  </si>
  <si>
    <t>QUE003700</t>
  </si>
  <si>
    <t>WI_THB_215_MG</t>
  </si>
  <si>
    <t>Tower Hill Bottoms SNA</t>
  </si>
  <si>
    <t>Top of ridge, sandy soil, forested area</t>
  </si>
  <si>
    <t>Juniperus sp., honey locust, Morus sp., Poison ivy, Virginia creeper, Osmorhiza sp., Smilax sp., honeysuckle,</t>
  </si>
  <si>
    <t>MOR&lt;USA-IL&gt;: Samuels, WI_THB_215_MG</t>
  </si>
  <si>
    <t>0111362MOR</t>
  </si>
  <si>
    <t>1B2120C3-D4E2-406D-8D7E-5621F6C633C3</t>
  </si>
  <si>
    <t>https://swbiodiversity.org/seinet/collections/individual/index.php?occid=34693213</t>
  </si>
  <si>
    <t>SYST-MOR-0006937</t>
  </si>
  <si>
    <t>SYST-MOR-0006937_S221_1.fq.gz</t>
  </si>
  <si>
    <t>SYST-MOR-0006937_S221_2.fq.gz</t>
  </si>
  <si>
    <t>QUE003701</t>
  </si>
  <si>
    <t>WI_THB_216_MG</t>
  </si>
  <si>
    <t>Sandy ground, bottomland forest</t>
  </si>
  <si>
    <t>Juniperus sp., Fraxinus sp., Quercus sect. Lobatae,Virginia creeper, Osmorhiza claytonii, Geum canadense, Persicaria virginiana, wood nettle, poison ivy, Smilax sp.</t>
  </si>
  <si>
    <t>803 ft</t>
  </si>
  <si>
    <t>MOR&lt;USA-IL&gt;: Samuels, WI_THB_216_MG</t>
  </si>
  <si>
    <t>0111067MOR</t>
  </si>
  <si>
    <t>ABE0AEAE-A0F6-41F0-8AD5-9F2409F72E8F</t>
  </si>
  <si>
    <t>https://swbiodiversity.org/seinet/collections/individual/index.php?occid=34693656</t>
  </si>
  <si>
    <t>SYST-MOR-0006938</t>
  </si>
  <si>
    <t>SYST-MOR-0006938_S222_1.fq.gz</t>
  </si>
  <si>
    <t>SYST-MOR-0006938_S222_2.fq.gz</t>
  </si>
  <si>
    <t>QUE003702</t>
  </si>
  <si>
    <t>WI_THB_217_MG</t>
  </si>
  <si>
    <t>Sandy bottomland forest</t>
  </si>
  <si>
    <t>Acer saccharum, Quercus sect. Lobatae, Quercus alba, Fern, Smilax sp., Virginia creeper, wood nettle, Hylodesmum glutinosum, Lindera benzoin</t>
  </si>
  <si>
    <t>780 ft</t>
  </si>
  <si>
    <t>MOR&lt;USA-IL&gt;: Samuels, WI_THB_217_MG</t>
  </si>
  <si>
    <t>0111068MOR</t>
  </si>
  <si>
    <t>7539BB3E-18ED-4B15-9BCE-54B59EE0EA78</t>
  </si>
  <si>
    <t>https://swbiodiversity.org/seinet/collections/individual/index.php?occid=34693466</t>
  </si>
  <si>
    <t>SYST-MOR-0006939</t>
  </si>
  <si>
    <t>SYST-MOR-0006939_S223_1.fq.gz</t>
  </si>
  <si>
    <t>SYST-MOR-0006939_S223_2.fq.gz</t>
  </si>
  <si>
    <t>QUE003703</t>
  </si>
  <si>
    <t>WI_THB_218_MG</t>
  </si>
  <si>
    <t>Hillside forest, sandy soil,</t>
  </si>
  <si>
    <t>Celtis sp., Diervilla lonicera, mulberry, Virginia creeper, fern, bittersweet</t>
  </si>
  <si>
    <t>812 ft</t>
  </si>
  <si>
    <t>MOR&lt;USA-IL&gt;: Samuels, WI_THB_218_MG</t>
  </si>
  <si>
    <t>0111069MOR</t>
  </si>
  <si>
    <t>74131EB9-BF3F-4FD9-AF3D-C2BB2734D58B</t>
  </si>
  <si>
    <t>https://swbiodiversity.org/seinet/collections/individual/index.php?occid=34693420</t>
  </si>
  <si>
    <t>SYST-MOR-0006940</t>
  </si>
  <si>
    <t>SYST-MOR-0006940_S224_1.fq.gz</t>
  </si>
  <si>
    <t>SYST-MOR-0006940_S224_2.fq.gz</t>
  </si>
  <si>
    <t>QUE003704</t>
  </si>
  <si>
    <t>WI_THB_219_MG</t>
  </si>
  <si>
    <t>Hillside forest, sandy soil</t>
  </si>
  <si>
    <t>Ulmus sp., Quercus alba, Poison ivy, ferns, Tiarella trifoliata, Smilax sp., Virginia creeper, Cornus rugosa</t>
  </si>
  <si>
    <t>809 ft</t>
  </si>
  <si>
    <t>MOR&lt;USA-IL&gt;: Samuels, WI_THB_219_MG</t>
  </si>
  <si>
    <t>0111070MOR</t>
  </si>
  <si>
    <t>DAE9CF53-60E8-4B7D-9C8A-D1258E00FA5A</t>
  </si>
  <si>
    <t>https://swbiodiversity.org/seinet/collections/individual/index.php?occid=34693160</t>
  </si>
  <si>
    <t>SYST-MOR-0006941</t>
  </si>
  <si>
    <t>SYST-MOR-0006941_S225_1.fq.gz</t>
  </si>
  <si>
    <t>SYST-MOR-0006941_S225_2.fq.gz</t>
  </si>
  <si>
    <t>QUE003705</t>
  </si>
  <si>
    <t>WI_THB_220_MG</t>
  </si>
  <si>
    <t>Along a ridge, sandy soil, forested area</t>
  </si>
  <si>
    <t>Celtis occidentalis, Honey locust, Quercus sect. Lobatae, Fraxinus sp., Honeysuckle, Smilax sp., Alliaria petiolata, Virginia creeper, Quercus macrocarpa</t>
  </si>
  <si>
    <t>MOR&lt;USA-IL&gt;: Samuels, WI_THB_220_MG</t>
  </si>
  <si>
    <t>0111368MOR</t>
  </si>
  <si>
    <t>946E57E0-0AC6-49DE-BFA1-1167E5889079</t>
  </si>
  <si>
    <t>https://swbiodiversity.org/seinet/collections/individual/index.php?occid=34693527</t>
  </si>
  <si>
    <t>SYST-MOR-0006942</t>
  </si>
  <si>
    <t>SYST-MOR-0006942_S226_1.fq.gz</t>
  </si>
  <si>
    <t>SYST-MOR-0006942_S226_2.fq.gz</t>
  </si>
  <si>
    <t>QUE003706</t>
  </si>
  <si>
    <t>MN_PMN_221_MG</t>
  </si>
  <si>
    <t>Winona</t>
  </si>
  <si>
    <t>Prairie Moon Nursery</t>
  </si>
  <si>
    <t>Bluff, edge of prairie and forest, wooded riparian</t>
  </si>
  <si>
    <t>Quercus macrocarpa, Quercus palustris, Ulmus sp., Rubus sp., Amphicarpaea bracteata, Virginia creeper, Ranunculus abortivus, Ribes sp.</t>
  </si>
  <si>
    <t>1295 ft</t>
  </si>
  <si>
    <t>MOR&lt;USA-IL&gt;: Samuels, MN_PMN_221_MG</t>
  </si>
  <si>
    <t>0111373MOR</t>
  </si>
  <si>
    <t>4805683E-4E2B-4B84-925C-C1BD9E20D19C</t>
  </si>
  <si>
    <t>https://swbiodiversity.org/seinet/collections/individual/index.php?occid=34693330</t>
  </si>
  <si>
    <t>SYST-MOR-0006943</t>
  </si>
  <si>
    <t>SYST-MOR-0006943_S227_1.fq.gz</t>
  </si>
  <si>
    <t>SYST-MOR-0006943_S227_2.fq.gz</t>
  </si>
  <si>
    <t>QUE003707</t>
  </si>
  <si>
    <t>MN_PMN_222_MG</t>
  </si>
  <si>
    <t>Riparian woodland edge, near prairie</t>
  </si>
  <si>
    <t>Carya ovata, Quercus sect. Lobatae, Carya sp., Celtis occidentalis, Ribes sp., Rubus sp., Rosaceae, Sanicula sp.</t>
  </si>
  <si>
    <t>1217 ft</t>
  </si>
  <si>
    <t>MOR&lt;USA-IL&gt;: Samuels, MN_PMN_222_MG</t>
  </si>
  <si>
    <t>0111372MOR</t>
  </si>
  <si>
    <t>64C312CC-EC1A-4DB3-88CC-1D82A971BAD8</t>
  </si>
  <si>
    <t>https://swbiodiversity.org/seinet/collections/individual/index.php?occid=34693409</t>
  </si>
  <si>
    <t>SYST-MOR-0006944</t>
  </si>
  <si>
    <t>SYST-MOR-0006944_S228_1.fq.gz</t>
  </si>
  <si>
    <t>SYST-MOR-0006944_S228_2.fq.gz</t>
  </si>
  <si>
    <t>QUE003708</t>
  </si>
  <si>
    <t>MN_PMN_223_MG</t>
  </si>
  <si>
    <t>Edge of prairie in riparian woodlands</t>
  </si>
  <si>
    <t>Quercus alba, Quercus macrocarpa, Carya ovata, Ribes sp., Circaea canadensis, Osmorhiza claytonii, Asteraceae, Viburnum, Sanicula sp.</t>
  </si>
  <si>
    <t>1212 ft</t>
  </si>
  <si>
    <t>MOR&lt;USA-IL&gt;: Samuels, MN_PMN_223_MG</t>
  </si>
  <si>
    <t>0111370MOR</t>
  </si>
  <si>
    <t>06407E0E-91E2-41D4-BA04-C8B3C4368AE4</t>
  </si>
  <si>
    <t>https://swbiodiversity.org/seinet/collections/individual/index.php?occid=34693145</t>
  </si>
  <si>
    <t>SYST-MOR-0006945</t>
  </si>
  <si>
    <t>SYST-MOR-0006945_S229_1.fq.gz</t>
  </si>
  <si>
    <t>SYST-MOR-0006945_S229_2.fq.gz</t>
  </si>
  <si>
    <t>QUE003709</t>
  </si>
  <si>
    <t>MN_PMN_224_MG</t>
  </si>
  <si>
    <t>Edge of riparian woodland and prairie</t>
  </si>
  <si>
    <t>Quercus macrocarpa, Quercus alba, Tilia, Ribes sp., Circaea canadensis, Osmorhiza claytonii, Asteraceae, Viburnum, Sanicula sp. Ferns, American hog peanut</t>
  </si>
  <si>
    <t>1207 ft</t>
  </si>
  <si>
    <t>MOR&lt;USA-IL&gt;: Samuels, MN_PMN_224_MG</t>
  </si>
  <si>
    <t>0111076MOR</t>
  </si>
  <si>
    <t>EEF4BDE5-5056-48DC-9B60-19446ED6560B</t>
  </si>
  <si>
    <t>https://swbiodiversity.org/seinet/collections/individual/index.php?occid=34693753</t>
  </si>
  <si>
    <t>SYST-MOR-0006946</t>
  </si>
  <si>
    <t>SYST-MOR-0006946_S230_1.fq.gz</t>
  </si>
  <si>
    <t>SYST-MOR-0006946_S230_2.fq.gz</t>
  </si>
  <si>
    <t>QUE003710</t>
  </si>
  <si>
    <t>MN_PMN_225_MG</t>
  </si>
  <si>
    <t>Ulmus sp., Carya ovata, Ribes sp., poison Ivy, Aralia nudicaulis</t>
  </si>
  <si>
    <t>1221 ft</t>
  </si>
  <si>
    <t>MOR&lt;USA-IL&gt;: Samuels, MN_PMN_225_MG</t>
  </si>
  <si>
    <t>0111371MOR</t>
  </si>
  <si>
    <t>F404FBC8-562B-4914-B5CE-31C1206A0C69</t>
  </si>
  <si>
    <t>https://swbiodiversity.org/seinet/collections/individual/index.php?occid=34693737</t>
  </si>
  <si>
    <t>SYST-MOR-0006947</t>
  </si>
  <si>
    <t>SYST-MOR-0006947_S231_1.fq.gz</t>
  </si>
  <si>
    <t>SYST-MOR-0006947_S231_2.fq.gz</t>
  </si>
  <si>
    <t>QUE003711</t>
  </si>
  <si>
    <t>MN_PMN_226_MG</t>
  </si>
  <si>
    <t>Solidago sp., Lonicera sp., Virginia creeper, Pastinaca sativa</t>
  </si>
  <si>
    <t>994 ft</t>
  </si>
  <si>
    <t>MOR&lt;USA-IL&gt;: Samuels, MN_PMN_226_MG</t>
  </si>
  <si>
    <t>0111369MOR</t>
  </si>
  <si>
    <t>EEFD1B5E-7057-4E8C-BDDE-DC37FFE09B17</t>
  </si>
  <si>
    <t>https://swbiodiversity.org/seinet/collections/individual/index.php?occid=34693767</t>
  </si>
  <si>
    <t>SYST-MOR-0006948</t>
  </si>
  <si>
    <t>SYST-MOR-0006948_S1_1.fq.gz</t>
  </si>
  <si>
    <t>SYST-MOR-0006948_S1_2.fq.gz</t>
  </si>
  <si>
    <t>QUE003712</t>
  </si>
  <si>
    <t>MN_PMN_227_MG</t>
  </si>
  <si>
    <t>Edge of forest and riparian meadow - separated by road</t>
  </si>
  <si>
    <t>Ulmus sp., Quercus macrocarpa, Quercus alba, Quercus sect. Lobatae, Poison ivy, fern, Rhamnus cathartics, virotismos creeper, Carex sp., American hog peanut, Arisaeum trifollium</t>
  </si>
  <si>
    <t>1032 ft</t>
  </si>
  <si>
    <t>MOR&lt;USA-IL&gt;: Samuels, MN_PMN_227_MG</t>
  </si>
  <si>
    <t>0111077MOR</t>
  </si>
  <si>
    <t>0907A8B4-6A1C-4334-BE24-256E6C792F61</t>
  </si>
  <si>
    <t>https://swbiodiversity.org/seinet/collections/individual/index.php?occid=34693159</t>
  </si>
  <si>
    <t>SYST-MOR-0006949</t>
  </si>
  <si>
    <t>SYST-MOR-0006949_S2_1.fq.gz</t>
  </si>
  <si>
    <t>SYST-MOR-0006949_S2_2.fq.gz</t>
  </si>
  <si>
    <t>QUE003713</t>
  </si>
  <si>
    <t>MN_PMN_228_MG</t>
  </si>
  <si>
    <t>Hillside forest</t>
  </si>
  <si>
    <t>Quercus macrocarpa, Ulmus sp., Quercus alba, Ferns (Anthyrium sp.), American hog peanut</t>
  </si>
  <si>
    <t>MOR&lt;USA-IL&gt;: Samuels, MN_PMN_228_MG</t>
  </si>
  <si>
    <t>0111078MOR</t>
  </si>
  <si>
    <t>83D5FBEF-C6B3-48BF-8BF9-9EBAFCAE3644</t>
  </si>
  <si>
    <t>https://swbiodiversity.org/seinet/collections/individual/index.php?occid=34693496</t>
  </si>
  <si>
    <t>SYST-MOR-0006950</t>
  </si>
  <si>
    <t>SYST-MOR-0006950_S3_1.fq.gz</t>
  </si>
  <si>
    <t>SYST-MOR-0006950_S3_2.fq.gz</t>
  </si>
  <si>
    <t>QUE003714</t>
  </si>
  <si>
    <t>WI_PKL_229_MG</t>
  </si>
  <si>
    <t>Bayfield</t>
  </si>
  <si>
    <t>Pickerel Lake</t>
  </si>
  <si>
    <t>Lake forest, fairly dry, low underbrush, lots of small stems. Upland sand barrens</t>
  </si>
  <si>
    <t>Red Maple, White oak, Fern, bur oak, starflower, milkweed,</t>
  </si>
  <si>
    <t>1182 ft</t>
  </si>
  <si>
    <t>MOR&lt;USA-IL&gt;: Samuels, WI_PKL_229_MG</t>
  </si>
  <si>
    <t>0110989MOR</t>
  </si>
  <si>
    <t>71789E83-FDB8-4290-8B4A-BA0122C2434D</t>
  </si>
  <si>
    <t>https://swbiodiversity.org/seinet/collections/individual/index.php?occid=34693436</t>
  </si>
  <si>
    <t>SYST-MOR-0006951</t>
  </si>
  <si>
    <t>SYST-MOR-0006951_S4_1.fq.gz</t>
  </si>
  <si>
    <t>SYST-MOR-0006951_S4_2.fq.gz</t>
  </si>
  <si>
    <t>QUE003715</t>
  </si>
  <si>
    <t>WI_PKL_230_MG</t>
  </si>
  <si>
    <t>Quercus sect. Lobatae, Quercus macrocarpa, Fern, red maple, Poaceae</t>
  </si>
  <si>
    <t>1244 ft</t>
  </si>
  <si>
    <t>MOR&lt;USA-IL&gt;: Samuels, WI_PKL_230_MG</t>
  </si>
  <si>
    <t>0111363MOR</t>
  </si>
  <si>
    <t>C8E170F1-67CE-464C-85E3-F3E746CF783A</t>
  </si>
  <si>
    <t>https://swbiodiversity.org/seinet/collections/individual/index.php?occid=34693679</t>
  </si>
  <si>
    <t>SYST-MOR-0006952</t>
  </si>
  <si>
    <t>SYST-MOR-0006952_S5_1.fq.gz</t>
  </si>
  <si>
    <t>SYST-MOR-0006952_S5_2.fq.gz</t>
  </si>
  <si>
    <t>QUE003716</t>
  </si>
  <si>
    <t>WI_PKL_231_MG</t>
  </si>
  <si>
    <t>Aspen, Quercus sect. Lobatae, fern, red maple, Ulmus sp., Sessile bellwort</t>
  </si>
  <si>
    <t>1231 ft</t>
  </si>
  <si>
    <t>MOR&lt;USA-IL&gt;: Samuels, WI_PKL_231_MG</t>
  </si>
  <si>
    <t>0111071MOR</t>
  </si>
  <si>
    <t>A4D024CE-23C4-4E25-B8E3-D9CD96C98934</t>
  </si>
  <si>
    <t>https://swbiodiversity.org/seinet/collections/individual/index.php?occid=34693653</t>
  </si>
  <si>
    <t>SYST-MOR-0006953</t>
  </si>
  <si>
    <t>SYST-MOR-0006953_S6_1.fq.gz</t>
  </si>
  <si>
    <t>SYST-MOR-0006953_S6_2.fq.gz</t>
  </si>
  <si>
    <t>QUE003717</t>
  </si>
  <si>
    <t>WI_PKL_232_MG</t>
  </si>
  <si>
    <t>Quercus macrocarpa, Red oak group, Red maple, Wood aster, American hazelenut</t>
  </si>
  <si>
    <t>1200 ft</t>
  </si>
  <si>
    <t>MOR&lt;USA-IL&gt;: Samuels, WI_PKL_232_MG</t>
  </si>
  <si>
    <t>0111364MOR</t>
  </si>
  <si>
    <t>D5F90652-30D7-470F-9250-86E17082311C</t>
  </si>
  <si>
    <t>https://swbiodiversity.org/seinet/collections/individual/index.php?occid=34693717</t>
  </si>
  <si>
    <t>SYST-MOR-0006954</t>
  </si>
  <si>
    <t>SYST-MOR-0006954_S7_1.fq.gz</t>
  </si>
  <si>
    <t>SYST-MOR-0006954_S7_2.fq.gz</t>
  </si>
  <si>
    <t>QUE003718</t>
  </si>
  <si>
    <t>WI_PKL_233_MG</t>
  </si>
  <si>
    <t>Quercus sect. Lobatae, Red maple, fern, Ulmus sp., Poaceae, American hazlenut</t>
  </si>
  <si>
    <t>1203 ft</t>
  </si>
  <si>
    <t>MOR&lt;USA-IL&gt;: Samuels, WI_PKL_233_MG</t>
  </si>
  <si>
    <t>0111367MOR</t>
  </si>
  <si>
    <t>EF9F5714-1C1F-4F4E-8346-7BF1D4A161DC</t>
  </si>
  <si>
    <t>https://swbiodiversity.org/seinet/collections/individual/index.php?occid=34693768</t>
  </si>
  <si>
    <t>SYST-MOR-0006955</t>
  </si>
  <si>
    <t>SYST-MOR-0006955_S8_1.fq.gz</t>
  </si>
  <si>
    <t>SYST-MOR-0006955_S8_2.fq.gz</t>
  </si>
  <si>
    <t>QUE003719</t>
  </si>
  <si>
    <t>WI_PKL_234_MG</t>
  </si>
  <si>
    <t>spruce, red maple, Ulmus sp., ferns, Poaceae, wood anemone</t>
  </si>
  <si>
    <t>MOR&lt;USA-IL&gt;: Samuels, WI_PKL_234_MG</t>
  </si>
  <si>
    <t>0108147MOR</t>
  </si>
  <si>
    <t>094C7260-0FDD-4C1D-9F15-76D04446F345</t>
  </si>
  <si>
    <t>https://swbiodiversity.org/seinet/collections/individual/index.php?occid=34578101</t>
  </si>
  <si>
    <t>SRR31778379</t>
  </si>
  <si>
    <t>SYST-MOR-0006956</t>
  </si>
  <si>
    <t>SYST-MOR-0006956_S9_1.fq.gz</t>
  </si>
  <si>
    <t>SYST-MOR-0006956_S9_2.fq.gz</t>
  </si>
  <si>
    <t>SAMN45895340</t>
  </si>
  <si>
    <t>QUE003720</t>
  </si>
  <si>
    <t>WI_PKL_235_MG</t>
  </si>
  <si>
    <t>Spruce, Red maple, Quercus macrocarpa, ferns, starflower, Poaceae, Ulmus sp.</t>
  </si>
  <si>
    <t>1230 ft</t>
  </si>
  <si>
    <t>MOR&lt;USA-IL&gt;: Samuels, WI_PKL_235_MG</t>
  </si>
  <si>
    <t>0111361MOR</t>
  </si>
  <si>
    <t>F91391AB-55C3-42B0-88D3-51F436AB8829</t>
  </si>
  <si>
    <t>https://swbiodiversity.org/seinet/collections/individual/index.php?occid=34693756</t>
  </si>
  <si>
    <t>SYST-MOR-0006957</t>
  </si>
  <si>
    <t>SYST-MOR-0006957_S10_1.fq.gz</t>
  </si>
  <si>
    <t>SYST-MOR-0006957_S10_2.fq.gz</t>
  </si>
  <si>
    <t>QUE003721</t>
  </si>
  <si>
    <t>WI_PKL_236_MG</t>
  </si>
  <si>
    <t>Lake forest, fairly dry, practically no foliage , lots of small stems. Upland sand barrens</t>
  </si>
  <si>
    <t>Pinus sp., Quercus sect. Lobatae, Quercus macrocarpa, Wood anemone</t>
  </si>
  <si>
    <t>1204 ft</t>
  </si>
  <si>
    <t>MOR&lt;USA-IL&gt;: Samuels, WI_PKL_236_MG</t>
  </si>
  <si>
    <t>0111365MOR</t>
  </si>
  <si>
    <t>C3CE1D44-999C-4211-B805-92FE9583B643</t>
  </si>
  <si>
    <t>https://swbiodiversity.org/seinet/collections/individual/index.php?occid=34693664</t>
  </si>
  <si>
    <t>SYST-MOR-0006958</t>
  </si>
  <si>
    <t>SYST-MOR-0006958_S11_1.fq.gz</t>
  </si>
  <si>
    <t>SYST-MOR-0006958_S11_2.fq.gz</t>
  </si>
  <si>
    <t>QUE003722</t>
  </si>
  <si>
    <t>WI_PKL_237_MG</t>
  </si>
  <si>
    <t>aspen, Ulmus sp., fern, Poaceae, wild sarsaparilla, early meadow rue</t>
  </si>
  <si>
    <t>1183 ft</t>
  </si>
  <si>
    <t>MOR&lt;USA-IL&gt;: Samuels, WI_PKL_237_MG</t>
  </si>
  <si>
    <t>0111366MOR</t>
  </si>
  <si>
    <t>373DBD6C-96DA-4789-A592-9E4AF5FE59BD</t>
  </si>
  <si>
    <t>https://swbiodiversity.org/seinet/collections/individual/index.php?occid=34693259</t>
  </si>
  <si>
    <t>SYST-MOR-0006959</t>
  </si>
  <si>
    <t>SYST-MOR-0006959_S12_1.fq.gz</t>
  </si>
  <si>
    <t>SYST-MOR-0006959_S12_2.fq.gz</t>
  </si>
  <si>
    <t>QUE003723</t>
  </si>
  <si>
    <t>WI_WFS_238_MG</t>
  </si>
  <si>
    <t>Waukesha</t>
  </si>
  <si>
    <t>UW Waukesha Field Station</t>
  </si>
  <si>
    <t>Prairie</t>
  </si>
  <si>
    <t>Heliopsis helianthoides, Erigeron sp., Solidago sp., Wild bergamot, queens Anne's lace, blazing star</t>
  </si>
  <si>
    <t>910 ft</t>
  </si>
  <si>
    <t>MOR&lt;USA-IL&gt;: Samuels, WI_WFS_238_MG</t>
  </si>
  <si>
    <t>0111360MOR</t>
  </si>
  <si>
    <t>4431345B-08F5-42E1-8217-CDF4B27EE68E</t>
  </si>
  <si>
    <t>https://swbiodiversity.org/seinet/collections/individual/index.php?occid=34693325</t>
  </si>
  <si>
    <t>SYST-MOR-0006960</t>
  </si>
  <si>
    <t>SYST-MOR-0006960_S13_1.fq.gz</t>
  </si>
  <si>
    <t>SYST-MOR-0006960_S13_2.fq.gz</t>
  </si>
  <si>
    <t>QUE003724</t>
  </si>
  <si>
    <t>WI_WFS_239_MG</t>
  </si>
  <si>
    <t>Sandy soil, forest, minimal foliage</t>
  </si>
  <si>
    <t>Quercus macrocarpa, Pinus sp., Buckthorn, red maple, Virginia creeper</t>
  </si>
  <si>
    <t>896 ft</t>
  </si>
  <si>
    <t>MOR&lt;USA-IL&gt;: Samuels, WI_WFS_239_MG</t>
  </si>
  <si>
    <t>0111359MOR</t>
  </si>
  <si>
    <t>7A15B3B8-D98E-43E8-B8DB-858B65CB835F</t>
  </si>
  <si>
    <t>https://swbiodiversity.org/seinet/collections/individual/index.php?occid=34693488</t>
  </si>
  <si>
    <t>SYST-MOR-0006961</t>
  </si>
  <si>
    <t>SYST-MOR-0006961_S14_1.fq.gz</t>
  </si>
  <si>
    <t>SYST-MOR-0006961_S14_2.fq.gz</t>
  </si>
  <si>
    <t>QUE003725</t>
  </si>
  <si>
    <t>WI_WFS_240_MG</t>
  </si>
  <si>
    <t>Goldenrod, blazing star, milkweed, false sunflower, bottlebrush grass, common lambsquarters, white campion</t>
  </si>
  <si>
    <t>894 ft</t>
  </si>
  <si>
    <t>MOR&lt;USA-IL&gt;: Samuels, WI_WFS_240_MG</t>
  </si>
  <si>
    <t>0111356MOR</t>
  </si>
  <si>
    <t>3D3C3F34-6473-455A-809E-14B4A342E6A6</t>
  </si>
  <si>
    <t>https://swbiodiversity.org/seinet/collections/individual/index.php?occid=34693320</t>
  </si>
  <si>
    <t>SYST-MOR-0006962</t>
  </si>
  <si>
    <t>SYST-MOR-0006962_S15_1.fq.gz</t>
  </si>
  <si>
    <t>SYST-MOR-0006962_S15_2.fq.gz</t>
  </si>
  <si>
    <t>QUE003726</t>
  </si>
  <si>
    <t>WI_WFS_241_MG</t>
  </si>
  <si>
    <t>Quercus macrocarpa, Pale Indian plantain, side oats, smooth brome, buckthorn, false sunflower, flowering spurge, bluejacket, prairie clover</t>
  </si>
  <si>
    <t>913 ft</t>
  </si>
  <si>
    <t>MOR&lt;USA-IL&gt;: Samuels, WI_WFS_241_MG</t>
  </si>
  <si>
    <t>0111358MOR</t>
  </si>
  <si>
    <t>96179142-750C-4E65-B3D5-45A6CB976AEB</t>
  </si>
  <si>
    <t>https://swbiodiversity.org/seinet/collections/individual/index.php?occid=34693512</t>
  </si>
  <si>
    <t>SYST-MOR-0006963</t>
  </si>
  <si>
    <t>SYST-MOR-0006963_S16_1.fq.gz</t>
  </si>
  <si>
    <t>SYST-MOR-0006963_S16_2.fq.gz</t>
  </si>
  <si>
    <t>QUE003727</t>
  </si>
  <si>
    <t>WI_WFS_242_MG</t>
  </si>
  <si>
    <t>Bromus sp.</t>
  </si>
  <si>
    <t>900 ft</t>
  </si>
  <si>
    <t>MOR&lt;USA-IL&gt;: Samuels, WI_WFS_242_MG</t>
  </si>
  <si>
    <t>0111072MOR</t>
  </si>
  <si>
    <t>3F3A4632-46B5-40CD-A409-C53D1DC108C2</t>
  </si>
  <si>
    <t>https://swbiodiversity.org/seinet/collections/individual/index.php?occid=34693284</t>
  </si>
  <si>
    <t>SYST-MOR-0006964</t>
  </si>
  <si>
    <t>SYST-MOR-0006964_S17_1.fq.gz</t>
  </si>
  <si>
    <t>SYST-MOR-0006964_S17_2.fq.gz</t>
  </si>
  <si>
    <t>QUE003728</t>
  </si>
  <si>
    <t>WI_WFS_243_MG</t>
  </si>
  <si>
    <t>Bromus sp., milkweed</t>
  </si>
  <si>
    <t>924 ft</t>
  </si>
  <si>
    <t>MOR&lt;USA-IL&gt;: Samuels, WI_WFS_243_MG</t>
  </si>
  <si>
    <t>0111065MOR</t>
  </si>
  <si>
    <t>573E5E68-5238-42EB-AC82-0B084B8AA27E</t>
  </si>
  <si>
    <t>https://swbiodiversity.org/seinet/collections/individual/index.php?occid=34693344</t>
  </si>
  <si>
    <t>SYST-MOR-0006965</t>
  </si>
  <si>
    <t>SYST-MOR-0006965_S18_1.fq.gz</t>
  </si>
  <si>
    <t>SYST-MOR-0006965_S18_2.fq.gz</t>
  </si>
  <si>
    <t>QUE003729</t>
  </si>
  <si>
    <t>WI_WFS_244_MG</t>
  </si>
  <si>
    <t>Forest by a creek</t>
  </si>
  <si>
    <t>Red oak group, cherry, Virginia creeper, star flower, fragrant sumac</t>
  </si>
  <si>
    <t>893 ft</t>
  </si>
  <si>
    <t>MOR&lt;USA-IL&gt;: Samuels, WI_WFS_244_MG</t>
  </si>
  <si>
    <t>0111064MOR</t>
  </si>
  <si>
    <t>0F383456-FE10-42DC-8591-CA5C1041E023</t>
  </si>
  <si>
    <t>https://swbiodiversity.org/seinet/collections/individual/index.php?occid=34693191</t>
  </si>
  <si>
    <t>SYST-MOR-0006966</t>
  </si>
  <si>
    <t>SYST-MOR-0006966_S19_1.fq.gz</t>
  </si>
  <si>
    <t>SYST-MOR-0006966_S19_2.fq.gz</t>
  </si>
  <si>
    <t>QUE003730</t>
  </si>
  <si>
    <t>WI_WFS_247_MG</t>
  </si>
  <si>
    <t>Hillside, forest - not very dense, plenty of foliage</t>
  </si>
  <si>
    <t>Black locust, Virginia creeper, Fraxinus sp., broadleaf enchanters nightshade, tickseed, currant, common hedge parsley, great stinging nettle</t>
  </si>
  <si>
    <t>906 ft</t>
  </si>
  <si>
    <t>MOR&lt;USA-IL&gt;: Samuels, WI_WFS_247_MG</t>
  </si>
  <si>
    <t>0110990MOR</t>
  </si>
  <si>
    <t>DCEAB462-4E4B-4DB0-B32C-2BCCFE02F558</t>
  </si>
  <si>
    <t>https://swbiodiversity.org/seinet/collections/individual/index.php?occid=34693170</t>
  </si>
  <si>
    <t>SYST-MOR-0006967</t>
  </si>
  <si>
    <t>SYST-MOR-0006967_S20_1.fq.gz</t>
  </si>
  <si>
    <t>SYST-MOR-0006967_S20_2.fq.gz</t>
  </si>
  <si>
    <t>QUE003731</t>
  </si>
  <si>
    <t>WI_WFS_248_MG</t>
  </si>
  <si>
    <t>Forest, edge of river, loose soils</t>
  </si>
  <si>
    <t>mulberry, cherry, Virginia creeper, Ribes sp., common buckthorn</t>
  </si>
  <si>
    <t>903 ft</t>
  </si>
  <si>
    <t>MOR&lt;USA-IL&gt;: Samuels, WI_WFS_248_MG</t>
  </si>
  <si>
    <t>0111357MOR</t>
  </si>
  <si>
    <t>59C5EC2D-8160-48A0-8B25-6D4F512712AF</t>
  </si>
  <si>
    <t>https://swbiodiversity.org/seinet/collections/individual/index.php?occid=34693401</t>
  </si>
  <si>
    <t>SYST-MOR-0006968</t>
  </si>
  <si>
    <t>SYST-MOR-0006968_S21_1.fq.gz</t>
  </si>
  <si>
    <t>SYST-MOR-0006968_S21_2.fq.gz</t>
  </si>
  <si>
    <t>QUE003732</t>
  </si>
  <si>
    <t>WI_WFS_249_MG</t>
  </si>
  <si>
    <t>Hillside forest, minimal foliage, near river</t>
  </si>
  <si>
    <t>cherry, quaking aspen, Virginia creeper, common buckthorn, garlic mustard, tickseed</t>
  </si>
  <si>
    <t>898 ft</t>
  </si>
  <si>
    <t>MOR&lt;USA-IL&gt;: Samuels, WI_WFS_249_MG</t>
  </si>
  <si>
    <t>0111066MOR</t>
  </si>
  <si>
    <t>74E2A201-EE85-447F-A1AE-1350974C5F79</t>
  </si>
  <si>
    <t>https://swbiodiversity.org/seinet/collections/individual/index.php?occid=34693439</t>
  </si>
  <si>
    <t>SYST-MOR-0006969</t>
  </si>
  <si>
    <t>SYST-MOR-0006969_S22_1.fq.gz</t>
  </si>
  <si>
    <t>SYST-MOR-0006969_S22_2.fq.gz</t>
  </si>
  <si>
    <t>QUE003733</t>
  </si>
  <si>
    <t>OH_GLW_250_MG</t>
  </si>
  <si>
    <t>Fulton</t>
  </si>
  <si>
    <t>Goll Woods</t>
  </si>
  <si>
    <t>Dense wood along a River floodplain</t>
  </si>
  <si>
    <t>Acer sp., basswood, Virginia creeper, false nettle, poison ivy, Asteraceae, Poaceae, bristly buttercup</t>
  </si>
  <si>
    <t>721 ft</t>
  </si>
  <si>
    <t>MOR&lt;USA-IL&gt;: Samuels, OH_GLW_250_MG</t>
  </si>
  <si>
    <t>0111094MOR</t>
  </si>
  <si>
    <t>060FBE9A-E44E-4249-AEB5-F9A480D405C8</t>
  </si>
  <si>
    <t>https://swbiodiversity.org/seinet/collections/individual/index.php?occid=34693150</t>
  </si>
  <si>
    <t>SYST-MOR-0006970</t>
  </si>
  <si>
    <t>SYST-MOR-0006970_S23_1.fq.gz</t>
  </si>
  <si>
    <t>SYST-MOR-0006970_S23_2.fq.gz</t>
  </si>
  <si>
    <t>QUE003734</t>
  </si>
  <si>
    <t>OH_GLW_251_MG</t>
  </si>
  <si>
    <t>Dense forest in river floodplains - wetlands</t>
  </si>
  <si>
    <t>Ulmus sp., Carya ovata, Quercus rubra, Carya sp., False nettle, Poaceae, Acer sp., American bladdernut</t>
  </si>
  <si>
    <t>755 ft</t>
  </si>
  <si>
    <t>MOR&lt;USA-IL&gt;: Samuels, OH_GLW_251_MG</t>
  </si>
  <si>
    <t>0111093MOR</t>
  </si>
  <si>
    <t>41099E33-321A-4C6B-993B-1542DBB7CD51</t>
  </si>
  <si>
    <t>https://swbiodiversity.org/seinet/collections/individual/index.php?occid=34693324</t>
  </si>
  <si>
    <t>SYST-MOR-0006971</t>
  </si>
  <si>
    <t>SYST-MOR-0006971_S24_1.fq.gz</t>
  </si>
  <si>
    <t>SYST-MOR-0006971_S24_2.fq.gz</t>
  </si>
  <si>
    <t>QUE003735</t>
  </si>
  <si>
    <t>OH_GLW_252_MG</t>
  </si>
  <si>
    <t>Dense forest wetlands</t>
  </si>
  <si>
    <t>Carya sp., Basswoods, Poison ivy, Virginia creeper, Fraxinus sp., maple, Poaceae,</t>
  </si>
  <si>
    <t>732 ft</t>
  </si>
  <si>
    <t>MOR&lt;USA-IL&gt;: Samuels, OH_GLW_252_MG</t>
  </si>
  <si>
    <t>0111161MOR</t>
  </si>
  <si>
    <t>3AF5FC84-6872-46BC-9672-8DC5FA47E215</t>
  </si>
  <si>
    <t>https://swbiodiversity.org/seinet/collections/individual/index.php?occid=34693317</t>
  </si>
  <si>
    <t>SYST-MOR-0006972</t>
  </si>
  <si>
    <t>SYST-MOR-0006972_S25_1.fq.gz</t>
  </si>
  <si>
    <t>SYST-MOR-0006972_S25_2.fq.gz</t>
  </si>
  <si>
    <t>QUE003736</t>
  </si>
  <si>
    <t>OH_GLW_253_MG</t>
  </si>
  <si>
    <t>Dense forest - wetlands/ river foodplain</t>
  </si>
  <si>
    <t>Carya ovata, Ulmus sp., Maple, poison ivy, Virginia creeper, black snakeroot</t>
  </si>
  <si>
    <t>715 ft</t>
  </si>
  <si>
    <t>MOR&lt;USA-IL&gt;: Samuels, OH_GLW_253_MG</t>
  </si>
  <si>
    <t>0111416MOR</t>
  </si>
  <si>
    <t>62CFAE36-83D9-4061-9990-4D9A29241B83</t>
  </si>
  <si>
    <t>https://swbiodiversity.org/seinet/collections/individual/index.php?occid=34693352</t>
  </si>
  <si>
    <t>SYST-MOR-0006973</t>
  </si>
  <si>
    <t>SYST-MOR-0006973_S26_1.fq.gz</t>
  </si>
  <si>
    <t>SYST-MOR-0006973_S26_2.fq.gz</t>
  </si>
  <si>
    <t>QUE003737</t>
  </si>
  <si>
    <t>OH_GLW_254_MG</t>
  </si>
  <si>
    <t>Dense woodlands in river floodplain</t>
  </si>
  <si>
    <t>Acer sp., Honewort, Oregon ash, Virginia creeper, Rosaceae</t>
  </si>
  <si>
    <t>737 ft</t>
  </si>
  <si>
    <t>MOR&lt;USA-IL&gt;: Samuels, OH_GLW_254_MG</t>
  </si>
  <si>
    <t>0111162MOR</t>
  </si>
  <si>
    <t>876615D6-D481-4D12-B616-62C02C35921F</t>
  </si>
  <si>
    <t>https://swbiodiversity.org/seinet/collections/individual/index.php?occid=34693559</t>
  </si>
  <si>
    <t>SYST-MOR-0006974</t>
  </si>
  <si>
    <t>SYST-MOR-0006974_S27_1.fq.gz</t>
  </si>
  <si>
    <t>SYST-MOR-0006974_S27_2.fq.gz</t>
  </si>
  <si>
    <t>QUE003738</t>
  </si>
  <si>
    <t>OH_GLW_255_MG</t>
  </si>
  <si>
    <t>Dense woodlands - wetlands/ river floodplain</t>
  </si>
  <si>
    <t>basswood, beech, Carya sp., Wood nettle, poison ivy, Virginia creeper</t>
  </si>
  <si>
    <t>733 ft</t>
  </si>
  <si>
    <t>MOR&lt;USA-IL&gt;: Samuels, OH_GLW_255_MG</t>
  </si>
  <si>
    <t>0111414MOR</t>
  </si>
  <si>
    <t>6891E166-6336-44B0-9329-495A99004C9F</t>
  </si>
  <si>
    <t>https://swbiodiversity.org/seinet/collections/individual/index.php?occid=34693473</t>
  </si>
  <si>
    <t>SYST-MOR-0006975</t>
  </si>
  <si>
    <t>SYST-MOR-0006975_S28_1.fq.gz</t>
  </si>
  <si>
    <t>SYST-MOR-0006975_S28_2.fq.gz</t>
  </si>
  <si>
    <t>QUE003739</t>
  </si>
  <si>
    <t>OH_GLW_256_MG</t>
  </si>
  <si>
    <t>beech, Black ash, Ribes sp., poison ivy, Virginia creeper, wood nettle</t>
  </si>
  <si>
    <t>MOR&lt;USA-IL&gt;: Samuels, OH_GLW_256_MG</t>
  </si>
  <si>
    <t>0111055MOR</t>
  </si>
  <si>
    <t>93965D64-C176-4557-B62E-A53D4E06EFDA</t>
  </si>
  <si>
    <t>https://swbiodiversity.org/seinet/collections/individual/index.php?occid=34693570</t>
  </si>
  <si>
    <t>SYST-MOR-0006976</t>
  </si>
  <si>
    <t>SYST-MOR-0006976_S29_1.fq.gz</t>
  </si>
  <si>
    <t>SYST-MOR-0006976_S29_2.fq.gz</t>
  </si>
  <si>
    <t>QUE003740</t>
  </si>
  <si>
    <t>OH_GLW_257_MG</t>
  </si>
  <si>
    <t>Dense woodlands in river floodplain/ wetlands</t>
  </si>
  <si>
    <t>basswood, Carya ovata, Fraxinus sp., wood nettle, moonseed, Euonymus sp., Carex sp.</t>
  </si>
  <si>
    <t>MOR&lt;USA-IL&gt;: Samuels, OH_GLW_257_MG</t>
  </si>
  <si>
    <t>0111418MOR</t>
  </si>
  <si>
    <t>E8151537-91A7-4FF0-AEEC-31609449B0CF</t>
  </si>
  <si>
    <t>https://swbiodiversity.org/seinet/collections/individual/index.php?occid=34693763</t>
  </si>
  <si>
    <t>SYST-MOR-0006977</t>
  </si>
  <si>
    <t>SYST-MOR-0006977_S30_1.fq.gz</t>
  </si>
  <si>
    <t>SYST-MOR-0006977_S30_2.fq.gz</t>
  </si>
  <si>
    <t>QUE003741</t>
  </si>
  <si>
    <t>OH_GLW_258_MG</t>
  </si>
  <si>
    <t>Dense woodlands in river floodplains</t>
  </si>
  <si>
    <t>Quercus alba, Basswood, wood nettle, poison ivy, Virginia creeper, beech</t>
  </si>
  <si>
    <t>709 ft</t>
  </si>
  <si>
    <t>MOR&lt;USA-IL&gt;: Samuels, OH_GLW_258_MG</t>
  </si>
  <si>
    <t>0111056MOR</t>
  </si>
  <si>
    <t>81614D5C-ECD2-4864-AD57-608CDCFC92B8</t>
  </si>
  <si>
    <t>https://swbiodiversity.org/seinet/collections/individual/index.php?occid=34693430</t>
  </si>
  <si>
    <t>SYST-MOR-0006978</t>
  </si>
  <si>
    <t>SYST-MOR-0006978_S31_1.fq.gz</t>
  </si>
  <si>
    <t>SYST-MOR-0006978_S31_2.fq.gz</t>
  </si>
  <si>
    <t>QUE003742</t>
  </si>
  <si>
    <t>OH_GLW_259_MG</t>
  </si>
  <si>
    <t>Ulmus sp., Basswoods, Moonseed, ash, wood nettle, Poaceae, white avens</t>
  </si>
  <si>
    <t>751 ft</t>
  </si>
  <si>
    <t>MOR&lt;USA-IL&gt;: Samuels, OH_GLW_259_MG</t>
  </si>
  <si>
    <t>0111417MOR</t>
  </si>
  <si>
    <t>563818C5-877D-43E6-B2D0-97C7E61552BC</t>
  </si>
  <si>
    <t>https://swbiodiversity.org/seinet/collections/individual/index.php?occid=34693398</t>
  </si>
  <si>
    <t>SYST-MOR-0006979</t>
  </si>
  <si>
    <t>SYST-MOR-0006979_S32_1.fq.gz</t>
  </si>
  <si>
    <t>SYST-MOR-0006979_S32_2.fq.gz</t>
  </si>
  <si>
    <t>QUE003743</t>
  </si>
  <si>
    <t>OH_GLW_260_MG</t>
  </si>
  <si>
    <t>basswood, maple, Wood nettle, hornbeam, ash</t>
  </si>
  <si>
    <t>754 ft</t>
  </si>
  <si>
    <t>MOR&lt;USA-IL&gt;: Samuels, OH_GLW_260_MG</t>
  </si>
  <si>
    <t>0111415MOR</t>
  </si>
  <si>
    <t>54DBAD83-2CB8-4DF2-B842-050E1BD13F3A</t>
  </si>
  <si>
    <t>https://swbiodiversity.org/seinet/collections/individual/index.php?occid=34693363</t>
  </si>
  <si>
    <t>SYST-MOR-0006980</t>
  </si>
  <si>
    <t>SYST-MOR-0006980_S33_1.fq.gz</t>
  </si>
  <si>
    <t>SYST-MOR-0006980_S33_2.fq.gz</t>
  </si>
  <si>
    <t>QUE003744</t>
  </si>
  <si>
    <t>OH_GLW_261_MG</t>
  </si>
  <si>
    <t>Dense woodlands, river flood plain</t>
  </si>
  <si>
    <t>basswood, Quercus macrocarpa, Ulmus sp., Carya ovata, Acer sp., Ash, wood nettle, northern spicebush, water leaves, moonseed</t>
  </si>
  <si>
    <t>735 ft</t>
  </si>
  <si>
    <t>MOR&lt;USA-IL&gt;: Samuels, OH_GLW_261_MG</t>
  </si>
  <si>
    <t>0108148MOR</t>
  </si>
  <si>
    <t>60FC9D68-93CA-48FA-B8D3-3B62C0195B7A</t>
  </si>
  <si>
    <t>https://swbiodiversity.org/seinet/collections/individual/index.php?occid=34578111</t>
  </si>
  <si>
    <t>SRR31778378</t>
  </si>
  <si>
    <t>SYST-MOR-0006981</t>
  </si>
  <si>
    <t>SYST-MOR-0006981_S34_1.fq.gz</t>
  </si>
  <si>
    <t>SYST-MOR-0006981_S34_2.fq.gz</t>
  </si>
  <si>
    <t>SAMN45895341</t>
  </si>
  <si>
    <t>QUE003745</t>
  </si>
  <si>
    <t>OH_GLW_262_MG</t>
  </si>
  <si>
    <t>basswood, tuliptree, Acer sp., Poison ivy, hickory, Asteraceae, Virginia creeper, hawthorns, American hornbeam</t>
  </si>
  <si>
    <t>MOR&lt;USA-IL&gt;: Samuels, OH_GLW_262_MG</t>
  </si>
  <si>
    <t>0111062MOR</t>
  </si>
  <si>
    <t>E75794FC-396F-4077-9D55-A2C36FC36241</t>
  </si>
  <si>
    <t>https://swbiodiversity.org/seinet/collections/individual/index.php?occid=34693746</t>
  </si>
  <si>
    <t>SYST-MOR-0006982</t>
  </si>
  <si>
    <t>SYST-MOR-0006982_S35_1.fq.gz</t>
  </si>
  <si>
    <t>SYST-MOR-0006982_S35_2.fq.gz</t>
  </si>
  <si>
    <t>QUE003746</t>
  </si>
  <si>
    <t>OH_GLW_263_MG</t>
  </si>
  <si>
    <t>Ulmus sp., Ribes sp., paw paw, wood nettle, Virginia creeper, American hornbeam</t>
  </si>
  <si>
    <t>MOR&lt;USA-IL&gt;: Samuels, OH_GLW_263_MG</t>
  </si>
  <si>
    <t>0111163MOR</t>
  </si>
  <si>
    <t>9614D2CC-FFEB-4805-9840-C5D19CD13854</t>
  </si>
  <si>
    <t>https://swbiodiversity.org/seinet/collections/individual/index.php?occid=34693511</t>
  </si>
  <si>
    <t>SYST-MOR-0006983</t>
  </si>
  <si>
    <t>SYST-MOR-0006983_S36_1.fq.gz</t>
  </si>
  <si>
    <t>SYST-MOR-0006983_S36_2.fq.gz</t>
  </si>
  <si>
    <t>QUE003747</t>
  </si>
  <si>
    <t>OH_GLW_264_MG</t>
  </si>
  <si>
    <t>Dense woodlands in river flood plain</t>
  </si>
  <si>
    <t>beech, Pawpaw, poison ivy, ash, Asteraceae, Quercus alba, maple, wood nettle</t>
  </si>
  <si>
    <t>771 ft</t>
  </si>
  <si>
    <t>MOR&lt;USA-IL&gt;: Samuels, OH_GLW_264_MG</t>
  </si>
  <si>
    <t>0111063MOR</t>
  </si>
  <si>
    <t>F1CEB82E-714F-46B2-AC8A-D7D72C450E4F</t>
  </si>
  <si>
    <t>https://swbiodiversity.org/seinet/collections/individual/index.php?occid=34693754</t>
  </si>
  <si>
    <t>SYST-MOR-0006984</t>
  </si>
  <si>
    <t>SYST-MOR-0006984_S37_1.fq.gz</t>
  </si>
  <si>
    <t>SYST-MOR-0006984_S37_2.fq.gz</t>
  </si>
  <si>
    <t>QUE003748</t>
  </si>
  <si>
    <t>MI_PRA_265_MG</t>
  </si>
  <si>
    <t>Washtenaw</t>
  </si>
  <si>
    <t>Pinckney Recreation Area</t>
  </si>
  <si>
    <t>Dense woodlands, near lake, edge of sand prairie</t>
  </si>
  <si>
    <t>Acer sp., Hylodesmum glutinosum, Lespedeza sp., prickly ash., Poison ivy</t>
  </si>
  <si>
    <t>1052 ft</t>
  </si>
  <si>
    <t>MOR&lt;USA-IL&gt;: Samuels, MI_PRA_265_MG</t>
  </si>
  <si>
    <t>0111200MOR</t>
  </si>
  <si>
    <t>123BB71B-7DC3-49E3-9A46-3DDE0788D7B0</t>
  </si>
  <si>
    <t>https://swbiodiversity.org/seinet/collections/individual/index.php?occid=34693210</t>
  </si>
  <si>
    <t>SYST-MOR-0006985</t>
  </si>
  <si>
    <t>SYST-MOR-0006985_S38_1.fq.gz</t>
  </si>
  <si>
    <t>SYST-MOR-0006985_S38_2.fq.gz</t>
  </si>
  <si>
    <t>QUE003749</t>
  </si>
  <si>
    <t>MI_PRA_266_MG</t>
  </si>
  <si>
    <t>Dense wooded area, near lake edge of sand prairie</t>
  </si>
  <si>
    <t>red oak, Lespedeza sp., shining sumac, Acer sp., American witch hazel, Quercus prinoides</t>
  </si>
  <si>
    <t>967 ft</t>
  </si>
  <si>
    <t>MOR&lt;USA-IL&gt;: Samuels, MI_PRA_266_MG</t>
  </si>
  <si>
    <t>0111199MOR</t>
  </si>
  <si>
    <t>9EE666B2-730C-4407-843D-9498A281C886</t>
  </si>
  <si>
    <t>https://swbiodiversity.org/seinet/collections/individual/index.php?occid=34693608</t>
  </si>
  <si>
    <t>SYST-MOR-0006986</t>
  </si>
  <si>
    <t>SYST-MOR-0006986_S39_1.fq.gz</t>
  </si>
  <si>
    <t>SYST-MOR-0006986_S39_2.fq.gz</t>
  </si>
  <si>
    <t>QUE003750</t>
  </si>
  <si>
    <t>MI_PRA_267_MG</t>
  </si>
  <si>
    <t>Sandy soil, dense woodlands, near lakes</t>
  </si>
  <si>
    <t>red oaks, Lespedezasp., American witch hazel, New Jersey tea, Quercus prinoides</t>
  </si>
  <si>
    <t>956 ft</t>
  </si>
  <si>
    <t>MOR&lt;USA-IL&gt;: Samuels, MI_PRA_267_MG</t>
  </si>
  <si>
    <t>0111198MOR</t>
  </si>
  <si>
    <t>140A9B8A-D2BA-4442-A4D0-259D2885F3EF</t>
  </si>
  <si>
    <t>https://swbiodiversity.org/seinet/collections/individual/index.php?occid=34693198</t>
  </si>
  <si>
    <t>SYST-MOR-0006987</t>
  </si>
  <si>
    <t>SYST-MOR-0006987_S40_1.fq.gz</t>
  </si>
  <si>
    <t>SYST-MOR-0006987_S40_2.fq.gz</t>
  </si>
  <si>
    <t>QUE003751</t>
  </si>
  <si>
    <t>MI_PRA_268_MG</t>
  </si>
  <si>
    <t>Sand prairie, edge of woodlands</t>
  </si>
  <si>
    <t>Acer sp., red oaks, Sassafras, Quercus prinoides, Carya sp., Vitis aestivalis, brambles</t>
  </si>
  <si>
    <t>955 ft</t>
  </si>
  <si>
    <t>MOR&lt;USA-IL&gt;: Samuels, MI_PRA_268_MG</t>
  </si>
  <si>
    <t>0111201MOR</t>
  </si>
  <si>
    <t>8055B12C-0D6A-4FBD-B35C-1BBA56E9A0AC</t>
  </si>
  <si>
    <t>https://swbiodiversity.org/seinet/collections/individual/index.php?occid=34693493</t>
  </si>
  <si>
    <t>SYST-MOR-0006988</t>
  </si>
  <si>
    <t>SYST-MOR-0006988_S41_1.fq.gz</t>
  </si>
  <si>
    <t>SYST-MOR-0006988_S41_2.fq.gz</t>
  </si>
  <si>
    <t>QUE003752</t>
  </si>
  <si>
    <t>MI_PRA_269_MG</t>
  </si>
  <si>
    <t>Near sand prairie and in dense woodlands near lake</t>
  </si>
  <si>
    <t>Acer sp., red oaks, Quercus alba, ferns, woodland sunflower, black huckleberry, Virginia creeper, Hylodesmum glutinosum</t>
  </si>
  <si>
    <t>931 ft</t>
  </si>
  <si>
    <t>MOR&lt;USA-IL&gt;: Samuels, MI_PRA_269_MG</t>
  </si>
  <si>
    <t>0111075MOR</t>
  </si>
  <si>
    <t>E362ACB3-33B2-475E-889C-DA7A99A94A95</t>
  </si>
  <si>
    <t>https://swbiodiversity.org/seinet/collections/individual/index.php?occid=34693157</t>
  </si>
  <si>
    <t>SYST-MOR-0006989</t>
  </si>
  <si>
    <t>SYST-MOR-0006989_S42_1.fq.gz</t>
  </si>
  <si>
    <t>SYST-MOR-0006989_S42_2.fq.gz</t>
  </si>
  <si>
    <t>QUE003753</t>
  </si>
  <si>
    <t>MI_PRA_270_MG</t>
  </si>
  <si>
    <t>Woodlands near lake, close to sand prairie</t>
  </si>
  <si>
    <t>Acer sp., red oaks, Carya sp., Quercus alba, Quercus prinoides, Hylodesmun glutinosum, serviceberry</t>
  </si>
  <si>
    <t>948 ft</t>
  </si>
  <si>
    <t>MOR&lt;USA-IL&gt;: Samuels, MI_PRA_270_MG</t>
  </si>
  <si>
    <t>0111202MOR</t>
  </si>
  <si>
    <t>D962181C-05B5-476F-9F7A-A6207E816234</t>
  </si>
  <si>
    <t>https://swbiodiversity.org/seinet/collections/individual/index.php?occid=34693164</t>
  </si>
  <si>
    <t>SYST-MOR-0006990</t>
  </si>
  <si>
    <t>SYST-MOR-0006990_S43_1.fq.gz</t>
  </si>
  <si>
    <t>SYST-MOR-0006990_S43_2.fq.gz</t>
  </si>
  <si>
    <t>QUE003754</t>
  </si>
  <si>
    <t>MI_PRA_271_MG</t>
  </si>
  <si>
    <t>Dense woodlands near lake</t>
  </si>
  <si>
    <t>Carya sp., red oak, Hylodesmum glutinosum, Virginia creeper, Quercus alba, Ribes sp., Asteraceae</t>
  </si>
  <si>
    <t>962 ft</t>
  </si>
  <si>
    <t>MOR&lt;USA-IL&gt;: Samuels, MI_PRA_271_MG</t>
  </si>
  <si>
    <t>0111074MOR</t>
  </si>
  <si>
    <t>B6EAE564-7D6B-470C-9F5A-CA5F01FBD4FE</t>
  </si>
  <si>
    <t>https://swbiodiversity.org/seinet/collections/individual/index.php?occid=34693626</t>
  </si>
  <si>
    <t>SYST-MOR-0006991</t>
  </si>
  <si>
    <t>SYST-MOR-0006991_S44_1.fq.gz</t>
  </si>
  <si>
    <t>SYST-MOR-0006991_S44_2.fq.gz</t>
  </si>
  <si>
    <t>QUE003755</t>
  </si>
  <si>
    <t>MI_PRA_272_MG</t>
  </si>
  <si>
    <t>Woodlands on edge of lake</t>
  </si>
  <si>
    <t>Quercus alba, Carya sp., Hylodesmum glutinosum, dogwood, Asteraceae, poison ivy, Virginia creeper, Poaceae</t>
  </si>
  <si>
    <t>972 ft</t>
  </si>
  <si>
    <t>MOR&lt;USA-IL&gt;: Samuels, MI_PRA_272_MG</t>
  </si>
  <si>
    <t>0110992MOR</t>
  </si>
  <si>
    <t>F971C8DE-3D58-4D7E-9FE9-450477CFE4A8</t>
  </si>
  <si>
    <t>https://swbiodiversity.org/seinet/collections/individual/index.php?occid=34693757</t>
  </si>
  <si>
    <t>SYST-MOR-0006992</t>
  </si>
  <si>
    <t>SYST-MOR-0006992_S45_1.fq.gz</t>
  </si>
  <si>
    <t>SYST-MOR-0006992_S45_2.fq.gz</t>
  </si>
  <si>
    <t>QUE003756</t>
  </si>
  <si>
    <t>MI_PRA_273_MG</t>
  </si>
  <si>
    <t>Hillside, woodlands, close to lake</t>
  </si>
  <si>
    <t>Quercus alba, Lespedeza sp., fern, goldenrod, poison ivy, Antennaria sp., garlic mustard</t>
  </si>
  <si>
    <t>MOR&lt;USA-IL&gt;: Samuels, MI_PRA_273_MG</t>
  </si>
  <si>
    <t>0110991MOR</t>
  </si>
  <si>
    <t>B43DA7B1-C578-4130-A444-BE4B10218FAA</t>
  </si>
  <si>
    <t>https://swbiodiversity.org/seinet/collections/individual/index.php?occid=34693645</t>
  </si>
  <si>
    <t>SYST-MOR-0006993</t>
  </si>
  <si>
    <t>SYST-MOR-0006993_S46_1.fq.gz</t>
  </si>
  <si>
    <t>SYST-MOR-0006993_S46_2.fq.gz</t>
  </si>
  <si>
    <t>QUE003757</t>
  </si>
  <si>
    <t>MI_PRA_274_MG</t>
  </si>
  <si>
    <t>Dense forest, marshy</t>
  </si>
  <si>
    <t>Ulmus sp., Quercus bicolor, Wild carrot, hemp dogbane, poison ivy, cattails, Carex sp.</t>
  </si>
  <si>
    <t>892 ft</t>
  </si>
  <si>
    <t>MOR&lt;USA-IL&gt;: Samuels, MI_PRA_274_MG</t>
  </si>
  <si>
    <t>0111106MOR</t>
  </si>
  <si>
    <t>C7E81C9E-60E4-449F-988B-51DED746A7EF</t>
  </si>
  <si>
    <t>https://swbiodiversity.org/seinet/collections/individual/index.php?occid=34693711</t>
  </si>
  <si>
    <t>SYST-MOR-0006994</t>
  </si>
  <si>
    <t>SYST-MOR-0006994_S47_1.fq.gz</t>
  </si>
  <si>
    <t>SYST-MOR-0006994_S47_2.fq.gz</t>
  </si>
  <si>
    <t>QUE003758</t>
  </si>
  <si>
    <t>MI_PRA_275_MG</t>
  </si>
  <si>
    <t>Swampy/marshy dense forest</t>
  </si>
  <si>
    <t>Quercus bicolor, cottonwood, Poison ivy, Virginia creeper, Viola pesara, fleabane, white sweet clover</t>
  </si>
  <si>
    <t>MOR&lt;USA-IL&gt;: Samuels, MI_PRA_275_MG</t>
  </si>
  <si>
    <t>0111104MOR</t>
  </si>
  <si>
    <t>27637732-BEEE-47BC-A975-31596424373C</t>
  </si>
  <si>
    <t>https://swbiodiversity.org/seinet/collections/individual/index.php?occid=34693238</t>
  </si>
  <si>
    <t>SYST-MOR-0006995</t>
  </si>
  <si>
    <t>SYST-MOR-0006995_S48_1.fq.gz</t>
  </si>
  <si>
    <t>SYST-MOR-0006995_S48_2.fq.gz</t>
  </si>
  <si>
    <t>QUE003759</t>
  </si>
  <si>
    <t>MI_PRA_276_MG</t>
  </si>
  <si>
    <t>Marshy/swampy woodlands, near lake</t>
  </si>
  <si>
    <t>Acer sp., Querucs bicolor, Poison ivy, horsetail, Asteraceae, Carex sp., Dioscorea villosa, Oxalis stricta</t>
  </si>
  <si>
    <t>MOR&lt;USA-IL&gt;: Samuels, MI_PRA_276_MG</t>
  </si>
  <si>
    <t>0111105MOR</t>
  </si>
  <si>
    <t>3A88BE02-C045-45A4-8F5E-C2214F0F0368</t>
  </si>
  <si>
    <t>https://swbiodiversity.org/seinet/collections/individual/index.php?occid=34693316</t>
  </si>
  <si>
    <t>SYST-MOR-0006996</t>
  </si>
  <si>
    <t>SYST-MOR-0006996_S49_1.fq.gz</t>
  </si>
  <si>
    <t>SYST-MOR-0006996_S49_2.fq.gz</t>
  </si>
  <si>
    <t>QUE003760</t>
  </si>
  <si>
    <t>MI_PRA_277_MG</t>
  </si>
  <si>
    <t>Swampy/marshy woodlands</t>
  </si>
  <si>
    <t>Acer sp., Cottonwood, willow, Skunk cabbage, poison ivy, Virginia creeper, Rosaceae</t>
  </si>
  <si>
    <t>925 ft</t>
  </si>
  <si>
    <t>MOR&lt;USA-IL&gt;: Samuels, MI_PRA_277_MG</t>
  </si>
  <si>
    <t>0111100MOR</t>
  </si>
  <si>
    <t>F46BAF68-6CA7-4EBA-BDFD-56A7B95A9D4D</t>
  </si>
  <si>
    <t>https://swbiodiversity.org/seinet/collections/individual/index.php?occid=34693790</t>
  </si>
  <si>
    <t>SYST-MOR-0006997</t>
  </si>
  <si>
    <t>SYST-MOR-0006997_S50_1.fq.gz</t>
  </si>
  <si>
    <t>SYST-MOR-0006997_S50_2.fq.gz</t>
  </si>
  <si>
    <t>QUE003761</t>
  </si>
  <si>
    <t>MI_PRA_278_MG</t>
  </si>
  <si>
    <t>Woodlands, dense, near road</t>
  </si>
  <si>
    <t>Acer sp., red oak, Carya sp., black cherry, Virginia creeper, poison ivy, Asteraceae, Hylodesmum glutinosum, broadleaf enchanters nightshade</t>
  </si>
  <si>
    <t>MOR&lt;USA-IL&gt;: Samuels, MI_PRA_278_MG</t>
  </si>
  <si>
    <t>0111303MOR</t>
  </si>
  <si>
    <t>3B132AF2-BAEB-45A2-9E60-F3CE497DB7D5</t>
  </si>
  <si>
    <t>https://swbiodiversity.org/seinet/collections/individual/index.php?occid=34693318</t>
  </si>
  <si>
    <t>SYST-MOR-0006998</t>
  </si>
  <si>
    <t>SYST-MOR-0006998_S51_1.fq.gz</t>
  </si>
  <si>
    <t>SYST-MOR-0006998_S51_2.fq.gz</t>
  </si>
  <si>
    <t>QUE003762</t>
  </si>
  <si>
    <t>MI_PRA_279_MG</t>
  </si>
  <si>
    <t>Livingston</t>
  </si>
  <si>
    <t>Edge of wet woodlands</t>
  </si>
  <si>
    <t>Quercus macrocarpa, Fraxinus sp., Virginia creeper, Ribes sp., stickseed, autumn olive, Poaceae</t>
  </si>
  <si>
    <t>MOR&lt;USA-IL&gt;: Samuels, MI_PRA_279_MG</t>
  </si>
  <si>
    <t>0111299MOR</t>
  </si>
  <si>
    <t>DDAB6051-47A8-44DA-B35F-11FD50B8EF88</t>
  </si>
  <si>
    <t>https://swbiodiversity.org/seinet/collections/individual/index.php?occid=34693134</t>
  </si>
  <si>
    <t>SYST-MOR-0006999</t>
  </si>
  <si>
    <t>SYST-MOR-0006999_S52_1.fq.gz</t>
  </si>
  <si>
    <t>SYST-MOR-0006999_S52_2.fq.gz</t>
  </si>
  <si>
    <t>QUE003763</t>
  </si>
  <si>
    <t>MI_PRA_280_MG</t>
  </si>
  <si>
    <t>Edge of wet dense woodlands</t>
  </si>
  <si>
    <t>Quercus alba, Quercus macrocarpa, Brambles, Ribes sp., honeysuckles, thistles, Ulmus sp.</t>
  </si>
  <si>
    <t>935 ft</t>
  </si>
  <si>
    <t>MOR&lt;USA-IL&gt;: Samuels, MI_PRA_280_MG</t>
  </si>
  <si>
    <t>0111073MOR</t>
  </si>
  <si>
    <t>1DB74BE7-B196-4F2A-AD6A-E65B03A856D9</t>
  </si>
  <si>
    <t>https://swbiodiversity.org/seinet/collections/individual/index.php?occid=34693246</t>
  </si>
  <si>
    <t>SYST-MOR-0007000</t>
  </si>
  <si>
    <t>SYST-MOR-0007000_S53_1.fq.gz</t>
  </si>
  <si>
    <t>SYST-MOR-0007000_S53_2.fq.gz</t>
  </si>
  <si>
    <t>QUE003764</t>
  </si>
  <si>
    <t>MI_PRA_281_MG</t>
  </si>
  <si>
    <t>Edge of wet, dense forest</t>
  </si>
  <si>
    <t>Juniperus sp.,  red oak,  black cherry,Sensitive fern, Ribes sp., honeysuckle, Fraxinus sp.,</t>
  </si>
  <si>
    <t>936 ft</t>
  </si>
  <si>
    <t>MOR&lt;USA-IL&gt;: Samuels, MI_PRA_281_MG</t>
  </si>
  <si>
    <t>0111300MOR</t>
  </si>
  <si>
    <t>9A428CD2-0A55-4B75-9C6A-172E29CF709A</t>
  </si>
  <si>
    <t>https://swbiodiversity.org/seinet/collections/individual/index.php?occid=34693573</t>
  </si>
  <si>
    <t>SYST-MOR-0007001</t>
  </si>
  <si>
    <t>SYST-MOR-0007001_S54_1.fq.gz</t>
  </si>
  <si>
    <t>SYST-MOR-0007001_S54_2.fq.gz</t>
  </si>
  <si>
    <t>QUE003765</t>
  </si>
  <si>
    <t>MI_PRA_282_MG</t>
  </si>
  <si>
    <t>Edge of dense, wet forest</t>
  </si>
  <si>
    <t>red oak, Virginia creeper, service berry, poison ivy, honeysuckle, Ribes sp., Hylodesmum glutinosum</t>
  </si>
  <si>
    <t>912 ft</t>
  </si>
  <si>
    <t>MOR&lt;USA-IL&gt;: Samuels, MI_PRA_282_MG</t>
  </si>
  <si>
    <t>0111302MOR</t>
  </si>
  <si>
    <t>DFE2B505-AAC6-4C75-BD93-EE6F7203A563</t>
  </si>
  <si>
    <t>https://swbiodiversity.org/seinet/collections/individual/index.php?occid=34693176</t>
  </si>
  <si>
    <t>SYST-MOR-0007002</t>
  </si>
  <si>
    <t>SYST-MOR-0007002_S55_1.fq.gz</t>
  </si>
  <si>
    <t>SYST-MOR-0007002_S55_2.fq.gz</t>
  </si>
  <si>
    <t>QUE003766</t>
  </si>
  <si>
    <t>MI_PRA_283_MG</t>
  </si>
  <si>
    <t>Marshlands/ swampy</t>
  </si>
  <si>
    <t>Carya ovata, Carex sp., wild yam, large-leafed aster, Rubus sp., wild geranium</t>
  </si>
  <si>
    <t>MOR&lt;USA-IL&gt;: Samuels, MI_PRA_283_MG</t>
  </si>
  <si>
    <t>0111301MOR</t>
  </si>
  <si>
    <t>B2096B7A-D13F-4116-AA4E-0979062B3A7B</t>
  </si>
  <si>
    <t>https://swbiodiversity.org/seinet/collections/individual/index.php?occid=34693596</t>
  </si>
  <si>
    <t>SYST-MOR-0007003</t>
  </si>
  <si>
    <t>SYST-MOR-0007003_S56_1.fq.gz</t>
  </si>
  <si>
    <t>SYST-MOR-0007003_S56_2.fq.gz</t>
  </si>
  <si>
    <t>QUE003767</t>
  </si>
  <si>
    <t>MI_LLP_284_MG</t>
  </si>
  <si>
    <t>Ingham</t>
  </si>
  <si>
    <t>Lake Lansing Park</t>
  </si>
  <si>
    <t>Edge of marsh and forest (with little underbrush)</t>
  </si>
  <si>
    <t>Acer sp., Poison ivy, Virginia creeper, skunk cabbage, false nettle, sensitive fern, ash, sassafras</t>
  </si>
  <si>
    <t>882 ft</t>
  </si>
  <si>
    <t>MOR&lt;USA-IL&gt;: Samuels, MI_LLP_284_MG</t>
  </si>
  <si>
    <t>0111101MOR</t>
  </si>
  <si>
    <t>66FD2126-0FEF-433D-867B-0D96A8854A9B</t>
  </si>
  <si>
    <t>https://swbiodiversity.org/seinet/collections/individual/index.php?occid=34693392</t>
  </si>
  <si>
    <t>SYST-MOR-0007004</t>
  </si>
  <si>
    <t>SYST-MOR-0007004_S57_1.fq.gz</t>
  </si>
  <si>
    <t>SYST-MOR-0007004_S57_2.fq.gz</t>
  </si>
  <si>
    <t>QUE003768</t>
  </si>
  <si>
    <t>MI_LLP_285_MG</t>
  </si>
  <si>
    <t>Woodlands near marsh, little foliage</t>
  </si>
  <si>
    <t>red oaks, Acer sp., Quercus alba, black cherry, Poaceae, large-leafed aster</t>
  </si>
  <si>
    <t>899 ft</t>
  </si>
  <si>
    <t>MOR&lt;USA-IL&gt;: Samuels, MI_LLP_285_MG</t>
  </si>
  <si>
    <t>0111079MOR</t>
  </si>
  <si>
    <t>55A200F4-6786-41B0-AE4D-80F0B6FAEC3D</t>
  </si>
  <si>
    <t>https://swbiodiversity.org/seinet/collections/individual/index.php?occid=34693379</t>
  </si>
  <si>
    <t>SYST-MOR-0007005</t>
  </si>
  <si>
    <t>SYST-MOR-0007005_S58_1.fq.gz</t>
  </si>
  <si>
    <t>SYST-MOR-0007005_S58_2.fq.gz</t>
  </si>
  <si>
    <t>QUE003769</t>
  </si>
  <si>
    <t>MI_LLP_286_MG</t>
  </si>
  <si>
    <t>Marsh near sparse woodlands</t>
  </si>
  <si>
    <t>Quercus bicolor, Skunk cabbage, false nettle, side-flowering skullcap, Virginia creeper, reed canary grass</t>
  </si>
  <si>
    <t>MOR&lt;USA-IL&gt;: Samuels, MI_LLP_286_MG</t>
  </si>
  <si>
    <t>0111099MOR</t>
  </si>
  <si>
    <t>776FE20A-4867-4A7C-A0F9-E2BB1B63C46D</t>
  </si>
  <si>
    <t>https://swbiodiversity.org/seinet/collections/individual/index.php?occid=34693424</t>
  </si>
  <si>
    <t>SYST-MOR-0007006</t>
  </si>
  <si>
    <t>SYST-MOR-0007006_S59_1.fq.gz</t>
  </si>
  <si>
    <t>SYST-MOR-0007006_S59_2.fq.gz</t>
  </si>
  <si>
    <t>QUE003770</t>
  </si>
  <si>
    <t>MI_LLP_287_MG</t>
  </si>
  <si>
    <t>Sparse forest</t>
  </si>
  <si>
    <t>Quercus alba, Acer sp., red oak, Populus sp., Carya sp., Hylodesmum glutinosum, Poaceae, large-leaved aster, Fraxinus sp., Canada mayflower</t>
  </si>
  <si>
    <t>MOR&lt;USA-IL&gt;: Samuels, MI_LLP_287_MG</t>
  </si>
  <si>
    <t>0111080MOR</t>
  </si>
  <si>
    <t>F61157EA-BB85-4E4A-9960-BD872D48D84F</t>
  </si>
  <si>
    <t>https://swbiodiversity.org/seinet/collections/individual/index.php?occid=34693773</t>
  </si>
  <si>
    <t>SYST-MOR-0007007</t>
  </si>
  <si>
    <t>SYST-MOR-0007007_S60_1.fq.gz</t>
  </si>
  <si>
    <t>SYST-MOR-0007007_S60_2.fq.gz</t>
  </si>
  <si>
    <t>QUE003771</t>
  </si>
  <si>
    <t>MI_LLP_288_MG</t>
  </si>
  <si>
    <t>Open swampy area of woodlands</t>
  </si>
  <si>
    <t>Quercus bicolor, Fraxinus sp., Acer sp., Fern, moss</t>
  </si>
  <si>
    <t>911 ft</t>
  </si>
  <si>
    <t>MOR&lt;USA-IL&gt;: Samuels, MI_LLP_288_MG</t>
  </si>
  <si>
    <t>0111098MOR</t>
  </si>
  <si>
    <t>E502DF49-6EFF-4306-A0B2-8765FDA1A8EE</t>
  </si>
  <si>
    <t>https://swbiodiversity.org/seinet/collections/individual/index.php?occid=34693762</t>
  </si>
  <si>
    <t>SYST-MOR-0007008</t>
  </si>
  <si>
    <t>SYST-MOR-0007008_S61_1.fq.gz</t>
  </si>
  <si>
    <t>SYST-MOR-0007008_S61_2.fq.gz</t>
  </si>
  <si>
    <t>QUE003772</t>
  </si>
  <si>
    <t>MI_LLP_289_MG</t>
  </si>
  <si>
    <t>Wooded area near marshy opening</t>
  </si>
  <si>
    <t>Acer sp., Carya sp., red oak, Virginia creeper, brambles, Fraxinus sp., rattlesnake roots, big-leafed aster</t>
  </si>
  <si>
    <t>MOR&lt;USA-IL&gt;: Samuels, MI_LLP_289_MG</t>
  </si>
  <si>
    <t>0111081MOR</t>
  </si>
  <si>
    <t>46BE6DB1-C10F-4EB1-9D7D-6439ADD5272A</t>
  </si>
  <si>
    <t>https://swbiodiversity.org/seinet/collections/individual/index.php?occid=34693296</t>
  </si>
  <si>
    <t>SYST-MOR-0007009</t>
  </si>
  <si>
    <t>SYST-MOR-0007009_S62_1.fq.gz</t>
  </si>
  <si>
    <t>SYST-MOR-0007009_S62_2.fq.gz</t>
  </si>
  <si>
    <t>QUE003773</t>
  </si>
  <si>
    <t>MI_LLP_290_MG</t>
  </si>
  <si>
    <t>Swampy area of woodlands</t>
  </si>
  <si>
    <t>Quercus bicolor, Acer sp., Skunk cabbage, Fraxinus sp., Poaceae, American hornbeam</t>
  </si>
  <si>
    <t>833 ft</t>
  </si>
  <si>
    <t>MOR&lt;USA-IL&gt;: Samuels, MI_LLP_290_MG</t>
  </si>
  <si>
    <t>0111109MOR</t>
  </si>
  <si>
    <t>D958C468-8402-44DA-98A1-A997D2138269</t>
  </si>
  <si>
    <t>https://swbiodiversity.org/seinet/collections/individual/index.php?occid=34693163</t>
  </si>
  <si>
    <t>SYST-MOR-0007010</t>
  </si>
  <si>
    <t>SYST-MOR-0007010_S63_1.fq.gz</t>
  </si>
  <si>
    <t>SYST-MOR-0007010_S63_2.fq.gz</t>
  </si>
  <si>
    <t>QUE003774</t>
  </si>
  <si>
    <t>MI_LLP_291_MG</t>
  </si>
  <si>
    <t>Edge of woodlands and marshy area</t>
  </si>
  <si>
    <t>Quercus alba, Ulmus sp., black cherry, American hornbeam, skunk cabbage, Virginia creeper, sensitive fern, Poaceae, wood crane's-bill</t>
  </si>
  <si>
    <t>MOR&lt;USA-IL&gt;: Samuels, MI_LLP_291_MG</t>
  </si>
  <si>
    <t>0111082MOR</t>
  </si>
  <si>
    <t>F2E82758-5535-4811-A30D-D655FD27D944</t>
  </si>
  <si>
    <t>https://swbiodiversity.org/seinet/collections/individual/index.php?occid=34693772</t>
  </si>
  <si>
    <t>SYST-MOR-0007011</t>
  </si>
  <si>
    <t>SYST-MOR-0007011_S64_1.fq.gz</t>
  </si>
  <si>
    <t>SYST-MOR-0007011_S64_2.fq.gz</t>
  </si>
  <si>
    <t>QUE003775</t>
  </si>
  <si>
    <t>MI_LLP_292_MG</t>
  </si>
  <si>
    <t>Slightly marshy area of forest</t>
  </si>
  <si>
    <t>Quercus bicolor, Acer sp., red oak group, Sensitive fern, American hornbeam, fern, false nettle</t>
  </si>
  <si>
    <t>868 ft</t>
  </si>
  <si>
    <t>MOR&lt;USA-IL&gt;: Samuels, MI_LLP_292_MG</t>
  </si>
  <si>
    <t>0111102MOR</t>
  </si>
  <si>
    <t>80C916CA-6F29-4CBB-970E-DD7C02F1352B</t>
  </si>
  <si>
    <t>https://swbiodiversity.org/seinet/collections/individual/index.php?occid=34693495</t>
  </si>
  <si>
    <t>SYST-MOR-0007012</t>
  </si>
  <si>
    <t>SYST-MOR-0007012_S65_1.fq.gz</t>
  </si>
  <si>
    <t>SYST-MOR-0007012_S65_2.fq.gz</t>
  </si>
  <si>
    <t>QUE003776</t>
  </si>
  <si>
    <t>MI_LLP_293_MG</t>
  </si>
  <si>
    <t>Forest, minimal/ low foliage, sandy soils</t>
  </si>
  <si>
    <t>Acer sp., Red oak, Quercus alba, black cherry, Dogwood, Carex sp., Virginia creeper</t>
  </si>
  <si>
    <t>MOR&lt;USA-IL&gt;: Samuels, MI_LLP_293_MG</t>
  </si>
  <si>
    <t>0111083MOR</t>
  </si>
  <si>
    <t>B225DAD9-2FA6-451A-848F-4D4C3B3F8699</t>
  </si>
  <si>
    <t>https://swbiodiversity.org/seinet/collections/individual/index.php?occid=34693598</t>
  </si>
  <si>
    <t>SYST-MOR-0007013</t>
  </si>
  <si>
    <t>SYST-MOR-0007013_S66_1.fq.gz</t>
  </si>
  <si>
    <t>SYST-MOR-0007013_S66_2.fq.gz</t>
  </si>
  <si>
    <t>QUE003777</t>
  </si>
  <si>
    <t>MI_LLP_294_MG</t>
  </si>
  <si>
    <t>Edge of woodlands and marsh</t>
  </si>
  <si>
    <t>Fraxinus sp., Fern, poison ivy, Virginia creeper, dogwood, brackens</t>
  </si>
  <si>
    <t>855 ft</t>
  </si>
  <si>
    <t>MOR&lt;USA-IL&gt;: Samuels, MI_LLP_294_MG</t>
  </si>
  <si>
    <t>0111304MOR</t>
  </si>
  <si>
    <t>3C8EB636-CCC7-49C9-B90F-C3B6282AD546</t>
  </si>
  <si>
    <t>https://swbiodiversity.org/seinet/collections/individual/index.php?occid=34693308</t>
  </si>
  <si>
    <t>SYST-MOR-0007014</t>
  </si>
  <si>
    <t>SYST-MOR-0007014_S67_1.fq.gz</t>
  </si>
  <si>
    <t>SYST-MOR-0007014_S67_2.fq.gz</t>
  </si>
  <si>
    <t>QUE003778</t>
  </si>
  <si>
    <t>KS_SMP_295_MG</t>
  </si>
  <si>
    <t>Shawnee Mission Park</t>
  </si>
  <si>
    <t>Near stream, dense forested area</t>
  </si>
  <si>
    <t>Ulmus sp., Carya sp., Juglans sp., Honeysuckle, Virginia creeper, Ribes sp., Greenbriers</t>
  </si>
  <si>
    <t>938 ft</t>
  </si>
  <si>
    <t>MOR&lt;USA-IL&gt;: Samuels, KS_SMP_295_MG</t>
  </si>
  <si>
    <t>0111132MOR</t>
  </si>
  <si>
    <t>CFA23040-3E6B-4E74-957E-71250ADF657E</t>
  </si>
  <si>
    <t>https://swbiodiversity.org/seinet/collections/individual/index.php?occid=34693684</t>
  </si>
  <si>
    <t>SYST-MOR-0007015</t>
  </si>
  <si>
    <t>SYST-MOR-0007015_S68_1.fq.gz</t>
  </si>
  <si>
    <t>SYST-MOR-0007015_S68_2.fq.gz</t>
  </si>
  <si>
    <t>QUE003779</t>
  </si>
  <si>
    <t>KS_SMP_296_MG</t>
  </si>
  <si>
    <t>Dense forested area near creek</t>
  </si>
  <si>
    <t>Juglans sp., Carya sp., basswood, Ulmus sp., Virginia creeper, Amur honeysuckle, Ribes sp.</t>
  </si>
  <si>
    <t>939 ft</t>
  </si>
  <si>
    <t>MOR&lt;USA-IL&gt;: Samuels, KS_SMP_296_MG</t>
  </si>
  <si>
    <t>0111323MOR</t>
  </si>
  <si>
    <t>7F2597DC-4B64-4B10-A4AF-E6C2B1CAB96E</t>
  </si>
  <si>
    <t>https://swbiodiversity.org/seinet/collections/individual/index.php?occid=34693450</t>
  </si>
  <si>
    <t>SYST-MOR-0007016</t>
  </si>
  <si>
    <t>SYST-MOR-0007016_S69_1.fq.gz</t>
  </si>
  <si>
    <t>SYST-MOR-0007016_S69_2.fq.gz</t>
  </si>
  <si>
    <t>QUE003780</t>
  </si>
  <si>
    <t>KS_SMP_297_MG</t>
  </si>
  <si>
    <t>Dense forest near creek,</t>
  </si>
  <si>
    <t>Quercus macrocarpa, Tilia sp., Carya sp., red oak group, Virginia creeper, honeysuckle, American hog peanut, Ribes sp., sassafras, Viburnum</t>
  </si>
  <si>
    <t>933 ft</t>
  </si>
  <si>
    <t>MOR&lt;USA-IL&gt;: Samuels, KS_SMP_297_MG</t>
  </si>
  <si>
    <t>0111131MOR</t>
  </si>
  <si>
    <t>B37EAD2B-80D8-4576-B2F5-BC58B2BEE436</t>
  </si>
  <si>
    <t>https://swbiodiversity.org/seinet/collections/individual/index.php?occid=34693625</t>
  </si>
  <si>
    <t>SYST-MOR-0007017</t>
  </si>
  <si>
    <t>SYST-MOR-0007017_S70_1.fq.gz</t>
  </si>
  <si>
    <t>SYST-MOR-0007017_S70_2.fq.gz</t>
  </si>
  <si>
    <t>QUE003781</t>
  </si>
  <si>
    <t>KS_SMP_298_MG</t>
  </si>
  <si>
    <t>Dense forest near stream</t>
  </si>
  <si>
    <t>Carya sp., Quercus macrocarpa, Tilia sp., Quercus muehlenbergii, red oak group, Virginia creeper, American hog peanut, honeysuckle, Ribes sp., coralberry</t>
  </si>
  <si>
    <t>922 ft</t>
  </si>
  <si>
    <t>MOR&lt;USA-IL&gt;: Samuels, KS_SMP_298_MG</t>
  </si>
  <si>
    <t>0111319MOR</t>
  </si>
  <si>
    <t>38BF078D-5A64-4A0E-AF5C-B4712F122E5C</t>
  </si>
  <si>
    <t>https://swbiodiversity.org/seinet/collections/individual/index.php?occid=34693306</t>
  </si>
  <si>
    <t>SYST-MOR-0007018</t>
  </si>
  <si>
    <t>SYST-MOR-0007018_S71_1.fq.gz</t>
  </si>
  <si>
    <t>SYST-MOR-0007018_S71_2.fq.gz</t>
  </si>
  <si>
    <t>QUE003782</t>
  </si>
  <si>
    <t>KS_SMP_299_MG</t>
  </si>
  <si>
    <t>Dense woodlands near stream</t>
  </si>
  <si>
    <t>Juniperus sp., Quercus macrocarpa, red oak group, American hog peanut, honeysuckle, Carya sp., coralberry</t>
  </si>
  <si>
    <t>918 ft</t>
  </si>
  <si>
    <t>MOR&lt;USA-IL&gt;: Samuels, KS_SMP_299_MG</t>
  </si>
  <si>
    <t>0111484MOR</t>
  </si>
  <si>
    <t>1F1B31A6-5CF2-4986-B9FB-1BD3EA4BE9B5</t>
  </si>
  <si>
    <t>https://swbiodiversity.org/seinet/collections/individual/index.php?occid=34693233</t>
  </si>
  <si>
    <t>SYST-MOR-0007019</t>
  </si>
  <si>
    <t>SYST-MOR-0007019_S72_1.fq.gz</t>
  </si>
  <si>
    <t>SYST-MOR-0007019_S72_2.fq.gz</t>
  </si>
  <si>
    <t>QUE003783</t>
  </si>
  <si>
    <t>KS_SMP_300_MG</t>
  </si>
  <si>
    <t>Forested woodlands dense near stream</t>
  </si>
  <si>
    <t>Tilia sp., red oak group, Carya sp., Honeysuckle, coralberry, Virginia creeper, asteraceae, Ribes sp., Vitus sp., Hylodesmum glutinosum</t>
  </si>
  <si>
    <t>928 ft</t>
  </si>
  <si>
    <t>MOR&lt;USA-IL&gt;: Samuels, KS_SMP_300_MG</t>
  </si>
  <si>
    <t>0111321MOR</t>
  </si>
  <si>
    <t>6B71270B-D1BD-47BA-B7DC-47F99003D0A7</t>
  </si>
  <si>
    <t>https://swbiodiversity.org/seinet/collections/individual/index.php?occid=34693456</t>
  </si>
  <si>
    <t>SYST-MOR-0007020</t>
  </si>
  <si>
    <t>SYST-MOR-0007020_S73_1.fq.gz</t>
  </si>
  <si>
    <t>SYST-MOR-0007020_S73_2.fq.gz</t>
  </si>
  <si>
    <t>QUE003784</t>
  </si>
  <si>
    <t>KS_SMP_301_MG</t>
  </si>
  <si>
    <t>Near stream side of small hill, forested area</t>
  </si>
  <si>
    <t>Juniperus sp., Carya sp., Honeysuckle, Hyglodesmum glutinosum, Virginia creeper</t>
  </si>
  <si>
    <t>917 ft</t>
  </si>
  <si>
    <t>MOR&lt;USA-IL&gt;: Samuels, KS_SMP_301_MG</t>
  </si>
  <si>
    <t>0111130MOR</t>
  </si>
  <si>
    <t>8D95242B-DA8F-4389-B94A-4EF896C0C95C</t>
  </si>
  <si>
    <t>https://swbiodiversity.org/seinet/collections/individual/index.php?occid=34693544</t>
  </si>
  <si>
    <t>SYST-MOR-0007021</t>
  </si>
  <si>
    <t>SYST-MOR-0007021_S74_1.fq.gz</t>
  </si>
  <si>
    <t>SYST-MOR-0007021_S74_2.fq.gz</t>
  </si>
  <si>
    <t>QUE003785</t>
  </si>
  <si>
    <t>KS_SMP_302_MG</t>
  </si>
  <si>
    <t>Hillside in dense forest near to stream</t>
  </si>
  <si>
    <t>Celtis sp., Ulmus sp., Quercus muehlenbergii, Honeysuckle, Virginia creeper</t>
  </si>
  <si>
    <t>923 ft</t>
  </si>
  <si>
    <t>MOR&lt;USA-IL&gt;: Samuels, KS_SMP_302_MG</t>
  </si>
  <si>
    <t>0111320MOR</t>
  </si>
  <si>
    <t>FE123B8E-144F-4A51-88F7-4177A332FC8B</t>
  </si>
  <si>
    <t>https://swbiodiversity.org/seinet/collections/individual/index.php?occid=34693795</t>
  </si>
  <si>
    <t>SYST-MOR-0007022</t>
  </si>
  <si>
    <t>SYST-MOR-0007022_S75_1.fq.gz</t>
  </si>
  <si>
    <t>SYST-MOR-0007022_S75_2.fq.gz</t>
  </si>
  <si>
    <t>QUE003786</t>
  </si>
  <si>
    <t>KS_SMP_303_MG</t>
  </si>
  <si>
    <t>Hill top, dense forest, near stream</t>
  </si>
  <si>
    <t>red oak group, Celtis sp., Quercus muehlenbergii, Tilia sp., Juglans sp., Honeysuckle, Virginia creeper, Hylodesmum glutinosum</t>
  </si>
  <si>
    <t>MOR&lt;USA-IL&gt;: Samuels, KS_SMP_303_MG</t>
  </si>
  <si>
    <t>0111129MOR</t>
  </si>
  <si>
    <t>C7B4F369-49A8-43C6-AD11-6E2F7B616AC0</t>
  </si>
  <si>
    <t>https://swbiodiversity.org/seinet/collections/individual/index.php?occid=34693709</t>
  </si>
  <si>
    <t>SYST-MOR-0007023</t>
  </si>
  <si>
    <t>SYST-MOR-0007023_S76_1.fq.gz</t>
  </si>
  <si>
    <t>SYST-MOR-0007023_S76_2.fq.gz</t>
  </si>
  <si>
    <t>QUE003787</t>
  </si>
  <si>
    <t>KS_SMP_304_MG</t>
  </si>
  <si>
    <t>Dense forest</t>
  </si>
  <si>
    <t>Juglans sp., Quercus macrocarpa, Ulmus sp., Quercus muehlenbergii, red oak group, Carex sp., Virginia creeper, Carya sp., honeysuckle, Sanicles sp.</t>
  </si>
  <si>
    <t>MOR&lt;USA-IL&gt;: Samuels, KS_SMP_304_MG</t>
  </si>
  <si>
    <t>0111322MOR</t>
  </si>
  <si>
    <t>1478D65E-E63B-4DBF-952E-CB0083C56439</t>
  </si>
  <si>
    <t>https://swbiodiversity.org/seinet/collections/individual/index.php?occid=34693211</t>
  </si>
  <si>
    <t>SYST-MOR-0007024</t>
  </si>
  <si>
    <t>SYST-MOR-0007024_S77_1.fq.gz</t>
  </si>
  <si>
    <t>SYST-MOR-0007024_S77_2.fq.gz</t>
  </si>
  <si>
    <t>QUE003788</t>
  </si>
  <si>
    <t>KS_SMP_305_MG</t>
  </si>
  <si>
    <t>Quercus muehlenbergii, Celtis sp., red oak group, Tilia sp., Carya sp., honeysuckle, redbud, Virginia creeper</t>
  </si>
  <si>
    <t>MOR&lt;USA-IL&gt;: Samuels, KS_SMP_305_MG</t>
  </si>
  <si>
    <t>0111128MOR</t>
  </si>
  <si>
    <t>FA3B73DA-AFC0-43E8-91C0-EFCF497AA417</t>
  </si>
  <si>
    <t>https://swbiodiversity.org/seinet/collections/individual/index.php?occid=34693743</t>
  </si>
  <si>
    <t>SYST-MOR-0007025</t>
  </si>
  <si>
    <t>SYST-MOR-0007025_S78_1.fq.gz</t>
  </si>
  <si>
    <t>SYST-MOR-0007025_S78_2.fq.gz</t>
  </si>
  <si>
    <t>QUE003789</t>
  </si>
  <si>
    <t>KS_SMP_306_MG</t>
  </si>
  <si>
    <t>Hillside dense forest</t>
  </si>
  <si>
    <t>Carya sp., Quercus stellata, Honeysuckle, red bud, Virginia creeper</t>
  </si>
  <si>
    <t>975 ft</t>
  </si>
  <si>
    <t>MOR&lt;USA-IL&gt;: Samuels, KS_SMP_306_MG</t>
  </si>
  <si>
    <t>0111483MOR</t>
  </si>
  <si>
    <t>4F75FCD1-8C01-4656-88AA-DAA91581FFAD</t>
  </si>
  <si>
    <t>https://swbiodiversity.org/seinet/collections/individual/index.php?occid=34693394</t>
  </si>
  <si>
    <t>SYST-MOR-0007026</t>
  </si>
  <si>
    <t>SYST-MOR-0007026_S79_1.fq.gz</t>
  </si>
  <si>
    <t>SYST-MOR-0007026_S79_2.fq.gz</t>
  </si>
  <si>
    <t>QUE003790</t>
  </si>
  <si>
    <t>KS_SMP_307_MG</t>
  </si>
  <si>
    <t>Quercus stellata, Quercus muehlenbergii, Celtis sp., Carya sp., shingle oak, Honeysuckle, Virginia creeper, redbud</t>
  </si>
  <si>
    <t>971 ft</t>
  </si>
  <si>
    <t>MOR&lt;USA-IL&gt;: Samuels, KS_SMP_307_MG</t>
  </si>
  <si>
    <t>0111482MOR</t>
  </si>
  <si>
    <t>EB4C1343-18C6-46C5-8489-FD4A30C1F214</t>
  </si>
  <si>
    <t>https://swbiodiversity.org/seinet/collections/individual/index.php?occid=34693750</t>
  </si>
  <si>
    <t>SYST-MOR-0007027</t>
  </si>
  <si>
    <t>SYST-MOR-0007027_S80_1.fq.gz</t>
  </si>
  <si>
    <t>SYST-MOR-0007027_S80_2.fq.gz</t>
  </si>
  <si>
    <t>QUE003791</t>
  </si>
  <si>
    <t>KS_SMP_308_MG</t>
  </si>
  <si>
    <t>Cracked dry soil, fairly dense forest along top of a small hill</t>
  </si>
  <si>
    <t>Quercus stellata, Ulmus sp., Celtis sp., Juniperus sp., Smilax sp., Hylodesmum glutinosum, Virginia creeper</t>
  </si>
  <si>
    <t>937 ft</t>
  </si>
  <si>
    <t>MOR&lt;USA-IL&gt;: Samuels, KS_SMP_308_MG</t>
  </si>
  <si>
    <t xml:space="preserve"> 0111481MOR</t>
  </si>
  <si>
    <t>77F5659D-9108-4260-8B18-FC8F0C3FA97E</t>
  </si>
  <si>
    <t>SYST-MOR-0007028</t>
  </si>
  <si>
    <t>SYST-MOR-0007028_S81_1.fq.gz</t>
  </si>
  <si>
    <t>SYST-MOR-0007028_S81_2.fq.gz</t>
  </si>
  <si>
    <t>QUE003792</t>
  </si>
  <si>
    <t>KS_SMP_309_MG</t>
  </si>
  <si>
    <t>Dry, hillside with a dense forest</t>
  </si>
  <si>
    <t>Quercus stellata, Celtis sp., Quercus muehlenbergii, Redbud, honeysuckle, Carya sp., Ulmus sp.</t>
  </si>
  <si>
    <t>947 ft</t>
  </si>
  <si>
    <t>MOR&lt;USA-IL&gt;: Samuels, KS_SMP_309_MG</t>
  </si>
  <si>
    <t>0111480MOR</t>
  </si>
  <si>
    <t>2A5F2D26-1F48-4B7E-BC63-CDE1CC707852</t>
  </si>
  <si>
    <t>https://swbiodiversity.org/seinet/collections/individual/index.php?occid=34693208</t>
  </si>
  <si>
    <t>SYST-MOR-0007029</t>
  </si>
  <si>
    <t>SYST-MOR-0007029_S82_1.fq.gz</t>
  </si>
  <si>
    <t>SYST-MOR-0007029_S82_2.fq.gz</t>
  </si>
  <si>
    <t>QUE003793</t>
  </si>
  <si>
    <t>KS_SMP_310_MG</t>
  </si>
  <si>
    <t>Thick forest on edge of open lawn area, dry</t>
  </si>
  <si>
    <t>Fraxinus sp., red oak group, black cherry, Ulmus sp., Redbud, thistle, honeysuckle, Virginia creeper</t>
  </si>
  <si>
    <t>MOR&lt;USA-IL&gt;: Samuels, KS_SMP_310_MG</t>
  </si>
  <si>
    <t>0110988MOR</t>
  </si>
  <si>
    <t>3306AEB8-B555-4411-A34D-0801D0DF5602</t>
  </si>
  <si>
    <t>https://swbiodiversity.org/seinet/collections/individual/index.php?occid=34693314</t>
  </si>
  <si>
    <t>SYST-MOR-0007030</t>
  </si>
  <si>
    <t>SYST-MOR-0007030_S83_1.fq.gz</t>
  </si>
  <si>
    <t>SYST-MOR-0007030_S83_2.fq.gz</t>
  </si>
  <si>
    <t>QUE003794</t>
  </si>
  <si>
    <t>KS_SMP_311_MG</t>
  </si>
  <si>
    <t>Uphill of lake, dense forest</t>
  </si>
  <si>
    <t>Carya sp., Ulmus sp., Carya sp., Redbud, honeysuckle, Virginia creeper, Fraxinus sp., Smilax sp., sanicles</t>
  </si>
  <si>
    <t>902 ft</t>
  </si>
  <si>
    <t>MOR&lt;USA-IL&gt;: Samuels, KS_SMP_311_MG</t>
  </si>
  <si>
    <t>0110987MOR</t>
  </si>
  <si>
    <t>247E23E5-8FEA-498A-A0C3-4E84572E613A</t>
  </si>
  <si>
    <t>https://swbiodiversity.org/seinet/collections/individual/index.php?occid=34693248</t>
  </si>
  <si>
    <t>SYST-MOR-0007031</t>
  </si>
  <si>
    <t>SYST-MOR-0007031_S84_1.fq.gz</t>
  </si>
  <si>
    <t>SYST-MOR-0007031_S84_2.fq.gz</t>
  </si>
  <si>
    <t>QUE003795</t>
  </si>
  <si>
    <t>KS_SMP_312_MG</t>
  </si>
  <si>
    <t>Carya sp., Celtis sp., Juglans sp., Smilax sp., Ribes sp., Virginia creeper, Sanicula sp., Fraxinus sp., redbud, honeysuckle</t>
  </si>
  <si>
    <t>MOR&lt;USA-IL&gt;: Samuels, KS_SMP_312_MG</t>
  </si>
  <si>
    <t>0110986MOR</t>
  </si>
  <si>
    <t>B214CC0C-900A-4C4B-9645-F619B61B6829</t>
  </si>
  <si>
    <t>https://swbiodiversity.org/seinet/collections/individual/index.php?occid=34693597</t>
  </si>
  <si>
    <t>SYST-MOR-0007032</t>
  </si>
  <si>
    <t>SYST-MOR-0007032_S85_1.fq.gz</t>
  </si>
  <si>
    <t>SYST-MOR-0007032_S85_2.fq.gz</t>
  </si>
  <si>
    <t>QUE003796</t>
  </si>
  <si>
    <t>KS_SMP_313_MG</t>
  </si>
  <si>
    <t>Uphill from lake, dense forest</t>
  </si>
  <si>
    <t>Quercus alba, Celtis sp., Carya sp., Honeysuckle, Fraxinus sp., Sanicula sp., Virginia creeper, Vitus sp.</t>
  </si>
  <si>
    <t>940 ft</t>
  </si>
  <si>
    <t>MOR&lt;USA-IL&gt;: Samuels, KS_SMP_313_MG</t>
  </si>
  <si>
    <t>0110985MOR</t>
  </si>
  <si>
    <t>015B77B6-AA48-4516-ACF8-0665C13016F0</t>
  </si>
  <si>
    <t>https://swbiodiversity.org/seinet/collections/individual/index.php?occid=34693127</t>
  </si>
  <si>
    <t>SYST-MOR-0007033</t>
  </si>
  <si>
    <t>SYST-MOR-0007033_S86_1.fq.gz</t>
  </si>
  <si>
    <t>SYST-MOR-0007033_S86_2.fq.gz</t>
  </si>
  <si>
    <t>QUE003797</t>
  </si>
  <si>
    <t>KS_SMP_314_MG</t>
  </si>
  <si>
    <t>Close to lake on side of hill in dense forest</t>
  </si>
  <si>
    <t>Carya sp., Carya ovata, Quercus alba, red oak group, Ulmus sp., Ribes sp., redbud, honeysuckle, Virginia creeper, Sanicula sp., Mullein, foxglove</t>
  </si>
  <si>
    <t>920 ft</t>
  </si>
  <si>
    <t>MOR&lt;USA-IL&gt;: Samuels, KS_SMP_314_MG</t>
  </si>
  <si>
    <t>0110984MOR</t>
  </si>
  <si>
    <t>EFB508FB-44AE-4F6E-86ED-D68A8E6F4F27</t>
  </si>
  <si>
    <t>https://swbiodiversity.org/seinet/collections/individual/index.php?occid=34693769</t>
  </si>
  <si>
    <t>SYST-MOR-0007034</t>
  </si>
  <si>
    <t>SYST-MOR-0007034_S87_1.fq.gz</t>
  </si>
  <si>
    <t>SYST-MOR-0007034_S87_2.fq.gz</t>
  </si>
  <si>
    <t>QUE003798</t>
  </si>
  <si>
    <t>KS_KCP_315_MG</t>
  </si>
  <si>
    <t>Kill Creek Park</t>
  </si>
  <si>
    <t>Celtis sp., Ulmus sp., honey locust, Smilax sp., redbud, Cornus sp., poison ivy, sassafras, ragweed, coralberry, goldenrod, aster</t>
  </si>
  <si>
    <t>MOR&lt;USA-IL&gt;: Samuels, KS_KCP_315_MG</t>
  </si>
  <si>
    <t>0111208MOR</t>
  </si>
  <si>
    <t>CB068E7C-BF3E-4F81-8BEB-2CAF8F6690A6</t>
  </si>
  <si>
    <t>https://swbiodiversity.org/seinet/collections/individual/index.php?occid=34693666</t>
  </si>
  <si>
    <t>SYST-MOR-0007035</t>
  </si>
  <si>
    <t>SYST-MOR-0007035_S88_1.fq.gz</t>
  </si>
  <si>
    <t>SYST-MOR-0007035_S88_2.fq.gz</t>
  </si>
  <si>
    <t>QUE003799</t>
  </si>
  <si>
    <t>KS_KCP_316_MG</t>
  </si>
  <si>
    <t>Edge of woodlands and prairie</t>
  </si>
  <si>
    <t>Celtis sp., Ulmus sp., honey locust, Smilax sp., Virginia creeper, coralberry, poison ivy</t>
  </si>
  <si>
    <t>MOR&lt;USA-IL&gt;: Samuels, KS_KCP_316_MG</t>
  </si>
  <si>
    <t>0111207MOR</t>
  </si>
  <si>
    <t>00D0533A-8FA8-4D3A-96E7-E2F3E74BDDF7</t>
  </si>
  <si>
    <t>https://swbiodiversity.org/seinet/collections/individual/index.php?occid=34693142</t>
  </si>
  <si>
    <t>SYST-MOR-0007036</t>
  </si>
  <si>
    <t>SYST-MOR-0007036_S89_1.fq.gz</t>
  </si>
  <si>
    <t>SYST-MOR-0007036_S89_2.fq.gz</t>
  </si>
  <si>
    <t>QUE003800</t>
  </si>
  <si>
    <t>KS_KZP_317_MG</t>
  </si>
  <si>
    <t>Riley</t>
  </si>
  <si>
    <t>Konza Prairie Biological Station</t>
  </si>
  <si>
    <t>Edge of prairie and small forested area, limestone</t>
  </si>
  <si>
    <t>Celtis sp., Carya sp. ,Smilax ap., sassafras, Virginia creeper, poison ivy, Symphyotrichum sp., Fraxinus sp., Ribes sp., Drummond aster, Virginia wildrye,</t>
  </si>
  <si>
    <t>1084 ft</t>
  </si>
  <si>
    <t>MOR&lt;USA-IL&gt;: Samuels, KS_KZP_317_MG</t>
  </si>
  <si>
    <t>0111315MOR</t>
  </si>
  <si>
    <t>46495A1A-9A6A-4455-B60D-121F9BD18177</t>
  </si>
  <si>
    <t>https://swbiodiversity.org/seinet/collections/individual/index.php?occid=34693293</t>
  </si>
  <si>
    <t>SYST-MOR-0007037</t>
  </si>
  <si>
    <t>SYST-MOR-0007037_S90_1.fq.gz</t>
  </si>
  <si>
    <t>SYST-MOR-0007037_S90_2.fq.gz</t>
  </si>
  <si>
    <t>QUE003801</t>
  </si>
  <si>
    <t>KS_KZP_318_MG</t>
  </si>
  <si>
    <t>Limestone, prairie and woodlands edge</t>
  </si>
  <si>
    <t>Celtis sp., Quercus macrocarpa, Sassafras, Virginia creeper, poison ivy, wingstem, Symphyotrichum sp., smooth brome,</t>
  </si>
  <si>
    <t>1066 ft</t>
  </si>
  <si>
    <t>MOR&lt;USA-IL&gt;: Samuels, KS_KZP_318_MG</t>
  </si>
  <si>
    <t>0111318MOR</t>
  </si>
  <si>
    <t>2D70D06E-E05E-412A-8805-CBB44DC13BA2</t>
  </si>
  <si>
    <t>https://swbiodiversity.org/seinet/collections/individual/index.php?occid=34693273</t>
  </si>
  <si>
    <t>SYST-MOR-0007038</t>
  </si>
  <si>
    <t>SYST-MOR-0007038_S91_1.fq.gz</t>
  </si>
  <si>
    <t>SYST-MOR-0007038_S91_2.fq.gz</t>
  </si>
  <si>
    <t>QUE003802</t>
  </si>
  <si>
    <t>KS_KZP_319_MG</t>
  </si>
  <si>
    <t>Limestone, edge of prairie and woodlands</t>
  </si>
  <si>
    <t>Quercus muehlenbergii, Quercus macrocarpa, Carya sp., Coralberry, Juniperus sp., Virginia creeper</t>
  </si>
  <si>
    <t>1096 ft</t>
  </si>
  <si>
    <t>MOR&lt;USA-IL&gt;: Samuels, KS_KZP_319_MG</t>
  </si>
  <si>
    <t>0111127MOR</t>
  </si>
  <si>
    <t>8697F7FA-B970-4C14-9915-33E64DC84E17</t>
  </si>
  <si>
    <t>https://swbiodiversity.org/seinet/collections/individual/index.php?occid=34693539</t>
  </si>
  <si>
    <t>SYST-MOR-0007039</t>
  </si>
  <si>
    <t>SYST-MOR-0007039_S92_1.fq.gz</t>
  </si>
  <si>
    <t>SYST-MOR-0007039_S92_2.fq.gz</t>
  </si>
  <si>
    <t>QUE003803</t>
  </si>
  <si>
    <t>KS_KZP_320_MG</t>
  </si>
  <si>
    <t>Limestone, gravelly prairie</t>
  </si>
  <si>
    <t>walnut, Quercus macrocarpa, Juniperus sp., Poison ivy, Poaceae, brome, moonseed, asters</t>
  </si>
  <si>
    <t>1090 ft</t>
  </si>
  <si>
    <t>MOR&lt;USA-IL&gt;: Samuels, KS_KZP_320_MG</t>
  </si>
  <si>
    <t>0111317MOR</t>
  </si>
  <si>
    <t>539AE083-BBEC-41EA-B914-6B4754519947</t>
  </si>
  <si>
    <t>https://swbiodiversity.org/seinet/collections/individual/index.php?occid=34693342</t>
  </si>
  <si>
    <t>SYST-MOR-0007040</t>
  </si>
  <si>
    <t>SYST-MOR-0007040_S93_1.fq.gz</t>
  </si>
  <si>
    <t>SYST-MOR-0007040_S93_2.fq.gz</t>
  </si>
  <si>
    <t>QUE003804</t>
  </si>
  <si>
    <t>KS_KZP_321_MG</t>
  </si>
  <si>
    <t>Gravely, limestone, prairie hillside edge of sparse forest</t>
  </si>
  <si>
    <t>Quercus muehlenbergii, Quercus macrocarpa, Juglans sp., eastern redbud, Ribes sp., redbud, fragrant sumac, smooth brome, Dogwood</t>
  </si>
  <si>
    <t>MOR&lt;USA-IL&gt;: Samuels, KS_KZP_321_MG</t>
  </si>
  <si>
    <t>0111125MOR</t>
  </si>
  <si>
    <t>7D740EB7-D668-4B64-B514-CDB3718C4ADB</t>
  </si>
  <si>
    <t>https://swbiodiversity.org/seinet/collections/individual/index.php?occid=34693492</t>
  </si>
  <si>
    <t>SYST-MOR-0007041</t>
  </si>
  <si>
    <t>SYST-MOR-0007041_S94_1.fq.gz</t>
  </si>
  <si>
    <t>SYST-MOR-0007041_S94_2.fq.gz</t>
  </si>
  <si>
    <t>QUE003805</t>
  </si>
  <si>
    <t>KS_KZP_322_MG</t>
  </si>
  <si>
    <t>Near prairie, dense woodland, rocky/limestone soil</t>
  </si>
  <si>
    <t>Juniperus sp., Quercus macrocarpa, Quercus muehlenbergii, Juglans sp., Redbud, Virginia creeper, wingstem, common ragweed, dogwood, false daisy</t>
  </si>
  <si>
    <t>1150 ft</t>
  </si>
  <si>
    <t>MOR&lt;USA-IL&gt;: Samuels, KS_KZP_322_MG</t>
  </si>
  <si>
    <t>0111314MOR</t>
  </si>
  <si>
    <t>F9A4FFEC-E6E7-48B6-B2E7-0C93ED9D19EB</t>
  </si>
  <si>
    <t>https://swbiodiversity.org/seinet/collections/individual/index.php?occid=34693740</t>
  </si>
  <si>
    <t>SYST-MOR-0007042</t>
  </si>
  <si>
    <t>SYST-MOR-0007042_S95_1.fq.gz</t>
  </si>
  <si>
    <t>SYST-MOR-0007042_S95_2.fq.gz</t>
  </si>
  <si>
    <t>QUE003806</t>
  </si>
  <si>
    <t>KS_KZP_323_MG</t>
  </si>
  <si>
    <t>Edge of prairie and woodlands, limestone/gravel</t>
  </si>
  <si>
    <t>Juglans sp., Quercus macrocarpa, Quercus muehlenbergii, Smilax sp., Virginia creeper, redbud, raspberry, coralberry</t>
  </si>
  <si>
    <t>MOR&lt;USA-IL&gt;: Samuels, KS_KZP_323_MG</t>
  </si>
  <si>
    <t>0111124MOR</t>
  </si>
  <si>
    <t>C7CB2ACE-9735-4BD3-A738-CEAAF0E320F4</t>
  </si>
  <si>
    <t>https://swbiodiversity.org/seinet/collections/individual/index.php?occid=34693710</t>
  </si>
  <si>
    <t>SYST-MOR-0007043</t>
  </si>
  <si>
    <t>SYST-MOR-0007043_S96_1.fq.gz</t>
  </si>
  <si>
    <t>SYST-MOR-0007043_S96_2.fq.gz</t>
  </si>
  <si>
    <t>QUE003807</t>
  </si>
  <si>
    <t>KS_KZP_324_MG</t>
  </si>
  <si>
    <t>Edge of prairie and woodlands, edge of hill, limestone</t>
  </si>
  <si>
    <t>Quercus muehlenbergii, Ulmus sp., Red bud, poison ivy, coralberry, dogwood, Fragrant sumac, asters, wingstem</t>
  </si>
  <si>
    <t>1184 ft</t>
  </si>
  <si>
    <t>MOR&lt;USA-IL&gt;: Samuels, KS_KZP_324_MG</t>
  </si>
  <si>
    <t>0111123MOR</t>
  </si>
  <si>
    <t>E9E38E98-0C09-462F-9C7A-53520A8B2B6A</t>
  </si>
  <si>
    <t>https://swbiodiversity.org/seinet/collections/individual/index.php?occid=34693784</t>
  </si>
  <si>
    <t>SYST-MOR-0007044</t>
  </si>
  <si>
    <t>SYST-MOR-0007044_S97_1.fq.gz</t>
  </si>
  <si>
    <t>SYST-MOR-0007044_S97_2.fq.gz</t>
  </si>
  <si>
    <t>QUE003808</t>
  </si>
  <si>
    <t>KS_KZP_325_MG</t>
  </si>
  <si>
    <t>Strip of rocky woodlands between two prairies</t>
  </si>
  <si>
    <t>Quercus macrocarpa, Quercus muehlenbergii, Ulmus sp., Red bud, fragrant sumac, brome, dogwood, poison ivy, ironweed, leadplant</t>
  </si>
  <si>
    <t>MOR&lt;USA-IL&gt;: Samuels, KS_KZP_325_MG</t>
  </si>
  <si>
    <t>0111316MOR</t>
  </si>
  <si>
    <t>60525F50-6623-4B13-8152-040E442DD7A5</t>
  </si>
  <si>
    <t>https://swbiodiversity.org/seinet/collections/individual/index.php?occid=34693386</t>
  </si>
  <si>
    <t>SYST-MOR-0007045</t>
  </si>
  <si>
    <t>SYST-MOR-0007045_S98_1.fq.gz</t>
  </si>
  <si>
    <t>SYST-MOR-0007045_S98_2.fq.gz</t>
  </si>
  <si>
    <t>QUE003809</t>
  </si>
  <si>
    <t>KS_KZP_326_MG</t>
  </si>
  <si>
    <t>Thick woodlands near prairie, limestone</t>
  </si>
  <si>
    <t>Quercus muehlenbergii, Quercus macrocarpa, Ulmus sp., honey locust, Poison ivy, heart leaf pepper vine, Hickory, dogwood, Smilax sp.</t>
  </si>
  <si>
    <t>1166 ft</t>
  </si>
  <si>
    <t>MOR&lt;USA-IL&gt;: Samuels, KS_KZP_326_MG</t>
  </si>
  <si>
    <t>0111126MOR</t>
  </si>
  <si>
    <t>4C032542-6934-490C-BF8B-79983DB613A2</t>
  </si>
  <si>
    <t>https://swbiodiversity.org/seinet/collections/individual/index.php?occid=34693393</t>
  </si>
  <si>
    <t>SYST-MOR-0007046</t>
  </si>
  <si>
    <t>SYST-MOR-0007046_S99_1.fq.gz</t>
  </si>
  <si>
    <t>SYST-MOR-0007046_S99_2.fq.gz</t>
  </si>
  <si>
    <t>QUE003810</t>
  </si>
  <si>
    <t>NY_BIP_327_MG</t>
  </si>
  <si>
    <t>New York</t>
  </si>
  <si>
    <t>Erie</t>
  </si>
  <si>
    <t>Buckhorn Island State Park</t>
  </si>
  <si>
    <t>Deciduous woods near stream, formerly marshy</t>
  </si>
  <si>
    <t>Acer sp., Crataegus douglasii, Poison ivy, Virginia creeper, dogwood, common buckthorn, Japanese stiltgrass</t>
  </si>
  <si>
    <t>576 ft</t>
  </si>
  <si>
    <t>MOR&lt;USA-IL&gt;: Samuels, NY_BIP_327_MG</t>
  </si>
  <si>
    <t>0111430MOR</t>
  </si>
  <si>
    <t>2EDEBB1C-ADEF-40FB-B75F-D7FE53306121</t>
  </si>
  <si>
    <t>https://swbiodiversity.org/seinet/collections/individual/index.php?occid=34693300</t>
  </si>
  <si>
    <t>SYST-MOR-0007047</t>
  </si>
  <si>
    <t>SYST-MOR-0007047_S100_1.fq.gz</t>
  </si>
  <si>
    <t>SYST-MOR-0007047_S100_2.fq.gz</t>
  </si>
  <si>
    <t>QUE003811</t>
  </si>
  <si>
    <t>NY_BIP_328_MG</t>
  </si>
  <si>
    <t>Deciduous forest near stream</t>
  </si>
  <si>
    <t>Crataegus crus-galli, black hawthorn, Common buckthorn, poison ivy, dogwood</t>
  </si>
  <si>
    <t>MOR&lt;USA-IL&gt;: Samuels, NY_BIP_328_MG</t>
  </si>
  <si>
    <t>0111425MOR</t>
  </si>
  <si>
    <t>1813D709-768D-47C6-9685-EF8A831649BE</t>
  </si>
  <si>
    <t>https://swbiodiversity.org/seinet/collections/individual/index.php?occid=34693212</t>
  </si>
  <si>
    <t>SYST-MOR-0007048</t>
  </si>
  <si>
    <t>SYST-MOR-0007048_S101_1.fq.gz</t>
  </si>
  <si>
    <t>SYST-MOR-0007048_S101_2.fq.gz</t>
  </si>
  <si>
    <t>QUE003812</t>
  </si>
  <si>
    <t>NY_BIP_329_MG</t>
  </si>
  <si>
    <t>Dense deciduous forest near river</t>
  </si>
  <si>
    <t>black hawthorn, dogwood, Acer sp., Dogwood, common wrinkle leafed goldenrod, American jump seed, Rubus pubescens, Carex sp. Vitus sp.,</t>
  </si>
  <si>
    <t>MOR&lt;USA-IL&gt;: Samuels, NY_BIP_329_MG</t>
  </si>
  <si>
    <t>0111422MOR</t>
  </si>
  <si>
    <t>38535D87-6FA5-4357-AF94-33BEEDAC16D7</t>
  </si>
  <si>
    <t>https://swbiodiversity.org/seinet/collections/individual/index.php?occid=34693280</t>
  </si>
  <si>
    <t>SYST-MOR-0007049</t>
  </si>
  <si>
    <t>SYST-MOR-0007049_S102_1.fq.gz</t>
  </si>
  <si>
    <t>SYST-MOR-0007049_S102_2.fq.gz</t>
  </si>
  <si>
    <t>QUE003813</t>
  </si>
  <si>
    <t>NY_BIP_330_MG</t>
  </si>
  <si>
    <t>Right near river, edge of trail</t>
  </si>
  <si>
    <t>Quercus sect. Lobatae, Poison ivy, Dogwood, Carex sp., Milkweed, Buttercup</t>
  </si>
  <si>
    <t>565 ft</t>
  </si>
  <si>
    <t>MOR&lt;USA-IL&gt;: Samuels, NY_BIP_330_MG</t>
  </si>
  <si>
    <t>0111114MOR</t>
  </si>
  <si>
    <t>63BA0D13-E381-4D38-B9E7-EBF974CEF590</t>
  </si>
  <si>
    <t>https://swbiodiversity.org/seinet/collections/individual/index.php?occid=34693387</t>
  </si>
  <si>
    <t>SYST-MOR-0007050</t>
  </si>
  <si>
    <t>SYST-MOR-0007050_S103_1.fq.gz</t>
  </si>
  <si>
    <t>SYST-MOR-0007050_S103_2.fq.gz</t>
  </si>
  <si>
    <t>QUE003814</t>
  </si>
  <si>
    <t>NY_BIP_331_MG</t>
  </si>
  <si>
    <t>Deciduous forest with low foliage</t>
  </si>
  <si>
    <t>Acer sp., Quercus alba, Carya ovata, Ulmus sp., Fraxinus sp., Poison ivy, Fraxinus sp., Carex sp.</t>
  </si>
  <si>
    <t>MOR&lt;USA-IL&gt;: Samuels, NY_BIP_331_MG</t>
  </si>
  <si>
    <t>0110975MOR</t>
  </si>
  <si>
    <t>43130668-5694-4476-80D2-F10D6E080E02</t>
  </si>
  <si>
    <t>https://swbiodiversity.org/seinet/collections/individual/index.php?occid=34693289</t>
  </si>
  <si>
    <t>SYST-MOR-0007051</t>
  </si>
  <si>
    <t>SYST-MOR-0007051_S104_1.fq.gz</t>
  </si>
  <si>
    <t>SYST-MOR-0007051_S104_2.fq.gz</t>
  </si>
  <si>
    <t>QUE003815</t>
  </si>
  <si>
    <t>NY_BIP_332_MG</t>
  </si>
  <si>
    <t>Deciduous forest with low foliage, fairly dry</t>
  </si>
  <si>
    <t>Quercus alba, Ulmus sp., Prunus sp., Poison ivy, Virginia creeper, Fraxinus sp., white avens</t>
  </si>
  <si>
    <t>MOR&lt;USA-IL&gt;: Samuels, NY_BIP_332_MG</t>
  </si>
  <si>
    <t>0108149MOR</t>
  </si>
  <si>
    <t>FC48FCA7-4C90-438E-A6FA-E8765CACE3A8</t>
  </si>
  <si>
    <t>https://swbiodiversity.org/seinet/collections/individual/index.php?occid=34578117</t>
  </si>
  <si>
    <t>SRR31778377</t>
  </si>
  <si>
    <t>SYST-MOR-0007052</t>
  </si>
  <si>
    <t>SYST-MOR-0007052_S105_1.fq.gz</t>
  </si>
  <si>
    <t>SYST-MOR-0007052_S105_2.fq.gz</t>
  </si>
  <si>
    <t>SAMN45895342</t>
  </si>
  <si>
    <t>QUE003816</t>
  </si>
  <si>
    <t>NY_BIP_333_MG</t>
  </si>
  <si>
    <t>Cornus sp., Carya ovata, Quercus sect. Lobatae, Carya sp., Poison ivy, Carex sp., Rubus sp., Goldenrod</t>
  </si>
  <si>
    <t>579 ft</t>
  </si>
  <si>
    <t>MOR&lt;USA-IL&gt;: Samuels, NY_BIP_333_MG</t>
  </si>
  <si>
    <t>0111029MOR</t>
  </si>
  <si>
    <t>E1A6C8E0-A98E-4157-B1AE-AAA7BBEB5A0F</t>
  </si>
  <si>
    <t>https://swbiodiversity.org/seinet/collections/individual/index.php?occid=34693185</t>
  </si>
  <si>
    <t>SYST-MOR-0007053</t>
  </si>
  <si>
    <t>SYST-MOR-0007053_S106_1.fq.gz</t>
  </si>
  <si>
    <t>SYST-MOR-0007053_S106_2.fq.gz</t>
  </si>
  <si>
    <t>QUE003817</t>
  </si>
  <si>
    <t>NY_BIP_334_MG</t>
  </si>
  <si>
    <t>Deciduous forest with low and sparse foliage</t>
  </si>
  <si>
    <t>Quercus alba, Carya ovata, White avens, Hawthorn</t>
  </si>
  <si>
    <t>MOR&lt;USA-IL&gt;: Samuels, NY_BIP_334_MG</t>
  </si>
  <si>
    <t>0110977MOR</t>
  </si>
  <si>
    <t>03715FBF-9706-4D20-9534-6D4501645C55</t>
  </si>
  <si>
    <t>https://swbiodiversity.org/seinet/collections/individual/index.php?occid=34693137</t>
  </si>
  <si>
    <t>SYST-MOR-0007054</t>
  </si>
  <si>
    <t>SYST-MOR-0007054_S107_1.fq.gz</t>
  </si>
  <si>
    <t>SYST-MOR-0007054_S107_2.fq.gz</t>
  </si>
  <si>
    <t>QUE003818</t>
  </si>
  <si>
    <t>NY_BIP_335_MG</t>
  </si>
  <si>
    <t>Edge of road and deciduous forest with little foliage</t>
  </si>
  <si>
    <t>Quercus sect. Lobatae, Ulmus sp., Carya ovata, Carex sp., Euonymus sp., White avens, Asteraceae, Burnet saxifrage</t>
  </si>
  <si>
    <t>578 ft</t>
  </si>
  <si>
    <t>MOR&lt;USA-IL&gt;: Samuels, NY_BIP_335_MG</t>
  </si>
  <si>
    <t>0111110MOR</t>
  </si>
  <si>
    <t>B0FB65FF-338F-47A2-84E7-01E6845C1C16</t>
  </si>
  <si>
    <t>https://swbiodiversity.org/seinet/collections/individual/index.php?occid=34693643</t>
  </si>
  <si>
    <t>SYST-MOR-0007055</t>
  </si>
  <si>
    <t>SYST-MOR-0007055_S108_1.fq.gz</t>
  </si>
  <si>
    <t>SYST-MOR-0007055_S108_2.fq.gz</t>
  </si>
  <si>
    <t>QUE003819</t>
  </si>
  <si>
    <t>NY_BIP_336_MG</t>
  </si>
  <si>
    <t>Deciduous forest with sparse foliage</t>
  </si>
  <si>
    <t>Carya ovata, Quercus sect. Lobatae, ironwood, Poison ivy, Acer sp., white avens, Carex sp., Ulmus sp., prickly ash</t>
  </si>
  <si>
    <t>575 ft</t>
  </si>
  <si>
    <t>MOR&lt;USA-IL&gt;: Samuels, NY_BIP_336_MG</t>
  </si>
  <si>
    <t>0111431MOR</t>
  </si>
  <si>
    <t>89294596-5421-428A-A534-BA3582C1112B</t>
  </si>
  <si>
    <t>https://swbiodiversity.org/seinet/collections/individual/index.php?occid=34693520</t>
  </si>
  <si>
    <t>SYST-MOR-0007056</t>
  </si>
  <si>
    <t>SYST-MOR-0007056_S109_1.fq.gz</t>
  </si>
  <si>
    <t>SYST-MOR-0007056_S109_2.fq.gz</t>
  </si>
  <si>
    <t>QUE003820</t>
  </si>
  <si>
    <t>NY_BIP_337_MG</t>
  </si>
  <si>
    <t>Deciduous forest, tall foliage</t>
  </si>
  <si>
    <t>Fraxinus sp., Tilia sp., Carya ovata, Carya sp., Quercus macrocarpa, Northern spicebush, prickly ash, poison ivy, Virginia creeper, knotweed</t>
  </si>
  <si>
    <t>589 ft</t>
  </si>
  <si>
    <t>MOR&lt;USA-IL&gt;: Samuels, NY_BIP_337_MG</t>
  </si>
  <si>
    <t>0111111MOR</t>
  </si>
  <si>
    <t>DE930137-0746-42C0-BBBE-2455F78D74A2</t>
  </si>
  <si>
    <t>https://swbiodiversity.org/seinet/collections/individual/index.php?occid=34693172</t>
  </si>
  <si>
    <t>SYST-MOR-0007057</t>
  </si>
  <si>
    <t>SYST-MOR-0007057_S110_1.fq.gz</t>
  </si>
  <si>
    <t>SYST-MOR-0007057_S110_2.fq.gz</t>
  </si>
  <si>
    <t>QUE003821</t>
  </si>
  <si>
    <t>NY_BIP_338_MG</t>
  </si>
  <si>
    <t>Sparse deciduous forest, roadside</t>
  </si>
  <si>
    <t>Quercus macrocarpa, Poison ivy, Common buckthorn, Bidens sp., Fraxinus sp.</t>
  </si>
  <si>
    <t>584 ft</t>
  </si>
  <si>
    <t>MOR&lt;USA-IL&gt;: Samuels, NY_BIP_338_MG</t>
  </si>
  <si>
    <t>0111040MOR</t>
  </si>
  <si>
    <t>89AB1D55-9A49-438A-86A0-7FBB62B9B2A0</t>
  </si>
  <si>
    <t>https://swbiodiversity.org/seinet/collections/individual/index.php?occid=34693523</t>
  </si>
  <si>
    <t>SYST-MOR-0007058</t>
  </si>
  <si>
    <t>SYST-MOR-0007058_S111_1.fq.gz</t>
  </si>
  <si>
    <t>SYST-MOR-0007058_S111_2.fq.gz</t>
  </si>
  <si>
    <t>QUE003822</t>
  </si>
  <si>
    <t>NY_BIP_339_MG</t>
  </si>
  <si>
    <t>Edge of roadside and wooded area</t>
  </si>
  <si>
    <t>Quercus sect. Lobatae, Fraxinus sp., Hawthorn, Poison ivy, White avens</t>
  </si>
  <si>
    <t>MOR&lt;USA-IL&gt;: Samuels, NY_BIP_339_MG</t>
  </si>
  <si>
    <t>0111112MOR</t>
  </si>
  <si>
    <t>03AB1044-63F0-4C67-A757-39EA27C29156</t>
  </si>
  <si>
    <t>https://swbiodiversity.org/seinet/collections/individual/index.php?occid=34693130</t>
  </si>
  <si>
    <t>SYST-MOR-0007059</t>
  </si>
  <si>
    <t>SYST-MOR-0007059_S112_1.fq.gz</t>
  </si>
  <si>
    <t>SYST-MOR-0007059_S112_2.fq.gz</t>
  </si>
  <si>
    <t>QUE003823</t>
  </si>
  <si>
    <t>NY_BIP_340_MG</t>
  </si>
  <si>
    <t>Edge of road and low foliage desidiosa forest</t>
  </si>
  <si>
    <t>Quercus sect. Lobatae, Fraxinus sp., Quercus bicolor, Poaceae, Virginia creeper, American jump seed, American aster</t>
  </si>
  <si>
    <t>MOR&lt;USA-IL&gt;: Samuels, NY_BIP_340_MG</t>
  </si>
  <si>
    <t>0111113MOR</t>
  </si>
  <si>
    <t>0A63B15A-48BE-4F3F-9774-C09AB7FD1987</t>
  </si>
  <si>
    <t>https://swbiodiversity.org/seinet/collections/individual/index.php?occid=34693189</t>
  </si>
  <si>
    <t>SYST-MOR-0007060</t>
  </si>
  <si>
    <t>SYST-MOR-0007060_S113_1.fq.gz</t>
  </si>
  <si>
    <t>SYST-MOR-0007060_S113_2.fq.gz</t>
  </si>
  <si>
    <t>QUE003824</t>
  </si>
  <si>
    <t>NY_SSP_341_MG</t>
  </si>
  <si>
    <t>Seneca</t>
  </si>
  <si>
    <t>Sampson State Park</t>
  </si>
  <si>
    <t>Edge of lake and in shrubby deciduous woods</t>
  </si>
  <si>
    <t>Quercus alba, Acer sp., Common buckthorn, birch, Prunus sp., basswood</t>
  </si>
  <si>
    <t>460 ft</t>
  </si>
  <si>
    <t>MOR&lt;USA-IL&gt;: Samuels, NY_SSP_341_MG</t>
  </si>
  <si>
    <t>0111030MOR</t>
  </si>
  <si>
    <t>7AFCE364-16EE-4277-A9FA-B3B36D09EB9C</t>
  </si>
  <si>
    <t>https://swbiodiversity.org/seinet/collections/individual/index.php?occid=34693427</t>
  </si>
  <si>
    <t>SYST-MOR-0007061</t>
  </si>
  <si>
    <t>SYST-MOR-0007061_S114_1.fq.gz</t>
  </si>
  <si>
    <t>SYST-MOR-0007061_S114_2.fq.gz</t>
  </si>
  <si>
    <t>QUE003825</t>
  </si>
  <si>
    <t>NY_SSP_342_MG</t>
  </si>
  <si>
    <t>Shrubby deciduous wood by lake</t>
  </si>
  <si>
    <t>Quercus sect. Lobatae, Carya sp., Juglans sp., Querucs alba, Carex sp., Fraxinus sp., Eve's necklace</t>
  </si>
  <si>
    <t>MOR&lt;USA-IL&gt;: Samuels, NY_SSP_342_MG</t>
  </si>
  <si>
    <t>0111031MOR</t>
  </si>
  <si>
    <t>980CAF53-0AE6-4C41-B79F-AB20556FE0E5</t>
  </si>
  <si>
    <t>https://swbiodiversity.org/seinet/collections/individual/index.php?occid=34693532</t>
  </si>
  <si>
    <t>SYST-MOR-0007062</t>
  </si>
  <si>
    <t>SYST-MOR-0007062_S115_1.fq.gz</t>
  </si>
  <si>
    <t>SYST-MOR-0007062_S115_2.fq.gz</t>
  </si>
  <si>
    <t>QUE003826</t>
  </si>
  <si>
    <t>NY_SSP_343_MG</t>
  </si>
  <si>
    <t>Lakeside shrubby forest</t>
  </si>
  <si>
    <t>Common buckthorn, Acer sp., autumn olive, downy arrowwood</t>
  </si>
  <si>
    <t>MOR&lt;USA-IL&gt;: Samuels, NY_SSP_343_MG</t>
  </si>
  <si>
    <t>0111032MOR</t>
  </si>
  <si>
    <t>AECD7913-D9AD-41CB-B886-B4CF2DBB019F</t>
  </si>
  <si>
    <t>https://swbiodiversity.org/seinet/collections/individual/index.php?occid=34693594</t>
  </si>
  <si>
    <t>SYST-MOR-0007063</t>
  </si>
  <si>
    <t>SYST-MOR-0007063_S116_1.fq.gz</t>
  </si>
  <si>
    <t>SYST-MOR-0007063_S116_2.fq.gz</t>
  </si>
  <si>
    <t>QUE003827</t>
  </si>
  <si>
    <t>NY_SSP_344_MG</t>
  </si>
  <si>
    <t>Edge of lake and path, deciduous shrubby but not dense woodlands</t>
  </si>
  <si>
    <t>Buckeye, Quercus alba, Locust, Quercus sect. Lobatae, Carya sp., cherry, ironwood, Common buckthorn, Fraxinus sp., wisteria, autumn olive, eve's necklace, creeping snowberry, Ulmus sp.</t>
  </si>
  <si>
    <t>473 ft</t>
  </si>
  <si>
    <t>MOR&lt;USA-IL&gt;: Samuels, NY_SSP_344_MG</t>
  </si>
  <si>
    <t>0110974MOR</t>
  </si>
  <si>
    <t>22349288-2EEB-4D69-821F-0571786A2EBA</t>
  </si>
  <si>
    <t>https://swbiodiversity.org/seinet/collections/individual/index.php?occid=34693219</t>
  </si>
  <si>
    <t>SYST-MOR-0007064</t>
  </si>
  <si>
    <t>SYST-MOR-0007064_S117_1.fq.gz</t>
  </si>
  <si>
    <t>SYST-MOR-0007064_S117_2.fq.gz</t>
  </si>
  <si>
    <t>QUE003828</t>
  </si>
  <si>
    <t>NY_SSP_345_MG</t>
  </si>
  <si>
    <t>Edge of slope going to lake, shrubby deciduous woodlands strip</t>
  </si>
  <si>
    <t>Quercus alba, buckeye, common buckthorn, ironwood, Carex sp., Dogwood, roses, Fraxinus sp.</t>
  </si>
  <si>
    <t>483 ft</t>
  </si>
  <si>
    <t>MOR&lt;USA-IL&gt;: Samuels, NY_SSP_345_MG</t>
  </si>
  <si>
    <t>0110967MOR</t>
  </si>
  <si>
    <t>F6CCAAE9-93B4-49EF-B8C6-9B567B9698E5</t>
  </si>
  <si>
    <t>https://swbiodiversity.org/seinet/collections/individual/index.php?occid=34693775</t>
  </si>
  <si>
    <t>SYST-MOR-0007065</t>
  </si>
  <si>
    <t>SYST-MOR-0007065_S118_1.fq.gz</t>
  </si>
  <si>
    <t>SYST-MOR-0007065_S118_2.fq.gz</t>
  </si>
  <si>
    <t>QUE003829</t>
  </si>
  <si>
    <t>NY_SSP_346_MG</t>
  </si>
  <si>
    <t>Dense wooded deciduous forest</t>
  </si>
  <si>
    <t>basswood, Juglans sp., Juniperus sp., Vitis sp., Fraxinus sp., autumn olive, Virginia creeper, honeysuckle, white avens, Tall hairy agrimony, common buckthorn</t>
  </si>
  <si>
    <t>577 ft</t>
  </si>
  <si>
    <t>MOR&lt;USA-IL&gt;: Samuels, NY_SSP_346_MG</t>
  </si>
  <si>
    <t>0111426MOR</t>
  </si>
  <si>
    <t>7AB5C9A8-8EDC-4D91-8B93-B5AD7BE5C1C6</t>
  </si>
  <si>
    <t>https://swbiodiversity.org/seinet/collections/individual/index.php?occid=34693426</t>
  </si>
  <si>
    <t>SYST-MOR-0007066</t>
  </si>
  <si>
    <t>SYST-MOR-0007066_S119_1.fq.gz</t>
  </si>
  <si>
    <t>SYST-MOR-0007066_S119_2.fq.gz</t>
  </si>
  <si>
    <t>QUE003830</t>
  </si>
  <si>
    <t>NY_SSP_347_MG</t>
  </si>
  <si>
    <t>Roadside, dense shrubby forest</t>
  </si>
  <si>
    <t>Pinus strobus, Juniperus sp., Fraxinus sp., Vitis sp., dogwood, autumn olive</t>
  </si>
  <si>
    <t>MOR&lt;USA-IL&gt;: Samuels, NY_SSP_347_MG</t>
  </si>
  <si>
    <t>0111267MOR</t>
  </si>
  <si>
    <t>9519EFD0-D95E-414E-BAC8-9CE479284979</t>
  </si>
  <si>
    <t>https://swbiodiversity.org/seinet/collections/individual/index.php?occid=34693552</t>
  </si>
  <si>
    <t>SYST-MOR-0007067</t>
  </si>
  <si>
    <t>SYST-MOR-0007067_S120_1.fq.gz</t>
  </si>
  <si>
    <t>SYST-MOR-0007067_S120_2.fq.gz</t>
  </si>
  <si>
    <t>QUE003831</t>
  </si>
  <si>
    <t>NY_SSP_348_MG</t>
  </si>
  <si>
    <t>Roadside dense shrubby deciduous forest</t>
  </si>
  <si>
    <t>Basswood, Juglans sp., common buckthorn, Juniperus sp., Dogwood, poison ivy, Vitis sp., white avens, moss</t>
  </si>
  <si>
    <t>Seeds mature</t>
  </si>
  <si>
    <t>639 ft</t>
  </si>
  <si>
    <t>MOR&lt;USA-IL&gt;: Samuels, NY_SSP_348_MG</t>
  </si>
  <si>
    <t>0111429MOR</t>
  </si>
  <si>
    <t>8ECF4DFE-A56E-49A7-8D12-2DD59C99EEEB</t>
  </si>
  <si>
    <t>https://swbiodiversity.org/seinet/collections/individual/index.php?occid=34693565</t>
  </si>
  <si>
    <t>SYST-MOR-0007068</t>
  </si>
  <si>
    <t>SYST-MOR-0007068_S121_1.fq.gz</t>
  </si>
  <si>
    <t>SYST-MOR-0007068_S121_2.fq.gz</t>
  </si>
  <si>
    <t>QUE003832</t>
  </si>
  <si>
    <t>NY_SSP_349_MG</t>
  </si>
  <si>
    <t>Edge of dense woods with lots of shrubs and road</t>
  </si>
  <si>
    <t>Quercus macrocarpa, Fraxinus sp., Autumn olive, Vitis sp., common lilac, American aster</t>
  </si>
  <si>
    <t>568 ft</t>
  </si>
  <si>
    <t>MOR&lt;USA-IL&gt;: Samuels, NY_SSP_349_MG</t>
  </si>
  <si>
    <t>0111427MOR</t>
  </si>
  <si>
    <t>747F839D-B997-43E5-8C00-D49876386501</t>
  </si>
  <si>
    <t>https://swbiodiversity.org/seinet/collections/individual/index.php?occid=34693437</t>
  </si>
  <si>
    <t>SYST-MOR-0007069</t>
  </si>
  <si>
    <t>SYST-MOR-0007069_S122_1.fq.gz</t>
  </si>
  <si>
    <t>SYST-MOR-0007069_S122_2.fq.gz</t>
  </si>
  <si>
    <t>QUE003833</t>
  </si>
  <si>
    <t>NY_SSP_350_MG</t>
  </si>
  <si>
    <t>Edge of road and thick shrubby forest (dry)</t>
  </si>
  <si>
    <t>Fraxinus sp., common buckthorn, cottonwoods, Acer sp., Poison ivy, Vitis sp., Ulmus sp.</t>
  </si>
  <si>
    <t>MOR&lt;USA-IL&gt;: Samuels, NY_SSP_350_MG</t>
  </si>
  <si>
    <t>0111428MOR</t>
  </si>
  <si>
    <t>0EEE521E-9444-4215-8689-60F918BCEFBD</t>
  </si>
  <si>
    <t>https://swbiodiversity.org/seinet/collections/individual/index.php?occid=34693194</t>
  </si>
  <si>
    <t>SYST-MOR-0007070</t>
  </si>
  <si>
    <t>SYST-MOR-0007070_S123_1.fq.gz</t>
  </si>
  <si>
    <t>SYST-MOR-0007070_S123_2.fq.gz</t>
  </si>
  <si>
    <t>QUE003834</t>
  </si>
  <si>
    <t>NY_CMB_351_MG</t>
  </si>
  <si>
    <t>Jefferson</t>
  </si>
  <si>
    <t>Chaumont Barrens Nature Preserve</t>
  </si>
  <si>
    <t>Dense shrubby forest, dry, near barrens</t>
  </si>
  <si>
    <t>Carya ovata, Carya sp., Honeysuckle, Common buckthorn, Solomon's seal, Rosa sp.</t>
  </si>
  <si>
    <t>MOR&lt;USA-IL&gt;: Samuels, NY_CMB_351_MG</t>
  </si>
  <si>
    <t>0111421MOR</t>
  </si>
  <si>
    <t>B8C1F081-AC4E-4A5D-84D3-990829BD793F</t>
  </si>
  <si>
    <t>https://swbiodiversity.org/seinet/collections/individual/index.php?occid=34693604</t>
  </si>
  <si>
    <t>SYST-MOR-0007071</t>
  </si>
  <si>
    <t>SYST-MOR-0007071_S124_1.fq.gz</t>
  </si>
  <si>
    <t>SYST-MOR-0007071_S124_2.fq.gz</t>
  </si>
  <si>
    <t>QUE003835</t>
  </si>
  <si>
    <t>NY_CMB_352_MG</t>
  </si>
  <si>
    <t>Limestone deciduous forest</t>
  </si>
  <si>
    <t>Quercus macrocarpa, Pinus sp., Ulmus sp., Quercus sect. Lobatae, Carya ovata, Poison ivy, downy arrowwood, Rosa sp.</t>
  </si>
  <si>
    <t>398 ft</t>
  </si>
  <si>
    <t>MOR&lt;USA-IL&gt;: Samuels, NY_CMB_352_MG</t>
  </si>
  <si>
    <t>0111419MOR</t>
  </si>
  <si>
    <t>8B3B76FB-B24C-492D-ACB4-3E3E88223168</t>
  </si>
  <si>
    <t>https://swbiodiversity.org/seinet/collections/individual/index.php?occid=34693564</t>
  </si>
  <si>
    <t>SYST-MOR-0007072</t>
  </si>
  <si>
    <t>SYST-MOR-0007072_S125_1.fq.gz</t>
  </si>
  <si>
    <t>SYST-MOR-0007072_S125_2.fq.gz</t>
  </si>
  <si>
    <t>QUE003836</t>
  </si>
  <si>
    <t>NY_CMB_353_MG</t>
  </si>
  <si>
    <t>Deciduous limestone forest</t>
  </si>
  <si>
    <t>Quercus macrocarpa, common buckthorn, Pinus sp., Carya ovata, Poison ivy, Carex sp.</t>
  </si>
  <si>
    <t>387 ft</t>
  </si>
  <si>
    <t>MOR&lt;USA-IL&gt;: Samuels, NY_CMB_353_MG</t>
  </si>
  <si>
    <t>0111420MOR</t>
  </si>
  <si>
    <t>48B651C6-5776-4CD4-9FAD-0DC6D1F76A69</t>
  </si>
  <si>
    <t>https://swbiodiversity.org/seinet/collections/individual/index.php?occid=34693272</t>
  </si>
  <si>
    <t>SYST-MOR-0007073</t>
  </si>
  <si>
    <t>SYST-MOR-0007073_S126_1.fq.gz</t>
  </si>
  <si>
    <t>SYST-MOR-0007073_S126_2.fq.gz</t>
  </si>
  <si>
    <t>QUE003837</t>
  </si>
  <si>
    <t>NY_CMB_354_MG</t>
  </si>
  <si>
    <t>Rocky barrens, shrubby prairie</t>
  </si>
  <si>
    <t>Juniperus sp., Pinus sp., Buckthorn, Solomon's seal, Rubus sp.</t>
  </si>
  <si>
    <t>396 ft</t>
  </si>
  <si>
    <t>MOR&lt;USA-IL&gt;: Samuels, NY_CMB_354_MG</t>
  </si>
  <si>
    <t>0111424MOR</t>
  </si>
  <si>
    <t>11785C82-DED1-4B0D-BC7B-C13E03C77625</t>
  </si>
  <si>
    <t>https://swbiodiversity.org/seinet/collections/individual/index.php?occid=34693224</t>
  </si>
  <si>
    <t>SYST-MOR-0007074</t>
  </si>
  <si>
    <t>SYST-MOR-0007074_S127_1.fq.gz</t>
  </si>
  <si>
    <t>SYST-MOR-0007074_S127_2.fq.gz</t>
  </si>
  <si>
    <t>QUE003838</t>
  </si>
  <si>
    <t>NY_CMB_355_MG</t>
  </si>
  <si>
    <t>Quercus macrocarpa, Juniperus sp., Buckthorn, Quercus alba, Carya sp., Carex sp., downy arrowwood, dogwood, Rubus sp.</t>
  </si>
  <si>
    <t>388 ft</t>
  </si>
  <si>
    <t>MOR&lt;USA-IL&gt;: Samuels, NY_CMB_355_MG</t>
  </si>
  <si>
    <t>0110978MOR</t>
  </si>
  <si>
    <t>99650569-DB0B-4146-9033-2A19C7300FDD</t>
  </si>
  <si>
    <t>https://swbiodiversity.org/seinet/collections/individual/index.php?occid=34693514</t>
  </si>
  <si>
    <t>SYST-MOR-0007075</t>
  </si>
  <si>
    <t>SYST-MOR-0007075_S128_1.fq.gz</t>
  </si>
  <si>
    <t>SYST-MOR-0007075_S128_2.fq.gz</t>
  </si>
  <si>
    <t>QUE003839</t>
  </si>
  <si>
    <t>NY_CMB_356_MG</t>
  </si>
  <si>
    <t>Edge of deciduous limestone forest and grasslands</t>
  </si>
  <si>
    <t>Pinus sp., common juniper, Quercus sect. Lobatae, Buckthorn, honeysuckle, fragrant sumac, Solomon's plume</t>
  </si>
  <si>
    <t>MOR&lt;USA-IL&gt;: Samuels, NY_CMB_356_MG</t>
  </si>
  <si>
    <t>0111423MOR</t>
  </si>
  <si>
    <t>85A57280-391A-428E-8B46-3BBBDDAE99C2</t>
  </si>
  <si>
    <t>https://swbiodiversity.org/seinet/collections/individual/index.php?occid=34693517</t>
  </si>
  <si>
    <t>SYST-MOR-0007076</t>
  </si>
  <si>
    <t>SYST-MOR-0007076_S129_1.fq.gz</t>
  </si>
  <si>
    <t>SYST-MOR-0007076_S129_2.fq.gz</t>
  </si>
  <si>
    <t>QUE003840</t>
  </si>
  <si>
    <t>NY_CMB_357_MG</t>
  </si>
  <si>
    <t>Grasslands/ pavement barrens</t>
  </si>
  <si>
    <t>Buckthorn, Ulmus sp., honeysuckle, fragrant sumac, viburnum, common juniper</t>
  </si>
  <si>
    <t>389 ft</t>
  </si>
  <si>
    <t>MOR&lt;USA-IL&gt;: Samuels, NY_CMB_357_MG</t>
  </si>
  <si>
    <t>0110966MOR</t>
  </si>
  <si>
    <t>77E8F910-731E-4689-BE45-A87D9F830360</t>
  </si>
  <si>
    <t>https://swbiodiversity.org/seinet/collections/individual/index.php?occid=34693440</t>
  </si>
  <si>
    <t>SYST-MOR-0007077</t>
  </si>
  <si>
    <t>SYST-MOR-0007077_S130_1.fq.gz</t>
  </si>
  <si>
    <t>SYST-MOR-0007077_S130_2.fq.gz</t>
  </si>
  <si>
    <t>QUE003841</t>
  </si>
  <si>
    <t>NY_CMB_358_MG</t>
  </si>
  <si>
    <t>Pinus sp., Carya ovata, Tilia sp., Honeysuckle, juniper, Carex sp., buckthorn</t>
  </si>
  <si>
    <t>386 ft</t>
  </si>
  <si>
    <t>MOR&lt;USA-IL&gt;: Samuels, NY_CMB_358_MG</t>
  </si>
  <si>
    <t>0111039MOR</t>
  </si>
  <si>
    <t>84FD5C52-2D95-4F29-9A30-27CDEC2C35EF</t>
  </si>
  <si>
    <t>https://swbiodiversity.org/seinet/collections/individual/index.php?occid=34693500</t>
  </si>
  <si>
    <t>SYST-MOR-0007078</t>
  </si>
  <si>
    <t>SYST-MOR-0007078_S131_1.fq.gz</t>
  </si>
  <si>
    <t>SYST-MOR-0007078_S131_2.fq.gz</t>
  </si>
  <si>
    <t>QUE003842</t>
  </si>
  <si>
    <t>NY_CMB_359_MG</t>
  </si>
  <si>
    <t>Limestone deciduous and coniferous forest</t>
  </si>
  <si>
    <t>Quercus alba, Ulmus sp., buckthorn, Acer sp., Juniperus sp., Carya ovata, Fragrant sumac, Carex sp., honeysuckle, moss, Croton fruticulosus</t>
  </si>
  <si>
    <t>438 ft</t>
  </si>
  <si>
    <t>MOR&lt;USA-IL&gt;: Samuels, NY_CMB_359_MG</t>
  </si>
  <si>
    <t>0110968MOR</t>
  </si>
  <si>
    <t>41E72EC0-719B-4E05-ABB9-ECAAB648F4F3</t>
  </si>
  <si>
    <t>https://swbiodiversity.org/seinet/collections/individual/index.php?occid=34693265</t>
  </si>
  <si>
    <t>SYST-MOR-0007079</t>
  </si>
  <si>
    <t>SYST-MOR-0007079_S132_1.fq.gz</t>
  </si>
  <si>
    <t>SYST-MOR-0007079_S132_2.fq.gz</t>
  </si>
  <si>
    <t>QUE003843</t>
  </si>
  <si>
    <t>NY_CMB_360_MG</t>
  </si>
  <si>
    <t>Open deciduous limestone forest, very low foliage</t>
  </si>
  <si>
    <t>Carya sp., Acer sp., Quercus sect. Lobatae, Carex sp., Ulmus sp., Tilia sp., Large-leafed aster</t>
  </si>
  <si>
    <t>383 ft</t>
  </si>
  <si>
    <t>MOR&lt;USA-IL&gt;: Samuels, NY_CMB_360_MG</t>
  </si>
  <si>
    <t>0110969MOR</t>
  </si>
  <si>
    <t>F6FC411B-636B-4113-A878-89614078EDB4</t>
  </si>
  <si>
    <t>https://swbiodiversity.org/seinet/collections/individual/index.php?occid=34693738</t>
  </si>
  <si>
    <t>SYST-MOR-0007080</t>
  </si>
  <si>
    <t>SYST-MOR-0007080_S133_1.fq.gz</t>
  </si>
  <si>
    <t>SYST-MOR-0007080_S133_2.fq.gz</t>
  </si>
  <si>
    <t>QUE003844</t>
  </si>
  <si>
    <t>VT_DHT_361_MG</t>
  </si>
  <si>
    <t>Vermont</t>
  </si>
  <si>
    <t>Rutland</t>
  </si>
  <si>
    <t>Delaware Hudson Rail Trail</t>
  </si>
  <si>
    <t>Strip of deciduous forest with dense underbrush between road and trail</t>
  </si>
  <si>
    <t>Populus sp., Pinus sp., cherry, Sensitive fern, coralberry, alder buckthorn, Ulmus sp.</t>
  </si>
  <si>
    <t>587 ft</t>
  </si>
  <si>
    <t>MOR&lt;USA-IL&gt;: Samuels, VT_DHT_361_MG</t>
  </si>
  <si>
    <t>0110963MOR</t>
  </si>
  <si>
    <t>29E52881-977F-4E67-A4BC-E67A6763A732</t>
  </si>
  <si>
    <t>https://swbiodiversity.org/seinet/collections/individual/index.php?occid=34693207</t>
  </si>
  <si>
    <t>SYST-MOR-0007081</t>
  </si>
  <si>
    <t>SYST-MOR-0007081_S134_1.fq.gz</t>
  </si>
  <si>
    <t>SYST-MOR-0007081_S134_2.fq.gz</t>
  </si>
  <si>
    <t>QUE003845</t>
  </si>
  <si>
    <t>VT_DHT_362_MG</t>
  </si>
  <si>
    <t>Deciduous woods with dense foliage</t>
  </si>
  <si>
    <t>Acer sp., Virgins bower, Virginia creeper, lady fern, dogwood, goldenrod</t>
  </si>
  <si>
    <t>479 ft</t>
  </si>
  <si>
    <t>MOR&lt;USA-IL&gt;: Samuels, VT_DHT_362_MG</t>
  </si>
  <si>
    <t>0111445MOR</t>
  </si>
  <si>
    <t>49D71264-8EE5-4A4C-AFED-BE0C2876B4EF</t>
  </si>
  <si>
    <t>https://swbiodiversity.org/seinet/collections/individual/index.php?occid=34693357</t>
  </si>
  <si>
    <t>SYST-MOR-0007082</t>
  </si>
  <si>
    <t>SYST-MOR-0007082_S135_1.fq.gz</t>
  </si>
  <si>
    <t>SYST-MOR-0007082_S135_2.fq.gz</t>
  </si>
  <si>
    <t>QUE003846</t>
  </si>
  <si>
    <t>VT_DHT_363_MG</t>
  </si>
  <si>
    <t>Dense deciduous forest</t>
  </si>
  <si>
    <t>Pinus sp., Ulmus sp., Carya ovata, Fraxinus sp., Lady fern, New York fern, large-leafed aster, sensitive fern, wild sarsaparilla</t>
  </si>
  <si>
    <t>492 ft</t>
  </si>
  <si>
    <t>MOR&lt;USA-IL&gt;: Samuels, VT_DHT_363_MG</t>
  </si>
  <si>
    <t>0111444MOR</t>
  </si>
  <si>
    <t>780120C1-152C-4EB8-A64B-F482ECBA9812</t>
  </si>
  <si>
    <t>https://swbiodiversity.org/seinet/collections/individual/index.php?occid=34693442</t>
  </si>
  <si>
    <t>SYST-MOR-0007083</t>
  </si>
  <si>
    <t>SYST-MOR-0007083_S136_1.fq.gz</t>
  </si>
  <si>
    <t>SYST-MOR-0007083_S136_2.fq.gz</t>
  </si>
  <si>
    <t>QUE003847</t>
  </si>
  <si>
    <t>VT_DHT_364_MG</t>
  </si>
  <si>
    <t>Dense deciduous forest near trails</t>
  </si>
  <si>
    <t>Acer sp., Populus sp., Quercus sect. Lobatae, Fraxinus sp., Pinus sp., Ulmus sp., cherry, Sensitive fern, cinnamon fern, alder, buckthorn, hickory</t>
  </si>
  <si>
    <t>MOR&lt;USA-IL&gt;: Samuels, VT_DHT_364_MG</t>
  </si>
  <si>
    <t>0110965MOR</t>
  </si>
  <si>
    <t>3F926D93-691C-41F6-8E98-61F3F5CBC4FB</t>
  </si>
  <si>
    <t>https://swbiodiversity.org/seinet/collections/individual/index.php?occid=34693286</t>
  </si>
  <si>
    <t>SYST-MOR-0007084</t>
  </si>
  <si>
    <t>SYST-MOR-0007084_S137_1.fq.gz</t>
  </si>
  <si>
    <t>SYST-MOR-0007084_S137_2.fq.gz</t>
  </si>
  <si>
    <t>QUE003848</t>
  </si>
  <si>
    <t>VT_DHT_365_MG</t>
  </si>
  <si>
    <t>Deciduous forest</t>
  </si>
  <si>
    <t>Pinus sp., Ulmus sp., Fraxinus sp., Populus sp., Quercus sect. Lobatae, lady fern, cinnamon fern, dogwood, sensitive fern</t>
  </si>
  <si>
    <t>MOR&lt;USA-IL&gt;: Samuels, VT_DHT_365_MG</t>
  </si>
  <si>
    <t>0111447MOR</t>
  </si>
  <si>
    <t>A4DB2DB9-9BF3-40C0-BEA2-9CAE69745B35</t>
  </si>
  <si>
    <t>https://swbiodiversity.org/seinet/collections/individual/index.php?occid=34693654</t>
  </si>
  <si>
    <t>SYST-MOR-0007085</t>
  </si>
  <si>
    <t>SYST-MOR-0007085_S138_1.fq.gz</t>
  </si>
  <si>
    <t>SYST-MOR-0007085_S138_2.fq.gz</t>
  </si>
  <si>
    <t>QUE003849</t>
  </si>
  <si>
    <t>VT_DHT_366_MG</t>
  </si>
  <si>
    <t>Strip of deciduous woodlands with dense foliage between trail and farmland</t>
  </si>
  <si>
    <t>willow, Populus sp., Quercus macrocarpa, cherry, Sensitive fern, cinnamon fern, dogwood, alder buckthorn, purple-flowered raspberry</t>
  </si>
  <si>
    <t>MOR&lt;USA-IL&gt;: Samuels, VT_DHT_366_MG</t>
  </si>
  <si>
    <t>0111448MOR</t>
  </si>
  <si>
    <t>F6231B9F-DC36-46B4-8469-63B5AC14F128</t>
  </si>
  <si>
    <t>https://swbiodiversity.org/seinet/collections/individual/index.php?occid=34693774</t>
  </si>
  <si>
    <t>SYST-MOR-0007086</t>
  </si>
  <si>
    <t>SYST-MOR-0007086_S139_1.fq.gz</t>
  </si>
  <si>
    <t>SYST-MOR-0007086_S139_2.fq.gz</t>
  </si>
  <si>
    <t>QUE003850</t>
  </si>
  <si>
    <t>VT_DHT_367_MG</t>
  </si>
  <si>
    <t>Edge of shrubby forest patch</t>
  </si>
  <si>
    <t>Populus sp., Sensitive fern, clover, Virginia creeper, buckthorn, cinnamon fern, Rubus sp., grass, lady fern</t>
  </si>
  <si>
    <t>475 ft</t>
  </si>
  <si>
    <t>MOR&lt;USA-IL&gt;: Samuels, VT_DHT_367_MG</t>
  </si>
  <si>
    <t>0108151MOR</t>
  </si>
  <si>
    <t>740E5A2D-7238-48CF-893E-D1F07962E8D7</t>
  </si>
  <si>
    <t>https://swbiodiversity.org/seinet/collections/individual/index.php?occid=34693419</t>
  </si>
  <si>
    <t>SYST-MOR-0007087</t>
  </si>
  <si>
    <t>SYST-MOR-0007087_S140_1.fq.gz</t>
  </si>
  <si>
    <t>SYST-MOR-0007087_S140_2.fq.gz</t>
  </si>
  <si>
    <t>QUE003851</t>
  </si>
  <si>
    <t>VT_DHT_368_MG</t>
  </si>
  <si>
    <t>Edge of dense brush</t>
  </si>
  <si>
    <t>Acer sp., apples, Sensitive fern, goldenrods, Populus sp., buckthorn, Rubus sp., common yarrow, bedstraws, American groundnut</t>
  </si>
  <si>
    <t>467 ft</t>
  </si>
  <si>
    <t>MOR&lt;USA-IL&gt;: Samuels, VT_DHT_368_MG</t>
  </si>
  <si>
    <t>0111446MOR</t>
  </si>
  <si>
    <t>2714F868-C28C-4C71-AB66-A4B008737C6C</t>
  </si>
  <si>
    <t>https://swbiodiversity.org/seinet/collections/individual/index.php?occid=34693237</t>
  </si>
  <si>
    <t>SYST-MOR-0007088</t>
  </si>
  <si>
    <t>SYST-MOR-0007088_S141_1.fq.gz</t>
  </si>
  <si>
    <t>SYST-MOR-0007088_S141_2.fq.gz</t>
  </si>
  <si>
    <t>QUE003852</t>
  </si>
  <si>
    <t>VT_DHT_369_MG</t>
  </si>
  <si>
    <t>Quercus sect. Lobatae, Populus sp., Purple-flowered raspberry, sensitive fern, Virgina's bower, cinnamon fern, alder, buckthorn, lady fern</t>
  </si>
  <si>
    <t>514 ft</t>
  </si>
  <si>
    <t>MOR&lt;USA-IL&gt;: Samuels, VT_DHT_369_MG</t>
  </si>
  <si>
    <t>0110964MOR</t>
  </si>
  <si>
    <t>DE66489C-7DC3-49D8-9C3D-E2258973D726</t>
  </si>
  <si>
    <t>https://swbiodiversity.org/seinet/collections/individual/index.php?occid=34693171</t>
  </si>
  <si>
    <t>SYST-MOR-0007089</t>
  </si>
  <si>
    <t>SYST-MOR-0007089_S142_1.fq.gz</t>
  </si>
  <si>
    <t>SYST-MOR-0007089_S142_2.fq.gz</t>
  </si>
  <si>
    <t>QUE003853</t>
  </si>
  <si>
    <t>NY_BKF_370_MG</t>
  </si>
  <si>
    <t>Quercus montana</t>
  </si>
  <si>
    <t>Washington</t>
  </si>
  <si>
    <t>Batten Kill State Forest</t>
  </si>
  <si>
    <t>Edge of prairie and deciduous forest with little foliage, on a hill</t>
  </si>
  <si>
    <t>Quercus montana, Ulmus sp., Goldenrod</t>
  </si>
  <si>
    <t>Quercus montana Willd.</t>
  </si>
  <si>
    <t>705 ft</t>
  </si>
  <si>
    <t>MOR&lt;USA-IL&gt;: Samuels, NY_BKF_370_MG</t>
  </si>
  <si>
    <t>0111254MOR</t>
  </si>
  <si>
    <t>FD11D7C5-695A-4DFF-AAA7-23CC34604970</t>
  </si>
  <si>
    <t>https://swbiodiversity.org/seinet/collections/individual/index.php?occid=34693760</t>
  </si>
  <si>
    <t>SYST-MOR-0007090</t>
  </si>
  <si>
    <t>SYST-MOR-0007090_S143_1.fq.gz</t>
  </si>
  <si>
    <t>SYST-MOR-0007090_S143_2.fq.gz</t>
  </si>
  <si>
    <t>QUE003854</t>
  </si>
  <si>
    <t>NY_BKF_371_MG</t>
  </si>
  <si>
    <t>Forest with little foliage in watershed</t>
  </si>
  <si>
    <t>Ulmus sp., Pinus sp., Acer sp., American beech, Striped maple, hobble bush, Fraxinus sp.</t>
  </si>
  <si>
    <t>875 ft</t>
  </si>
  <si>
    <t>MOR&lt;USA-IL&gt;: Samuels, NY_BKF_371_MG</t>
  </si>
  <si>
    <t>0110976MOR</t>
  </si>
  <si>
    <t>2DFC834E-8CE0-48AA-AA48-CA9BBCBB08A1</t>
  </si>
  <si>
    <t>https://swbiodiversity.org/seinet/collections/individual/index.php?occid=34693276</t>
  </si>
  <si>
    <t>SYST-MOR-0007091</t>
  </si>
  <si>
    <t>SYST-MOR-0007091_S144_1.fq.gz</t>
  </si>
  <si>
    <t>SYST-MOR-0007091_S144_2.fq.gz</t>
  </si>
  <si>
    <t>QUE003855</t>
  </si>
  <si>
    <t>NY_BKF_372_MG</t>
  </si>
  <si>
    <t>Open hillside forest, little foliage</t>
  </si>
  <si>
    <t>Quercus montana, Pinus sp., American beech, striped maple, blue ridge blueberry, Rosaceae</t>
  </si>
  <si>
    <t>943 ft</t>
  </si>
  <si>
    <t>MOR&lt;USA-IL&gt;: Samuels, NY_BKF_372_MG</t>
  </si>
  <si>
    <t>0111253MOR</t>
  </si>
  <si>
    <t>7FFB194F-602D-4521-B267-5DC0F6BBE326</t>
  </si>
  <si>
    <t>https://swbiodiversity.org/seinet/collections/individual/index.php?occid=34693472</t>
  </si>
  <si>
    <t>SYST-MOR-0007092</t>
  </si>
  <si>
    <t>SYST-MOR-0007092_S145_1.fq.gz</t>
  </si>
  <si>
    <t>SYST-MOR-0007092_S145_2.fq.gz</t>
  </si>
  <si>
    <t>QUE003856</t>
  </si>
  <si>
    <t>NY_BKF_373_MG</t>
  </si>
  <si>
    <t>Low foliage hillside forest</t>
  </si>
  <si>
    <t>Quercus montana, Acer sp., Pinus sp., Ulmus sp., striped maple, American beech, blueberry</t>
  </si>
  <si>
    <t>998 ft</t>
  </si>
  <si>
    <t>MOR&lt;USA-IL&gt;: Samuels, NY_BKF_373_MG</t>
  </si>
  <si>
    <t>0111251MOR</t>
  </si>
  <si>
    <t>8AB9BCB6-F11F-4115-8E99-E27FBF32D642</t>
  </si>
  <si>
    <t>https://swbiodiversity.org/seinet/collections/individual/index.php?occid=34693543</t>
  </si>
  <si>
    <t>SYST-MOR-0007093</t>
  </si>
  <si>
    <t>SYST-MOR-0007093_S146_1.fq.gz</t>
  </si>
  <si>
    <t>SYST-MOR-0007093_S146_2.fq.gz</t>
  </si>
  <si>
    <t>QUE003857</t>
  </si>
  <si>
    <t>NY_BKF_374_MG</t>
  </si>
  <si>
    <t>Low foliage forest on hillside</t>
  </si>
  <si>
    <t>Quercus montana, Ulmus sp., Acer sp., Quercus sect. Lobatae, American beech, blueberry, striped maple</t>
  </si>
  <si>
    <t>1124 ft</t>
  </si>
  <si>
    <t>MOR&lt;USA-IL&gt;: Samuels, NY_BKF_374_MG</t>
  </si>
  <si>
    <t>0111250MOR</t>
  </si>
  <si>
    <t>F735E878-1253-4544-878A-46AE6512E586</t>
  </si>
  <si>
    <t>https://swbiodiversity.org/seinet/collections/individual/index.php?occid=34693739</t>
  </si>
  <si>
    <t>SYST-MOR-0007094</t>
  </si>
  <si>
    <t>SYST-MOR-0007094_S147_1.fq.gz</t>
  </si>
  <si>
    <t>SYST-MOR-0007094_S147_2.fq.gz</t>
  </si>
  <si>
    <t>QUE003858</t>
  </si>
  <si>
    <t>NY_BKF_375_MG</t>
  </si>
  <si>
    <t>Hillside forest with very little underbrush</t>
  </si>
  <si>
    <t>Beech, Acer sp., Quercus sect. Lobatae, Blueberry, Quercus montana</t>
  </si>
  <si>
    <t>1198 ft</t>
  </si>
  <si>
    <t>MOR&lt;USA-IL&gt;: Samuels, NY_BKF_375_MG</t>
  </si>
  <si>
    <t>0111252MOR</t>
  </si>
  <si>
    <t>9C3727A7-E7D9-4C13-B07B-0235C70A0015</t>
  </si>
  <si>
    <t>https://swbiodiversity.org/seinet/collections/individual/index.php?occid=34693556</t>
  </si>
  <si>
    <t>SYST-MOR-0007095</t>
  </si>
  <si>
    <t>SYST-MOR-0007095_S148_1.fq.gz</t>
  </si>
  <si>
    <t>SYST-MOR-0007095_S148_2.fq.gz</t>
  </si>
  <si>
    <t>QUE003859</t>
  </si>
  <si>
    <t>NY_APB_377_MG</t>
  </si>
  <si>
    <t>Albany</t>
  </si>
  <si>
    <t>Albany Pine Bush Preserve</t>
  </si>
  <si>
    <t>Pine barrens oak shrub</t>
  </si>
  <si>
    <t>Populus sp., Pinus sp., Quercus sect. Quercus, Quercus prinoides, blueberries, dogwoods</t>
  </si>
  <si>
    <t>328 ft</t>
  </si>
  <si>
    <t>MOR&lt;USA-IL&gt;: Samuels, NY_APB_377_MG</t>
  </si>
  <si>
    <t>0111213MOR</t>
  </si>
  <si>
    <t>35318201-5D31-489D-A94F-D375B2605FEE</t>
  </si>
  <si>
    <t>https://swbiodiversity.org/seinet/collections/individual/index.php?occid=34693304</t>
  </si>
  <si>
    <t>SYST-MOR-0007096</t>
  </si>
  <si>
    <t>SYST-MOR-0007096_S149_1.fq.gz</t>
  </si>
  <si>
    <t>SYST-MOR-0007096_S149_2.fq.gz</t>
  </si>
  <si>
    <t>QUE003860</t>
  </si>
  <si>
    <t>NY_APB_376_MG</t>
  </si>
  <si>
    <t>Oak brush pibe barrens, sandy soil</t>
  </si>
  <si>
    <t>Quercus alba, Quercus sect. Lobatae, American hazelnut, Virginia creeper, blueberry, black cherry, Acer sp.</t>
  </si>
  <si>
    <t>334 ft</t>
  </si>
  <si>
    <t>MOR&lt;USA-IL&gt;: Samuels, NY_APB_376_MG</t>
  </si>
  <si>
    <t>0110970MOR</t>
  </si>
  <si>
    <t>F3EBCF94-6EE8-45BB-A415-9CF057C6BD01</t>
  </si>
  <si>
    <t>https://swbiodiversity.org/seinet/collections/individual/index.php?occid=34693735</t>
  </si>
  <si>
    <t>SYST-MOR-0007097</t>
  </si>
  <si>
    <t>SYST-MOR-0007097_S150_1.fq.gz</t>
  </si>
  <si>
    <t>SYST-MOR-0007097_S150_2.fq.gz</t>
  </si>
  <si>
    <t>QUE003861</t>
  </si>
  <si>
    <t>NY_APB_378_MG</t>
  </si>
  <si>
    <t>Sandy pine barrens, oak brush</t>
  </si>
  <si>
    <t>black cherry, Quercus sect. Lobatae, Acer sp., Chokeberries, blueberries</t>
  </si>
  <si>
    <t>MOR&lt;USA-IL&gt;: Samuels, NY_APB_378_MG</t>
  </si>
  <si>
    <t>0111212MOR</t>
  </si>
  <si>
    <t>D60FCF82-05C9-4DDC-97C6-C2BB33E24836</t>
  </si>
  <si>
    <t>https://swbiodiversity.org/seinet/collections/individual/index.php?occid=34693718</t>
  </si>
  <si>
    <t>SYST-MOR-0007098</t>
  </si>
  <si>
    <t>SYST-MOR-0007098_S151_1.fq.gz</t>
  </si>
  <si>
    <t>SYST-MOR-0007098_S151_2.fq.gz</t>
  </si>
  <si>
    <t>QUE003862</t>
  </si>
  <si>
    <t>NY_APB_379_MG</t>
  </si>
  <si>
    <t>Sand pine barrens, oak shrub</t>
  </si>
  <si>
    <t>Quercus sect. Lobatae, black cherry, Quercus prinoides, dogwood, Acer sp., blueberry,</t>
  </si>
  <si>
    <t>340 ft</t>
  </si>
  <si>
    <t>MOR&lt;USA-IL&gt;: Samuels, NY_APB_379_MG</t>
  </si>
  <si>
    <t>0111211MOR</t>
  </si>
  <si>
    <t>1E90AFEA-5013-4270-ABD2-AA6D0DD3C2C2</t>
  </si>
  <si>
    <t>https://swbiodiversity.org/seinet/collections/individual/index.php?occid=34693215</t>
  </si>
  <si>
    <t>SYST-MOR-0007099</t>
  </si>
  <si>
    <t>SYST-MOR-0007099_S152_1.fq.gz</t>
  </si>
  <si>
    <t>SYST-MOR-0007099_S152_2.fq.gz</t>
  </si>
  <si>
    <t>QUE003863</t>
  </si>
  <si>
    <t>NY_APB_380_MG</t>
  </si>
  <si>
    <t>Oak shrub barrens</t>
  </si>
  <si>
    <t>Quercus prinoides, blueberry, sweet fern</t>
  </si>
  <si>
    <t>MOR&lt;USA-IL&gt;: Samuels, NY_APB_380_MG</t>
  </si>
  <si>
    <t>0111210MOR</t>
  </si>
  <si>
    <t>F4E717FA-047B-4DEF-98F3-17B329E793C1</t>
  </si>
  <si>
    <t>https://swbiodiversity.org/seinet/collections/individual/index.php?occid=34693792</t>
  </si>
  <si>
    <t>SYST-MOR-0007100</t>
  </si>
  <si>
    <t>SYST-MOR-0007100_S153_1.fq.gz</t>
  </si>
  <si>
    <t>SYST-MOR-0007100_S153_2.fq.gz</t>
  </si>
  <si>
    <t>QUE003864</t>
  </si>
  <si>
    <t>NY_APB_381_MG</t>
  </si>
  <si>
    <t>Oak brush barrens sandy</t>
  </si>
  <si>
    <t>Quercus alba, Quercus sect. Lobatae, Quercus prinoides, common bracken, blueberry, bear oak</t>
  </si>
  <si>
    <t>357 ft</t>
  </si>
  <si>
    <t>MOR&lt;USA-IL&gt;: Samuels, NY_APB_381_MG</t>
  </si>
  <si>
    <t>0110971MOR</t>
  </si>
  <si>
    <t>DB147BCD-F0A5-433A-A005-428369B9529C</t>
  </si>
  <si>
    <t>https://swbiodiversity.org/seinet/collections/individual/index.php?occid=34693165</t>
  </si>
  <si>
    <t>SYST-MOR-0007101</t>
  </si>
  <si>
    <t>SYST-MOR-0007101_S154_1.fq.gz</t>
  </si>
  <si>
    <t>SYST-MOR-0007101_S154_2.fq.gz</t>
  </si>
  <si>
    <t>QUE003865</t>
  </si>
  <si>
    <t>NY_APB_382_MG</t>
  </si>
  <si>
    <t>Oak brush barrens, sandy</t>
  </si>
  <si>
    <t>Pinus sp., Quercus sect. Lobatae, Blueberry, bear oak, Quercus prinoides, fern</t>
  </si>
  <si>
    <t>332 ft</t>
  </si>
  <si>
    <t>MOR&lt;USA-IL&gt;: Samuels, NY_APB_382_MG</t>
  </si>
  <si>
    <t>0110972MOR</t>
  </si>
  <si>
    <t>629043CB-954E-418D-8541-F8AE165E8598</t>
  </si>
  <si>
    <t>https://swbiodiversity.org/seinet/collections/individual/index.php?occid=34693371</t>
  </si>
  <si>
    <t>SYST-MOR-0007102</t>
  </si>
  <si>
    <t>SYST-MOR-0007102_S155_1.fq.gz</t>
  </si>
  <si>
    <t>SYST-MOR-0007102_S155_2.fq.gz</t>
  </si>
  <si>
    <t>QUE003866</t>
  </si>
  <si>
    <t>NY_APB_383_MG</t>
  </si>
  <si>
    <t>Sandy oak shrub pine barrens</t>
  </si>
  <si>
    <t>Quercus alba, Quercus sect. Lobatae, Blueberry, Quercus prinoides, Blackberry, dogwood, red oak</t>
  </si>
  <si>
    <t>341 ft</t>
  </si>
  <si>
    <t>MOR&lt;USA-IL&gt;: Samuels, NY_APB_383_MG</t>
  </si>
  <si>
    <t>0110973MOR</t>
  </si>
  <si>
    <t>7F83F83A-87BB-4378-9CD0-CAE8020D9AA0</t>
  </si>
  <si>
    <t>https://swbiodiversity.org/seinet/collections/individual/index.php?occid=34693471</t>
  </si>
  <si>
    <t>SYST-MOR-0007103</t>
  </si>
  <si>
    <t>SYST-MOR-0007103_S156_1.fq.gz</t>
  </si>
  <si>
    <t>SYST-MOR-0007103_S156_2.fq.gz</t>
  </si>
  <si>
    <t>QUE003867</t>
  </si>
  <si>
    <t>NY_APB_384_MG</t>
  </si>
  <si>
    <t>Sandy oak brush barrens</t>
  </si>
  <si>
    <t>Quercus alba, Quercus sect. Lobatae, Quercus prinoides, bear oak, blueberry, horseweed, fireweed</t>
  </si>
  <si>
    <t>342 ft</t>
  </si>
  <si>
    <t>MOR&lt;USA-IL&gt;: Samuels, NY_APB_384_MG</t>
  </si>
  <si>
    <t>0111209MOR</t>
  </si>
  <si>
    <t>DA6C3C75-6AFA-49BA-810F-2BCFB105E6EE</t>
  </si>
  <si>
    <t>https://swbiodiversity.org/seinet/collections/individual/index.php?occid=34693161</t>
  </si>
  <si>
    <t>SYST-MOR-0007104</t>
  </si>
  <si>
    <t>SYST-MOR-0007104_S157_1.fq.gz</t>
  </si>
  <si>
    <t>SYST-MOR-0007104_S157_2.fq.gz</t>
  </si>
  <si>
    <t>QUE003868</t>
  </si>
  <si>
    <t>NY_BKF_385_MG</t>
  </si>
  <si>
    <t>Ridge line deciduous forest</t>
  </si>
  <si>
    <t>Acer sp., Quercus montana, Striped maple, Ulmus sp., fern, Grass</t>
  </si>
  <si>
    <t>1641 ft</t>
  </si>
  <si>
    <t>MOR&lt;USA-IL&gt;: Samuels, NY_BKF_385_MG</t>
  </si>
  <si>
    <t>0111041MOR</t>
  </si>
  <si>
    <t>724E0C03-3CBF-4D2D-97B6-266DC33ACA37</t>
  </si>
  <si>
    <t>https://swbiodiversity.org/seinet/collections/individual/index.php?occid=34693465</t>
  </si>
  <si>
    <t>SYST-MOR-0007105</t>
  </si>
  <si>
    <t>SYST-MOR-0007105_S158_1.fq.gz</t>
  </si>
  <si>
    <t>SYST-MOR-0007105_S158_2.fq.gz</t>
  </si>
  <si>
    <t>QUE003869</t>
  </si>
  <si>
    <t>MA_BTC_386_MG</t>
  </si>
  <si>
    <t>Massachusetts</t>
  </si>
  <si>
    <t>Berkshire</t>
  </si>
  <si>
    <t>Bartholomew's Cobble</t>
  </si>
  <si>
    <t>South cobble, hillside forest</t>
  </si>
  <si>
    <t>Pinus sp., Platanus sp.,  Carya sp., Poison ivy, honeysuckle, prickly ash, Dryopteris sp., Virginia creeper, basswood, garlic mustard</t>
  </si>
  <si>
    <t>MOR&lt;USA-IL&gt;: Samuels, MA_BTC_386_MG</t>
  </si>
  <si>
    <t>0111154MOR</t>
  </si>
  <si>
    <t>09ECCCBD-FB1C-4CA9-AD44-10986D658FA5</t>
  </si>
  <si>
    <t>https://swbiodiversity.org/seinet/collections/individual/index.php?occid=34693188</t>
  </si>
  <si>
    <t>SYST-MOR-0007106</t>
  </si>
  <si>
    <t>SYST-MOR-0007106_S159_1.fq.gz</t>
  </si>
  <si>
    <t>SYST-MOR-0007106_S159_2.fq.gz</t>
  </si>
  <si>
    <t>QUE003870</t>
  </si>
  <si>
    <t>MA_BTC_387_MG</t>
  </si>
  <si>
    <t>Hilltop forest, south cobble</t>
  </si>
  <si>
    <t>Ulmus sp., Juniperus sp., Pinus sp., Carya sp., prickly ash, Solomon's seal, partridge berry, Asteraceae, common buckthorn</t>
  </si>
  <si>
    <t>MOR&lt;USA-IL&gt;: Samuels, MA_BTC_387_MG</t>
  </si>
  <si>
    <t>0111155MOR</t>
  </si>
  <si>
    <t>A97C0060-25C3-4D4E-937B-F8EB424256EB</t>
  </si>
  <si>
    <t>https://swbiodiversity.org/seinet/collections/individual/index.php?occid=34693634</t>
  </si>
  <si>
    <t>SYST-MOR-0007107</t>
  </si>
  <si>
    <t>SYST-MOR-0007107_S160_1.fq.gz</t>
  </si>
  <si>
    <t>SYST-MOR-0007107_S160_2.fq.gz</t>
  </si>
  <si>
    <t>QUE003871</t>
  </si>
  <si>
    <t>MA_BTC_388_MG</t>
  </si>
  <si>
    <t>South cobble hilltop forest</t>
  </si>
  <si>
    <t>Juniperus sp., Pinus sp., Tilia sp., Carya sp., Buckthorn, Solomon's seal, prickly ash, Virginia creeper, Hepatica sp.</t>
  </si>
  <si>
    <t>MOR&lt;USA-IL&gt;: Samuels, MA_BTC_388_MG</t>
  </si>
  <si>
    <t>0111156MOR</t>
  </si>
  <si>
    <t>692F7170-A879-4C1F-8288-BF091C3C491A</t>
  </si>
  <si>
    <t>https://swbiodiversity.org/seinet/collections/individual/index.php?occid=34693415</t>
  </si>
  <si>
    <t>SYST-MOR-0007108</t>
  </si>
  <si>
    <t>SYST-MOR-0007108_S161_1.fq.gz</t>
  </si>
  <si>
    <t>SYST-MOR-0007108_S161_2.fq.gz</t>
  </si>
  <si>
    <t>QUE003872</t>
  </si>
  <si>
    <t>MA_BTC_389_MG</t>
  </si>
  <si>
    <t>Deciduous forest south cobble</t>
  </si>
  <si>
    <t>Ulmus sp., red oak, Juniper, Carya sp., buckthorn, Canada mayflower, prickly gooseberry, Solomon's seal</t>
  </si>
  <si>
    <t>MOR&lt;USA-IL&gt;: Samuels, MA_BTC_389_MG</t>
  </si>
  <si>
    <t>0111037MOR</t>
  </si>
  <si>
    <t>6BF34DDB-F236-4D0D-B429-B7BCF8A45BCB</t>
  </si>
  <si>
    <t>https://swbiodiversity.org/seinet/collections/individual/index.php?occid=34693476</t>
  </si>
  <si>
    <t>SYST-MOR-0007109</t>
  </si>
  <si>
    <t>SYST-MOR-0007109_S162_1.fq.gz</t>
  </si>
  <si>
    <t>SYST-MOR-0007109_S162_2.fq.gz</t>
  </si>
  <si>
    <t>QUE003873</t>
  </si>
  <si>
    <t>MA_BTC_390_MG</t>
  </si>
  <si>
    <t>Hillside forest, south cobble</t>
  </si>
  <si>
    <t>Fraxinus sp., Quercus muehlenbergii, Juniper, Common buckthorn, poison ivy, Solomon's seal, Herb Robert, columbine, privet</t>
  </si>
  <si>
    <t>MOR&lt;USA-IL&gt;: Samuels, MA_BTC_390_MG</t>
  </si>
  <si>
    <t>0111157MOR</t>
  </si>
  <si>
    <t>CCA5237F-083E-4886-8C6E-AC685EE0513D</t>
  </si>
  <si>
    <t>https://swbiodiversity.org/seinet/collections/individual/index.php?occid=34693682</t>
  </si>
  <si>
    <t>SYST-MOR-0007110</t>
  </si>
  <si>
    <t>SYST-MOR-0007110_S163_1.fq.gz</t>
  </si>
  <si>
    <t>SYST-MOR-0007110_S163_2.fq.gz</t>
  </si>
  <si>
    <t>QUE003874</t>
  </si>
  <si>
    <t>MA_BTC_391_MG</t>
  </si>
  <si>
    <t>Juniperus sp., Carya sp., common buckthorn, Solomon's seal, basswood, Dryopteris sp., Poison ivy, Vitis sp.</t>
  </si>
  <si>
    <t>MOR&lt;USA-IL&gt;: Samuels, MA_BTC_391_MG</t>
  </si>
  <si>
    <t>0111158MOR</t>
  </si>
  <si>
    <t>649A8205-6B55-40A3-B31E-2E3C8ACE32C6</t>
  </si>
  <si>
    <t>https://swbiodiversity.org/seinet/collections/individual/index.php?occid=34693407</t>
  </si>
  <si>
    <t>SYST-MOR-0007111</t>
  </si>
  <si>
    <t>SYST-MOR-0007111_S164_1.fq.gz</t>
  </si>
  <si>
    <t>SYST-MOR-0007111_S164_2.fq.gz</t>
  </si>
  <si>
    <t>QUE003875</t>
  </si>
  <si>
    <t>MA_BTC_392_MG</t>
  </si>
  <si>
    <t>Cobble, forest with lots of shrubs</t>
  </si>
  <si>
    <t>Juniperus sp., Acer sp., Celtis sp., Ulmus sp., Solomon's seal, Fraxinus sp., poison ivy, Asteraceae, Dryopteris marginalis, Menispermum canadense, buckthorn</t>
  </si>
  <si>
    <t>MOR&lt;USA-IL&gt;: Samuels, MA_BTC_392_MG</t>
  </si>
  <si>
    <t>0111435MOR</t>
  </si>
  <si>
    <t>55F67A17-2096-440A-B258-852797756DFF</t>
  </si>
  <si>
    <t>https://swbiodiversity.org/seinet/collections/individual/index.php?occid=34693397</t>
  </si>
  <si>
    <t>SYST-MOR-0007112</t>
  </si>
  <si>
    <t>SYST-MOR-0007112_S165_1.fq.gz</t>
  </si>
  <si>
    <t>SYST-MOR-0007112_S165_2.fq.gz</t>
  </si>
  <si>
    <t>QUE003876</t>
  </si>
  <si>
    <t>MA_BTC_393_MG</t>
  </si>
  <si>
    <t>Edge of Dense forest, cobble</t>
  </si>
  <si>
    <t>Juniperus sp., Acer sp., Ulmus sp., Juglans sp., Poison ivy, Carya sp., Desmodium glutinosum, Rubus sp., Herb Robert, boblet fern, Virginia creeper</t>
  </si>
  <si>
    <t>MOR&lt;USA-IL&gt;: Samuels, MA_BTC_393_MG</t>
  </si>
  <si>
    <t>0111038MOR</t>
  </si>
  <si>
    <t>478F480E-857F-4322-B9A2-4CBDBE986F77</t>
  </si>
  <si>
    <t>https://swbiodiversity.org/seinet/collections/individual/index.php?occid=34693310</t>
  </si>
  <si>
    <t>SYST-MOR-0007113</t>
  </si>
  <si>
    <t>SYST-MOR-0007113_S166_1.fq.gz</t>
  </si>
  <si>
    <t>SYST-MOR-0007113_S166_2.fq.gz</t>
  </si>
  <si>
    <t>QUE003877</t>
  </si>
  <si>
    <t>MA_NMK_394_MG</t>
  </si>
  <si>
    <t>Naumkaeg</t>
  </si>
  <si>
    <t>Pasture</t>
  </si>
  <si>
    <t>Acer sp., Yarrow, dandelion, Vitus sp., aster, mint family, buckthorn, grasses, clover, Scirpus pendulus</t>
  </si>
  <si>
    <t>MOR&lt;USA-IL&gt;: Samuels, MA_NMK_394_MG</t>
  </si>
  <si>
    <t>0111438MOR</t>
  </si>
  <si>
    <t>6C21FA99-10F2-4B16-BCFA-AD5676D31600</t>
  </si>
  <si>
    <t>https://swbiodiversity.org/seinet/collections/individual/index.php?occid=34693477</t>
  </si>
  <si>
    <t>SYST-MOR-0007114</t>
  </si>
  <si>
    <t>SYST-MOR-0007114_S167_1.fq.gz</t>
  </si>
  <si>
    <t>SYST-MOR-0007114_S167_2.fq.gz</t>
  </si>
  <si>
    <t>QUE003878</t>
  </si>
  <si>
    <t>MA_NMK_395_MG</t>
  </si>
  <si>
    <t>Edge of pasture and dense forwst</t>
  </si>
  <si>
    <t>Acer sp., Quercus macrocarpa, Pinus sp., Willow, Common buckthorn, goldenrod, hawthorn, barberry, black-eyed Susan</t>
  </si>
  <si>
    <t>MOR&lt;USA-IL&gt;: Samuels, MA_NMK_395_MG</t>
  </si>
  <si>
    <t>0111437MOR</t>
  </si>
  <si>
    <t>36CA22C4-C4E7-4422-A1B6-3FF463194409</t>
  </si>
  <si>
    <t>https://swbiodiversity.org/seinet/collections/individual/index.php?occid=34693258</t>
  </si>
  <si>
    <t>SYST-MOR-0007115</t>
  </si>
  <si>
    <t>SYST-MOR-0007115_S168_1.fq.gz</t>
  </si>
  <si>
    <t>SYST-MOR-0007115_S168_2.fq.gz</t>
  </si>
  <si>
    <t>QUE003879</t>
  </si>
  <si>
    <t>MA_NMK_396_MG</t>
  </si>
  <si>
    <t>Open pasture</t>
  </si>
  <si>
    <t>Onoclea sensibilis, Rosa sp., dogwood, grasses, buckthorn, goldenrod, Virginia creeper</t>
  </si>
  <si>
    <t>MOR&lt;USA-IL&gt;: Samuels, MA_NMK_396_MG</t>
  </si>
  <si>
    <t>0111436MOR</t>
  </si>
  <si>
    <t>7740B7CE-700D-4A85-BF40-AACD7221619A</t>
  </si>
  <si>
    <t>https://swbiodiversity.org/seinet/collections/individual/index.php?occid=34693423</t>
  </si>
  <si>
    <t>SYST-MOR-0007116</t>
  </si>
  <si>
    <t>SYST-MOR-0007116_S169_1.fq.gz</t>
  </si>
  <si>
    <t>SYST-MOR-0007116_S169_2.fq.gz</t>
  </si>
  <si>
    <t>QUE003880</t>
  </si>
  <si>
    <t>MA_NMK_397_MG</t>
  </si>
  <si>
    <t>Juniperus sp., Dandelions, lawn grass, Vitis sp., rhubarb, Ulmus sp., Virginia creeper</t>
  </si>
  <si>
    <t>MOR&lt;USA-IL&gt;: Samuels, MA_NMK_397_MG</t>
  </si>
  <si>
    <t>0111441MOR</t>
  </si>
  <si>
    <t>3FA0FA83-8391-4A36-BE07-DD9830751393</t>
  </si>
  <si>
    <t>https://swbiodiversity.org/seinet/collections/individual/index.php?occid=34693287</t>
  </si>
  <si>
    <t>SYST-MOR-0007117</t>
  </si>
  <si>
    <t>SYST-MOR-0007117_S170_1.fq.gz</t>
  </si>
  <si>
    <t>SYST-MOR-0007117_S170_2.fq.gz</t>
  </si>
  <si>
    <t>QUE003881</t>
  </si>
  <si>
    <t>MA_NMK_398_MG</t>
  </si>
  <si>
    <t>Edge of pasture</t>
  </si>
  <si>
    <t>Acer sp., Quercus macrocarpa, Thistle, knotweed, dandelion, clover, Virginia creeper, bedstraws, poison ivy, common buckthorn</t>
  </si>
  <si>
    <t>MOR&lt;USA-IL&gt;: Samuels, MA_NMK_398_MG</t>
  </si>
  <si>
    <t>0111440MOR</t>
  </si>
  <si>
    <t>A67A50D7-658D-4E0B-A6F4-6E1932641575</t>
  </si>
  <si>
    <t>https://swbiodiversity.org/seinet/collections/individual/index.php?occid=34693633</t>
  </si>
  <si>
    <t>SYST-MOR-0007118</t>
  </si>
  <si>
    <t>SYST-MOR-0007118_S171_1.fq.gz</t>
  </si>
  <si>
    <t>SYST-MOR-0007118_S171_2.fq.gz</t>
  </si>
  <si>
    <t>QUE003882</t>
  </si>
  <si>
    <t>MA_LKN_399_MG</t>
  </si>
  <si>
    <t>Mass Audubon Lime Kiln Farm</t>
  </si>
  <si>
    <t>Hillside forest on limestone and marble bedrock, alkaline soils</t>
  </si>
  <si>
    <t>Juniperus sp., beech, Celtis occidentaIis, Burberry, prickly ash, Carya sp., fern</t>
  </si>
  <si>
    <t>727 ft</t>
  </si>
  <si>
    <t>MOR&lt;USA-IL&gt;: Samuels, MA_LKN_399_MG</t>
  </si>
  <si>
    <t>0111443MOR</t>
  </si>
  <si>
    <t>AA669AC8-529C-4EA4-A5CD-CCD286DFAE38</t>
  </si>
  <si>
    <t>https://swbiodiversity.org/seinet/collections/individual/index.php?occid=34693587</t>
  </si>
  <si>
    <t>SYST-MOR-0007119</t>
  </si>
  <si>
    <t>SYST-MOR-0007119_S172_1.fq.gz</t>
  </si>
  <si>
    <t>SYST-MOR-0007119_S172_2.fq.gz</t>
  </si>
  <si>
    <t>QUE003883</t>
  </si>
  <si>
    <t>MA_LKN_400_MG</t>
  </si>
  <si>
    <t>Quercus alba, Buckthorn, honeysuckle, ash, elm</t>
  </si>
  <si>
    <t>800 ft</t>
  </si>
  <si>
    <t>MOR&lt;USA-IL&gt;: Samuels, MA_LKN_400_MG</t>
  </si>
  <si>
    <t>0111034MOR</t>
  </si>
  <si>
    <t>FB5828A9-81EE-435A-A203-80751194023F</t>
  </si>
  <si>
    <t>https://swbiodiversity.org/seinet/collections/individual/index.php?occid=34693780</t>
  </si>
  <si>
    <t>SYST-MOR-0007120</t>
  </si>
  <si>
    <t>SYST-MOR-0007120_S173_1.fq.gz</t>
  </si>
  <si>
    <t>SYST-MOR-0007120_S173_2.fq.gz</t>
  </si>
  <si>
    <t>QUE003884</t>
  </si>
  <si>
    <t>MA_LKN_401_MG</t>
  </si>
  <si>
    <t>Red oaks, Carya ovata, Black cherry, Fraxinus sp., maple, elm, Virginia creeper, Christmas fern</t>
  </si>
  <si>
    <t>MOR&lt;USA-IL&gt;: Samuels, MA_LKN_401_MG</t>
  </si>
  <si>
    <t>0111036MOR</t>
  </si>
  <si>
    <t>31939838-2A99-49C0-9BC6-DA22604F5B9A</t>
  </si>
  <si>
    <t>https://swbiodiversity.org/seinet/collections/individual/index.php?occid=34693301</t>
  </si>
  <si>
    <t>SYST-MOR-0007121</t>
  </si>
  <si>
    <t>SYST-MOR-0007121_S174_1.fq.gz</t>
  </si>
  <si>
    <t>SYST-MOR-0007121_S174_2.fq.gz</t>
  </si>
  <si>
    <t>QUE003885</t>
  </si>
  <si>
    <t>MA_LKN_402_MG</t>
  </si>
  <si>
    <t>Limestone deciduous/coniferous forest</t>
  </si>
  <si>
    <t>Pinus sp., black cherry, Elm, poison ivy, striped maple, Christmas fern</t>
  </si>
  <si>
    <t>MOR&lt;USA-IL&gt;: Samuels, MA_LKN_402_MG</t>
  </si>
  <si>
    <t>0111033MOR</t>
  </si>
  <si>
    <t>46EA598F-3054-465B-A092-26EA36F9776B</t>
  </si>
  <si>
    <t>https://swbiodiversity.org/seinet/collections/individual/index.php?occid=34693309</t>
  </si>
  <si>
    <t>SYST-MOR-0007122</t>
  </si>
  <si>
    <t>SYST-MOR-0007122_S175_1.fq.gz</t>
  </si>
  <si>
    <t>SYST-MOR-0007122_S175_2.fq.gz</t>
  </si>
  <si>
    <t>QUE003886</t>
  </si>
  <si>
    <t>MA_SBF_403_MG</t>
  </si>
  <si>
    <t>Schenob Brook Fen</t>
  </si>
  <si>
    <t>Forest in watershed basin, little underbrush</t>
  </si>
  <si>
    <t>Quercus macrocarpa, Quercus alba, Acer sp., Ulmus sp., Hylodesmum glutinosum, Christmas fern, sensitive fern, Dryopteris sp.</t>
  </si>
  <si>
    <t>MOR&lt;USA-IL&gt;: Samuels, MA_SBF_403_MG</t>
  </si>
  <si>
    <t>0111439MOR</t>
  </si>
  <si>
    <t>7B35B125-8185-4A4D-B1FD-B0ADADDE4F1C</t>
  </si>
  <si>
    <t>https://swbiodiversity.org/seinet/collections/individual/index.php?occid=34693446</t>
  </si>
  <si>
    <t>SYST-MOR-0007123</t>
  </si>
  <si>
    <t>SYST-MOR-0007123_S176_1.fq.gz</t>
  </si>
  <si>
    <t>SYST-MOR-0007123_S176_2.fq.gz</t>
  </si>
  <si>
    <t>QUE003887</t>
  </si>
  <si>
    <t>MA_SBF_404_MG</t>
  </si>
  <si>
    <t>Sparse forest in watershed basin</t>
  </si>
  <si>
    <t>Juniperus sp., red oak, Quercus alba, Fraxinus sp.,Christmas fern, Acer sp., starflower, Hylodesmum glutonosum</t>
  </si>
  <si>
    <t>MOR&lt;USA-IL&gt;: Samuels, MA_SBF_404_MG</t>
  </si>
  <si>
    <t>0111433MOR</t>
  </si>
  <si>
    <t>1C985B49-54F4-4E41-86C5-21CF3A05AE04</t>
  </si>
  <si>
    <t>https://swbiodiversity.org/seinet/collections/individual/index.php?occid=34693202</t>
  </si>
  <si>
    <t>SYST-MOR-0007124</t>
  </si>
  <si>
    <t>SYST-MOR-0007124_S177_1.fq.gz</t>
  </si>
  <si>
    <t>SYST-MOR-0007124_S177_2.fq.gz</t>
  </si>
  <si>
    <t>QUE003888</t>
  </si>
  <si>
    <t>MA_SBF_405_MG</t>
  </si>
  <si>
    <t>Watershed, forest with low and sparse foliage</t>
  </si>
  <si>
    <t>Eastern hemlock, Quercus macrocarpa, Acer sp., Hylodesmum glutinosum, white wood aster, sensitive fern, starflower</t>
  </si>
  <si>
    <t>MOR&lt;USA-IL&gt;: Samuels, MA_SBF_405_MG</t>
  </si>
  <si>
    <t>0111432MOR</t>
  </si>
  <si>
    <t>4802721C-B450-416B-B22F-0B959823C31C</t>
  </si>
  <si>
    <t>https://swbiodiversity.org/seinet/collections/individual/index.php?occid=34693329</t>
  </si>
  <si>
    <t>SYST-MOR-0007125</t>
  </si>
  <si>
    <t>SYST-MOR-0007125_S178_1.fq.gz</t>
  </si>
  <si>
    <t>SYST-MOR-0007125_S178_2.fq.gz</t>
  </si>
  <si>
    <t>QUE003889</t>
  </si>
  <si>
    <t>MA_SBF_406_MG</t>
  </si>
  <si>
    <t>Fern understory, watershed forest</t>
  </si>
  <si>
    <t>hemlock, Fraxinus sp., Juglans sp., Pinus sp., Quercus macrocarpa, Dryopteris sp., sensitive fern, Christmas fern, Hylodesmum glutinosum, northern spice bush</t>
  </si>
  <si>
    <t>MOR&lt;USA-IL&gt;: Samuels, MA_SBF_406_MG</t>
  </si>
  <si>
    <t>0111442MOR</t>
  </si>
  <si>
    <t>65C06BC7-D8B2-446D-B81E-72EEE9655C45</t>
  </si>
  <si>
    <t>https://swbiodiversity.org/seinet/collections/individual/index.php?occid=34693412</t>
  </si>
  <si>
    <t>SYST-MOR-0007126</t>
  </si>
  <si>
    <t>SYST-MOR-0007126_S179_1.fq.gz</t>
  </si>
  <si>
    <t>SYST-MOR-0007126_S179_2.fq.gz</t>
  </si>
  <si>
    <t>QUE003890</t>
  </si>
  <si>
    <t>MA_SBF_407_MG</t>
  </si>
  <si>
    <t>Sparse underbrush, watershed forest</t>
  </si>
  <si>
    <t>hemlock, Ulmus sp., Quercus macrocarpa, Fraxinus sp., Carex sp., christmas fern, starflower</t>
  </si>
  <si>
    <t>734 ft</t>
  </si>
  <si>
    <t>MOR&lt;USA-IL&gt;: Samuels, MA_SBF_407_MG</t>
  </si>
  <si>
    <t>0111434MOR</t>
  </si>
  <si>
    <t>5693428C-F66B-42F5-9FD1-93B7B1519929</t>
  </si>
  <si>
    <t>https://swbiodiversity.org/seinet/collections/individual/index.php?occid=34693399</t>
  </si>
  <si>
    <t>SYST-MOR-0007127</t>
  </si>
  <si>
    <t>SYST-MOR-0007127_S180_1.fq.gz</t>
  </si>
  <si>
    <t>SYST-MOR-0007127_S180_2.fq.gz</t>
  </si>
  <si>
    <t>QUE003891</t>
  </si>
  <si>
    <t>MA_SBF_408_MG</t>
  </si>
  <si>
    <t>Almost no underbrush, watershed basin forest</t>
  </si>
  <si>
    <t>Hemlock, pine, Carya sp., Quercus alba, Acer sp., Sessile bellwort, Canada mayflower</t>
  </si>
  <si>
    <t>MOR&lt;USA-IL&gt;: Samuels, MA_SBF_408_MG</t>
  </si>
  <si>
    <t>0111035MOR</t>
  </si>
  <si>
    <t>05756DFE-A8E4-4048-BAED-E274EBEB684D</t>
  </si>
  <si>
    <t>https://swbiodiversity.org/seinet/collections/individual/index.php?occid=34693139</t>
  </si>
  <si>
    <t>SYST-MOR-0007128</t>
  </si>
  <si>
    <t>SYST-MOR-0007128_S181_1.fq.gz</t>
  </si>
  <si>
    <t>SYST-MOR-0007128_S181_2.fq.gz</t>
  </si>
  <si>
    <t>QUE003892</t>
  </si>
  <si>
    <t>AR_BRP_409_MG</t>
  </si>
  <si>
    <t>Arkansas</t>
  </si>
  <si>
    <t>Pulaski</t>
  </si>
  <si>
    <t>Burns Park</t>
  </si>
  <si>
    <t>Little Rock</t>
  </si>
  <si>
    <t>Near creek, dense forest with little foliage</t>
  </si>
  <si>
    <t xml:space="preserve"> Ulmus sp.,  Bluejack oak, Carya ovata,  Celtis sp., Round leaf ragwort, honeysuckle, Carex sp.,</t>
  </si>
  <si>
    <t>283 ft</t>
  </si>
  <si>
    <t>MOR&lt;USA-IL&gt;: Samuels, AR_BRP_409_MG</t>
  </si>
  <si>
    <t>0111235MOR</t>
  </si>
  <si>
    <t>22351E95-A791-459A-A7DF-B4C2767DB9C6</t>
  </si>
  <si>
    <t>https://swbiodiversity.org/seinet/collections/individual/index.php?occid=34693220</t>
  </si>
  <si>
    <t>SYST-MOR-0007129</t>
  </si>
  <si>
    <t>SYST-MOR-0007129_S182_1.fq.gz</t>
  </si>
  <si>
    <t>SYST-MOR-0007129_S182_2.fq.gz</t>
  </si>
  <si>
    <t>QUE003893</t>
  </si>
  <si>
    <t>AR_BRP_410_MG</t>
  </si>
  <si>
    <t>Creek side forest with sparse foliage</t>
  </si>
  <si>
    <t>Carya sp., Ulmus sp.,  Fraxinus sp., Carex sp., poison ivy, cross vine, supplejack</t>
  </si>
  <si>
    <t>284 ft</t>
  </si>
  <si>
    <t>MOR&lt;USA-IL&gt;: Samuels, AR_BRP_410_MG</t>
  </si>
  <si>
    <t>0111328MOR</t>
  </si>
  <si>
    <t>68A652B8-18C1-47DA-980A-55043FCA0666</t>
  </si>
  <si>
    <t>https://swbiodiversity.org/seinet/collections/individual/index.php?occid=34693474</t>
  </si>
  <si>
    <t>SYST-MOR-0007130</t>
  </si>
  <si>
    <t>SYST-MOR-0007130_S183_1.fq.gz</t>
  </si>
  <si>
    <t>SYST-MOR-0007130_S183_2.fq.gz</t>
  </si>
  <si>
    <t>QUE003894</t>
  </si>
  <si>
    <t>AR_BRP_411_MG</t>
  </si>
  <si>
    <t>Lawn near creek</t>
  </si>
  <si>
    <t>Ulmus sp., Pinus sp., Poaceae</t>
  </si>
  <si>
    <t>280 ft</t>
  </si>
  <si>
    <t>MOR&lt;USA-IL&gt;: Samuels, AR_BRP_411_MG</t>
  </si>
  <si>
    <t>0111450MOR</t>
  </si>
  <si>
    <t>51AB6567-EB8A-4697-90A6-FC4E1DB6B150</t>
  </si>
  <si>
    <t>https://swbiodiversity.org/seinet/collections/individual/index.php?occid=34693375</t>
  </si>
  <si>
    <t>SYST-MOR-0007131</t>
  </si>
  <si>
    <t>SYST-MOR-0007131_S184_1.fq.gz</t>
  </si>
  <si>
    <t>SYST-MOR-0007131_S184_2.fq.gz</t>
  </si>
  <si>
    <t>QUE003895</t>
  </si>
  <si>
    <t>AR_BRP_412_MG</t>
  </si>
  <si>
    <t>Marshy forest with sparse foliage</t>
  </si>
  <si>
    <t>Carya ovata, Ulmus sp., Fraxinus sp., Quercus macrocarpa, Carex sp.</t>
  </si>
  <si>
    <t>290 ft</t>
  </si>
  <si>
    <t>MOR&lt;USA-IL&gt;: Samuels, AR_BRP_412_MG</t>
  </si>
  <si>
    <t>0111324MOR</t>
  </si>
  <si>
    <t>2E2FA26A-FABE-45F9-83AC-3580A70BD36F</t>
  </si>
  <si>
    <t>https://swbiodiversity.org/seinet/collections/individual/index.php?occid=34693298</t>
  </si>
  <si>
    <t>SYST-MOR-0007132</t>
  </si>
  <si>
    <t>SYST-MOR-0007132_S185_1.fq.gz</t>
  </si>
  <si>
    <t>SYST-MOR-0007132_S185_2.fq.gz</t>
  </si>
  <si>
    <t>QUE003896</t>
  </si>
  <si>
    <t>AR_BRP_413_MG</t>
  </si>
  <si>
    <t>Marshy forest, low foliage, dense forest</t>
  </si>
  <si>
    <t>Carya sp., bluejack oak, post oak, Carex sp., Poison ivy, American jump seed, Leafy elephants foot</t>
  </si>
  <si>
    <t>294 ft</t>
  </si>
  <si>
    <t>MOR&lt;USA-IL&gt;: Samuels, AR_BRP_413_MG</t>
  </si>
  <si>
    <t>0111451MOR</t>
  </si>
  <si>
    <t>AA48B6CC-2B13-4925-B59F-EB07F227FE02</t>
  </si>
  <si>
    <t>https://swbiodiversity.org/seinet/collections/individual/index.php?occid=34693636</t>
  </si>
  <si>
    <t>SYST-MOR-0007133</t>
  </si>
  <si>
    <t>SYST-MOR-0007133_S186_1.fq.gz</t>
  </si>
  <si>
    <t>SYST-MOR-0007133_S186_2.fq.gz</t>
  </si>
  <si>
    <t>QUE003897</t>
  </si>
  <si>
    <t>AR_BRP_414_MG</t>
  </si>
  <si>
    <t>Marshy forest with little foliage</t>
  </si>
  <si>
    <t>Carya sp., Quercus rubra, Ulmus sp., Fraxinus sp., Quercus lyrata, Carex sp., Virginia creeper, Bluejack oak</t>
  </si>
  <si>
    <t>MOR&lt;USA-IL&gt;: Samuels, AR_BRP_414_MG</t>
  </si>
  <si>
    <t>0111234MOR</t>
  </si>
  <si>
    <t>70F2D442-A98C-4EAF-9EC3-029D428B602E</t>
  </si>
  <si>
    <t>https://swbiodiversity.org/seinet/collections/individual/index.php?occid=34693434</t>
  </si>
  <si>
    <t>SYST-MOR-0007134</t>
  </si>
  <si>
    <t>SYST-MOR-0007134_S187_1.fq.gz</t>
  </si>
  <si>
    <t>SYST-MOR-0007134_S187_2.fq.gz</t>
  </si>
  <si>
    <t>QUE003898</t>
  </si>
  <si>
    <t>AR_BRP_415_MG</t>
  </si>
  <si>
    <t>Marshy forest (formerly marshy?) with very little ground cover</t>
  </si>
  <si>
    <t>Ulmus sp., Basswood, Carya sp., Virginia creeper, Carex sp., Bluejack oak, American jump seed</t>
  </si>
  <si>
    <t>304 ft</t>
  </si>
  <si>
    <t>MOR&lt;USA-IL&gt;: Samuels, AR_BRP_415_MG</t>
  </si>
  <si>
    <t>0110979MOR</t>
  </si>
  <si>
    <t>E6B3A95B-F00D-4949-A1CD-7674436389D5</t>
  </si>
  <si>
    <t>https://swbiodiversity.org/seinet/collections/individual/index.php?occid=34693782</t>
  </si>
  <si>
    <t>SYST-MOR-0007135</t>
  </si>
  <si>
    <t>SYST-MOR-0007135_S188_1.fq.gz</t>
  </si>
  <si>
    <t>SYST-MOR-0007135_S188_2.fq.gz</t>
  </si>
  <si>
    <t>QUE003899</t>
  </si>
  <si>
    <t>AR_BRP_416_MG</t>
  </si>
  <si>
    <t>Forest with no/little underbrush</t>
  </si>
  <si>
    <t>Fraxinus sp., Carya sp., Quercus stellata, Carex sp., Anglepod</t>
  </si>
  <si>
    <t>297 ft</t>
  </si>
  <si>
    <t>MOR&lt;USA-IL&gt;: Samuels, AR_BRP_416_MG</t>
  </si>
  <si>
    <t>0111452MOR</t>
  </si>
  <si>
    <t>506FEDE5-4F1B-4B45-B0FD-591C3B4E89AD</t>
  </si>
  <si>
    <t>https://swbiodiversity.org/seinet/collections/individual/index.php?occid=34693341</t>
  </si>
  <si>
    <t>SYST-MOR-0007136</t>
  </si>
  <si>
    <t>SYST-MOR-0007136_S189_1.fq.gz</t>
  </si>
  <si>
    <t>SYST-MOR-0007136_S189_2.fq.gz</t>
  </si>
  <si>
    <t>QUE003900</t>
  </si>
  <si>
    <t>AR_BRP_417_MG</t>
  </si>
  <si>
    <t>High density forest with little underbrush</t>
  </si>
  <si>
    <t xml:space="preserve"> Carya sp., red oak, bluejack oak, Carex sp., River cane, Maple leaf viburnum, Poison ivy</t>
  </si>
  <si>
    <t>289 ft</t>
  </si>
  <si>
    <t>MOR&lt;USA-IL&gt;: Samuels, AR_BRP_417_MG</t>
  </si>
  <si>
    <t>0111325MOR</t>
  </si>
  <si>
    <t>FA01ECD2-EC71-4492-9BEE-88595D1F0B20</t>
  </si>
  <si>
    <t>https://swbiodiversity.org/seinet/collections/individual/index.php?occid=34693742</t>
  </si>
  <si>
    <t>SYST-MOR-0007137</t>
  </si>
  <si>
    <t>SYST-MOR-0007137_S190_1.fq.gz</t>
  </si>
  <si>
    <t>SYST-MOR-0007137_S190_2.fq.gz</t>
  </si>
  <si>
    <t>QUE003901</t>
  </si>
  <si>
    <t>AR_BRP_418_MG</t>
  </si>
  <si>
    <t>Forest with low underbrush on edge of grasslands/pasture</t>
  </si>
  <si>
    <t xml:space="preserve"> Carya sp., Fraxinus sp., cedar elm, post oak, Possumhaw</t>
  </si>
  <si>
    <t>MOR&lt;USA-IL&gt;: Samuels, AR_BRP_418_MG</t>
  </si>
  <si>
    <t>0111233MOR</t>
  </si>
  <si>
    <t>E94AF73D-8B2F-4040-B82A-417BA1DEF59B</t>
  </si>
  <si>
    <t>https://swbiodiversity.org/seinet/collections/individual/index.php?occid=34693729</t>
  </si>
  <si>
    <t>SYST-MOR-0007138</t>
  </si>
  <si>
    <t>SYST-MOR-0007138_S191_1.fq.gz</t>
  </si>
  <si>
    <t>SYST-MOR-0007138_S191_2.fq.gz</t>
  </si>
  <si>
    <t>QUE003902</t>
  </si>
  <si>
    <t>AR_BRP_419_MG</t>
  </si>
  <si>
    <t>Forest on edge of grasslands/pasture 
 Low/little underbrush</t>
  </si>
  <si>
    <t>Carya sp., Fraxinus sp., cedar elm, Quercus lyrata, Celtis sp., Possumhaw</t>
  </si>
  <si>
    <t>302 ft</t>
  </si>
  <si>
    <t>MOR&lt;USA-IL&gt;: Samuels, AR_BRP_419_MG</t>
  </si>
  <si>
    <t>0111453MOR</t>
  </si>
  <si>
    <t>0CEA1600-167B-4642-A243-B4371EFB6971</t>
  </si>
  <si>
    <t>https://swbiodiversity.org/seinet/collections/individual/index.php?occid=34693174</t>
  </si>
  <si>
    <t>SYST-MOR-0007139</t>
  </si>
  <si>
    <t>SYST-MOR-0007139_S192_1.fq.gz</t>
  </si>
  <si>
    <t>SYST-MOR-0007139_S192_2.fq.gz</t>
  </si>
  <si>
    <t>QUE003903</t>
  </si>
  <si>
    <t>AR_BRP_420_MG</t>
  </si>
  <si>
    <t>Small hilltop in forest, more underbrush than surrounding areas</t>
  </si>
  <si>
    <t>Red oak, Fraxinus sp., Quercus alba, Carya sp., River cane, American jump seed, Hackberry, Smilax sp.</t>
  </si>
  <si>
    <t>308 ft</t>
  </si>
  <si>
    <t>MOR&lt;USA-IL&gt;: Samuels, AR_BRP_420_MG</t>
  </si>
  <si>
    <t>0110980MOR</t>
  </si>
  <si>
    <t>A26842E6-8E75-4581-A013-4A5546E207CB</t>
  </si>
  <si>
    <t>https://swbiodiversity.org/seinet/collections/individual/index.php?occid=34693612</t>
  </si>
  <si>
    <t>SYST-MOR-0007140</t>
  </si>
  <si>
    <t>SYST-MOR-0007140_S193_1.fq.gz</t>
  </si>
  <si>
    <t>SYST-MOR-0007140_S193_2.fq.gz</t>
  </si>
  <si>
    <t>QUE003904</t>
  </si>
  <si>
    <t>AR_BRP_421_MG</t>
  </si>
  <si>
    <t>Forest with little underbrush</t>
  </si>
  <si>
    <t>Carya sp., red oak group, Quercus muehlenbergii, River cane</t>
  </si>
  <si>
    <t>301 ft</t>
  </si>
  <si>
    <t>MOR&lt;USA-IL&gt;: Samuels, AR_BRP_421_MG</t>
  </si>
  <si>
    <t>0111134MOR</t>
  </si>
  <si>
    <t>0D136631-0255-4884-9282-0FB40EC75B08</t>
  </si>
  <si>
    <t>https://swbiodiversity.org/seinet/collections/individual/index.php?occid=34693180</t>
  </si>
  <si>
    <t>SYST-MOR-0007141</t>
  </si>
  <si>
    <t>SYST-MOR-0007141_S194_1.fq.gz</t>
  </si>
  <si>
    <t>SYST-MOR-0007141_S194_2.fq.gz</t>
  </si>
  <si>
    <t>QUE003905</t>
  </si>
  <si>
    <t>AR_BRP_422_MG</t>
  </si>
  <si>
    <t>Forest with dead leaves as ground cover, very little underbrush</t>
  </si>
  <si>
    <t>Fraxinus sp., Quercus muehlenbergii, Carya sp., red oak group, Vitus sp., Ulmus sp.</t>
  </si>
  <si>
    <t>300 ft</t>
  </si>
  <si>
    <t>MOR&lt;USA-IL&gt;: Samuels, AR_BRP_422_MG</t>
  </si>
  <si>
    <t>0111135MOR</t>
  </si>
  <si>
    <t>FB2DFECB-BC2E-48C0-9A14-290DA019D534</t>
  </si>
  <si>
    <t>https://swbiodiversity.org/seinet/collections/individual/index.php?occid=34693778</t>
  </si>
  <si>
    <t>SYST-MOR-0007142</t>
  </si>
  <si>
    <t>SYST-MOR-0007142_S195_1.fq.gz</t>
  </si>
  <si>
    <t>SYST-MOR-0007142_S195_2.fq.gz</t>
  </si>
  <si>
    <t>QUE003906</t>
  </si>
  <si>
    <t>AR_BRP_423_MG</t>
  </si>
  <si>
    <t>Forest with tall sparse grasses</t>
  </si>
  <si>
    <t>Carya ovata, Quercus macrocarpa, black cherry, Poison ivy, River cane, Carex sp., Bignonia sp.</t>
  </si>
  <si>
    <t>MOR&lt;USA-IL&gt;: Samuels, AR_BRP_423_MG</t>
  </si>
  <si>
    <t>0111327MOR</t>
  </si>
  <si>
    <t>B0508080-F829-4A5A-99B7-6C58647ED1A7</t>
  </si>
  <si>
    <t>https://swbiodiversity.org/seinet/collections/individual/index.php?occid=34693623</t>
  </si>
  <si>
    <t>SYST-MOR-0007143</t>
  </si>
  <si>
    <t>SYST-MOR-0007143_S196_1.fq.gz</t>
  </si>
  <si>
    <t>SYST-MOR-0007143_S196_2.fq.gz</t>
  </si>
  <si>
    <t>QUE003907</t>
  </si>
  <si>
    <t>AR_BRP_424_MG</t>
  </si>
  <si>
    <t>Forest with low sedge underbrush</t>
  </si>
  <si>
    <t>Carya sp., Ulmus sp., Carex sp., Hackberry</t>
  </si>
  <si>
    <t>MOR&lt;USA-IL&gt;: Samuels, AR_BRP_424_MG</t>
  </si>
  <si>
    <t>0110981MOR</t>
  </si>
  <si>
    <t>9794DC4E-0657-4A74-A84E-C0800CBCEC5F</t>
  </si>
  <si>
    <t>https://swbiodiversity.org/seinet/collections/individual/index.php?occid=34693530</t>
  </si>
  <si>
    <t>SYST-MOR-0007144</t>
  </si>
  <si>
    <t>SYST-MOR-0007144_S197_1.fq.gz</t>
  </si>
  <si>
    <t>SYST-MOR-0007144_S197_2.fq.gz</t>
  </si>
  <si>
    <t>QUE003908</t>
  </si>
  <si>
    <t>AR_BRP_425_MG</t>
  </si>
  <si>
    <t>Forest with sedge ground cover</t>
  </si>
  <si>
    <t>Carya sp., Celtis sp., Pinus sp., bluejack oak, Carex sp., Smilax sp.</t>
  </si>
  <si>
    <t>MOR&lt;USA-IL&gt;: Samuels, AR_BRP_425_MG</t>
  </si>
  <si>
    <t>0111449MOR</t>
  </si>
  <si>
    <t>03500CAB-11A2-41F9-9927-69C8F443BFE3</t>
  </si>
  <si>
    <t>https://swbiodiversity.org/seinet/collections/individual/index.php?occid=34693136</t>
  </si>
  <si>
    <t>SYST-MOR-0007145</t>
  </si>
  <si>
    <t>SYST-MOR-0007145_S198_1.fq.gz</t>
  </si>
  <si>
    <t>SYST-MOR-0007145_S198_2.fq.gz</t>
  </si>
  <si>
    <t>QUE003909</t>
  </si>
  <si>
    <t>AR_BRP_426_MG</t>
  </si>
  <si>
    <t>Forest with mostly Carex underbrush</t>
  </si>
  <si>
    <t>Bluejack oak, red oak group, Ulmus sp., Carya sp., post oak, Carex sp., Lespedeza sp.</t>
  </si>
  <si>
    <t>MOR&lt;USA-IL&gt;: Samuels, AR_BRP_426_MG</t>
  </si>
  <si>
    <t>0111326MOR</t>
  </si>
  <si>
    <t>8F36FD54-F495-4B2F-AC90-201A13AA2F7D</t>
  </si>
  <si>
    <t>https://swbiodiversity.org/seinet/collections/individual/index.php?occid=34693566</t>
  </si>
  <si>
    <t>SYST-MOR-0007146</t>
  </si>
  <si>
    <t>SYST-MOR-0007146_S199_1.fq.gz</t>
  </si>
  <si>
    <t>SYST-MOR-0007146_S199_2.fq.gz</t>
  </si>
  <si>
    <t>QUE003910</t>
  </si>
  <si>
    <t>AR_BRP_427_MG</t>
  </si>
  <si>
    <t>Forest with sedge cover</t>
  </si>
  <si>
    <t>Celtis sp., Ulmus sp., Carya sp., Fraxinus sp., Carex sp.</t>
  </si>
  <si>
    <t>285 ft</t>
  </si>
  <si>
    <t>MOR&lt;USA-IL&gt;: Samuels, AR_BRP_427_MG</t>
  </si>
  <si>
    <t>0111232MOR</t>
  </si>
  <si>
    <t>321BA220-2C68-4DF7-B432-89D45CFA559C</t>
  </si>
  <si>
    <t>https://swbiodiversity.org/seinet/collections/individual/index.php?occid=34693303</t>
  </si>
  <si>
    <t>SYST-MOR-0007147</t>
  </si>
  <si>
    <t>SYST-MOR-0007147_S200_1.fq.gz</t>
  </si>
  <si>
    <t>SYST-MOR-0007147_S200_2.fq.gz</t>
  </si>
  <si>
    <t>QUE003911</t>
  </si>
  <si>
    <t>AR_BRP_428_MG</t>
  </si>
  <si>
    <t>Forest with minimal underbrush</t>
  </si>
  <si>
    <t>Carya sp., red oak group, Muscadine, Carex sp.</t>
  </si>
  <si>
    <t>320 ft</t>
  </si>
  <si>
    <t>MOR&lt;USA-IL&gt;: Samuels, AR_BRP_428_MG</t>
  </si>
  <si>
    <t>0110982MOR</t>
  </si>
  <si>
    <t>C419FC7E-4D82-4951-B6FC-549BC084A6B8</t>
  </si>
  <si>
    <t>https://swbiodiversity.org/seinet/collections/individual/index.php?occid=34693708</t>
  </si>
  <si>
    <t>SYST-MOR-0007148</t>
  </si>
  <si>
    <t>SYST-MOR-0007148_S201_1.fq.gz</t>
  </si>
  <si>
    <t>SYST-MOR-0007148_S201_2.fq.gz</t>
  </si>
  <si>
    <t>QUE003912</t>
  </si>
  <si>
    <t>AR_BRP_429_MG</t>
  </si>
  <si>
    <t>Forest minimal understory</t>
  </si>
  <si>
    <t>Carya sp., post oak, red oaks, Muscodine, Smilax sp.</t>
  </si>
  <si>
    <t>MOR&lt;USA-IL&gt;: Samuels, AR_BRP_429_MG</t>
  </si>
  <si>
    <t>0110983MOR</t>
  </si>
  <si>
    <t>4C826C41-81AD-4904-BDCE-7CD235BF208E</t>
  </si>
  <si>
    <t>https://swbiodiversity.org/seinet/collections/individual/index.php?occid=34693334</t>
  </si>
  <si>
    <t>SYST-MOR-0007149</t>
  </si>
  <si>
    <t>SYST-MOR-0007149_S202_1.fq.gz</t>
  </si>
  <si>
    <t>SYST-MOR-0007149_S202_2.fq.gz</t>
  </si>
  <si>
    <t>QUE003913</t>
  </si>
  <si>
    <t>TX_BRZ_430_MG</t>
  </si>
  <si>
    <t>Texas</t>
  </si>
  <si>
    <t>Fort Bend</t>
  </si>
  <si>
    <t>Brazos Bend State Park</t>
  </si>
  <si>
    <t>River floodplains, flat forest with thick underbrush</t>
  </si>
  <si>
    <t>Fraxinus sp., sugar hackberry, Ulmus sp., Palmetto, Carex sp., Turks cap, Inland wood oats</t>
  </si>
  <si>
    <t>72 ft</t>
  </si>
  <si>
    <t>MOR&lt;USA-IL&gt;: Samuels, TX_BRZ_430_MG</t>
  </si>
  <si>
    <t>0111381MOR</t>
  </si>
  <si>
    <t>4CA91211-5BA4-4A7B-BDCF-7AEDB0662BDC</t>
  </si>
  <si>
    <t>https://swbiodiversity.org/seinet/collections/individual/index.php?occid=34693336</t>
  </si>
  <si>
    <t>SYST-MOR-0007150</t>
  </si>
  <si>
    <t>SYST-MOR-0007150_S203_1.fq.gz</t>
  </si>
  <si>
    <t>SYST-MOR-0007150_S203_2.fq.gz</t>
  </si>
  <si>
    <t>QUE003914</t>
  </si>
  <si>
    <t>TX_BRZ_431_MG</t>
  </si>
  <si>
    <t>River floodplains, flat forest. Dense underbrush</t>
  </si>
  <si>
    <t>sugar hackberry, Cedar elms, Carya sp., Carex sp., Palmetto</t>
  </si>
  <si>
    <t>52 ft</t>
  </si>
  <si>
    <t>MOR&lt;USA-IL&gt;: Samuels, TX_BRZ_431_MG</t>
  </si>
  <si>
    <t>0111382MOR</t>
  </si>
  <si>
    <t>A8A2916F-896B-43CF-AC30-758E1037AEA4</t>
  </si>
  <si>
    <t>https://swbiodiversity.org/seinet/collections/individual/index.php?occid=34693616</t>
  </si>
  <si>
    <t>SYST-MOR-0007151</t>
  </si>
  <si>
    <t>SYST-MOR-0007151_S204_1.fq.gz</t>
  </si>
  <si>
    <t>SYST-MOR-0007151_S204_2.fq.gz</t>
  </si>
  <si>
    <t>QUE003915</t>
  </si>
  <si>
    <t>TX_BRZ_432_MG</t>
  </si>
  <si>
    <t>River floodplains, flat forest with dense shrubs</t>
  </si>
  <si>
    <t>Juglans sp., hackberry, Possumhaws, Carex sp., Turk's cap</t>
  </si>
  <si>
    <t>78 ft</t>
  </si>
  <si>
    <t>MOR&lt;USA-IL&gt;: Samuels, TX_BRZ_432_MG</t>
  </si>
  <si>
    <t>0111383MOR</t>
  </si>
  <si>
    <t>E463FDF6-CE5E-41D1-A2F1-659F3EE5A263</t>
  </si>
  <si>
    <t>https://swbiodiversity.org/seinet/collections/individual/index.php?occid=34693186</t>
  </si>
  <si>
    <t>SYST-MOR-0007152</t>
  </si>
  <si>
    <t>SYST-MOR-0007152_S205_1.fq.gz</t>
  </si>
  <si>
    <t>SYST-MOR-0007152_S205_2.fq.gz</t>
  </si>
  <si>
    <t>QUE003916</t>
  </si>
  <si>
    <t>TX_BRZ_433_MG</t>
  </si>
  <si>
    <t>River floodplains, open grassy area near forest</t>
  </si>
  <si>
    <t>Juglans sp., Possumhaw, Sugar hackberry, Cedar elm, Turks cap, Grasses and sedges, Brambles</t>
  </si>
  <si>
    <t>54 ft</t>
  </si>
  <si>
    <t>MOR&lt;USA-IL&gt;: Samuels, TX_BRZ_433_MG</t>
  </si>
  <si>
    <t>0108150MOR</t>
  </si>
  <si>
    <t>11345484-0CA7-4BA8-AC66-3F127BBEC3DF</t>
  </si>
  <si>
    <t>https://swbiodiversity.org/seinet/collections/individual/index.php?occid=34578103</t>
  </si>
  <si>
    <t>SRR31778376</t>
  </si>
  <si>
    <t>SYST-MOR-0007153</t>
  </si>
  <si>
    <t>SYST-MOR-0007153_S206_1.fq.gz</t>
  </si>
  <si>
    <t>SYST-MOR-0007153_S206_2.fq.gz</t>
  </si>
  <si>
    <t>SAMN45895343</t>
  </si>
  <si>
    <t>QUE003917</t>
  </si>
  <si>
    <t>TX_BRZ_434_MG</t>
  </si>
  <si>
    <t>River floodplains, flat grassy area near shurbby forest. Lake side</t>
  </si>
  <si>
    <t>Quercus michauxii, cedar elm, Carex sp., Grasses, Poison ivy, Carolina snail seed, Unlobed red oak species</t>
  </si>
  <si>
    <t>84 ft</t>
  </si>
  <si>
    <t>MOR&lt;USA-IL&gt;: Samuels, TX_BRZ_434_MG</t>
  </si>
  <si>
    <t>0111222MOR</t>
  </si>
  <si>
    <t>21D071AB-351A-4509-813D-7259356CE1EC</t>
  </si>
  <si>
    <t>https://swbiodiversity.org/seinet/collections/individual/index.php?occid=34693218</t>
  </si>
  <si>
    <t>SYST-MOR-0007154</t>
  </si>
  <si>
    <t>SYST-MOR-0007154_S207_1.fq.gz</t>
  </si>
  <si>
    <t>SYST-MOR-0007154_S207_2.fq.gz</t>
  </si>
  <si>
    <t>QUE003918</t>
  </si>
  <si>
    <t>TX_BRZ_435_MG</t>
  </si>
  <si>
    <t>Uphill bank of lake, shrubby forest</t>
  </si>
  <si>
    <t>red oak group, Juglans sp., cedar elm, Fraxinus sp., Yaupon Holly, Carex sp., Aster</t>
  </si>
  <si>
    <t>MOR&lt;USA-IL&gt;: Samuels, TX_BRZ_435_MG</t>
  </si>
  <si>
    <t>0111223MOR</t>
  </si>
  <si>
    <t>EA9A4A78-6DC5-4378-AC42-B4D8971E78A7</t>
  </si>
  <si>
    <t>https://swbiodiversity.org/seinet/collections/individual/index.php?occid=34693749</t>
  </si>
  <si>
    <t>SYST-MOR-0007155</t>
  </si>
  <si>
    <t>SYST-MOR-0007155_S208_1.fq.gz</t>
  </si>
  <si>
    <t>SYST-MOR-0007155_S208_2.fq.gz</t>
  </si>
  <si>
    <t>QUE003919</t>
  </si>
  <si>
    <t>TX_BRZ_436_MG</t>
  </si>
  <si>
    <t>Grassy flat area close to lake</t>
  </si>
  <si>
    <t>red oak group, Juglans sp., cedar elm, holly, Turks cap, Knotweed, Snowberry, Carex sp., Grasses, Palmetto</t>
  </si>
  <si>
    <t>55 ft</t>
  </si>
  <si>
    <t>MOR&lt;USA-IL&gt;: Samuels, TX_BRZ_436_MG</t>
  </si>
  <si>
    <t>0111374MOR</t>
  </si>
  <si>
    <t>4679BABA-C4F7-469F-B11E-E5868EB2AC66</t>
  </si>
  <si>
    <t>https://swbiodiversity.org/seinet/collections/individual/index.php?occid=34693294</t>
  </si>
  <si>
    <t>SYST-MOR-0007156</t>
  </si>
  <si>
    <t>SYST-MOR-0007156_S209_1.fq.gz</t>
  </si>
  <si>
    <t>SYST-MOR-0007156_S209_2.fq.gz</t>
  </si>
  <si>
    <t>QUE003920</t>
  </si>
  <si>
    <t>TX_BRZ_437_MG</t>
  </si>
  <si>
    <t>River floodplains, near lake, flat sparse forest</t>
  </si>
  <si>
    <t>cedar elm, Celtis sp., Palmetto, Carex sp., Grasses</t>
  </si>
  <si>
    <t>43 ft</t>
  </si>
  <si>
    <t>MOR&lt;USA-IL&gt;: Samuels, TX_BRZ_437_MG</t>
  </si>
  <si>
    <t>0111240MOR</t>
  </si>
  <si>
    <t>B16774C1-F424-4383-ADA4-C6BDFA6F6097</t>
  </si>
  <si>
    <t>https://swbiodiversity.org/seinet/collections/individual/index.php?occid=34693644</t>
  </si>
  <si>
    <t>SYST-MOR-0007157</t>
  </si>
  <si>
    <t>SYST-MOR-0007157_S210_1.fq.gz</t>
  </si>
  <si>
    <t>SYST-MOR-0007157_S210_2.fq.gz</t>
  </si>
  <si>
    <t>QUE003921</t>
  </si>
  <si>
    <t>TX_PLM_438_MG</t>
  </si>
  <si>
    <t>Gonzales</t>
  </si>
  <si>
    <t>Palmetto State Park</t>
  </si>
  <si>
    <t>Lawn area in floodplains</t>
  </si>
  <si>
    <t>Juglans sp., Rio grande copper Lilly, Dallis grass</t>
  </si>
  <si>
    <t>Quercus stellata Wangenh.|Quercus margaretiae</t>
  </si>
  <si>
    <t>3/3/24|</t>
  </si>
  <si>
    <t>MOR&lt;USA-IL&gt;: Samuels, TX_PLM_438_MG</t>
  </si>
  <si>
    <t>0111262MOR</t>
  </si>
  <si>
    <t>B87AF5DB-885D-4434-ADD0-C904442130B2</t>
  </si>
  <si>
    <t>https://swbiodiversity.org/seinet/collections/individual/index.php?occid=34693647</t>
  </si>
  <si>
    <t>SYST-MOR-0007158</t>
  </si>
  <si>
    <t>SYST-MOR-0007158_S211_1.fq.gz</t>
  </si>
  <si>
    <t>SYST-MOR-0007158_S211_2.fq.gz</t>
  </si>
  <si>
    <t>QUE003922</t>
  </si>
  <si>
    <t>TX_PLM_439_MG</t>
  </si>
  <si>
    <t>River floodplains, dense underbrush forest</t>
  </si>
  <si>
    <t>cedar elm, Quercus sinuata, Celtis sp., Ulmus sp., Quercus macrocarpa, Dwarf Palmetto, Carex sp., Inland oats</t>
  </si>
  <si>
    <t>MOR&lt;USA-IL&gt;: Samuels, TX_PLM_439_MG</t>
  </si>
  <si>
    <t>0111375MOR</t>
  </si>
  <si>
    <t>77168868-2669-465D-8368-CA013E57B445</t>
  </si>
  <si>
    <t>https://swbiodiversity.org/seinet/collections/individual/index.php?occid=34693422</t>
  </si>
  <si>
    <t>SYST-MOR-0007159</t>
  </si>
  <si>
    <t>SYST-MOR-0007159_S212_1.fq.gz</t>
  </si>
  <si>
    <t>SYST-MOR-0007159_S212_2.fq.gz</t>
  </si>
  <si>
    <t>QUE003923</t>
  </si>
  <si>
    <t>TX_PLM_440_MG</t>
  </si>
  <si>
    <t>Quercus durandii</t>
  </si>
  <si>
    <t>Dense brush forest in river floodplains near marshy area</t>
  </si>
  <si>
    <t>cedar elm, Quercus macrocarpa, Celtis sp., Hawthorn, Fraxinus sp., Dwarf Palmetto, Smilax sp., Virginia creeper, Inland oats</t>
  </si>
  <si>
    <t>Quercus sinuata Walt.|=Quercus durandii</t>
  </si>
  <si>
    <t>Marlene Hahn</t>
  </si>
  <si>
    <t>Ron Lan paper in prep</t>
  </si>
  <si>
    <t>MOR&lt;USA-IL&gt;: Samuels, TX_PLM_440_MG</t>
  </si>
  <si>
    <t>0111230MOR</t>
  </si>
  <si>
    <t>AE917A43-DCA0-44B4-88B4-C91BF635C345</t>
  </si>
  <si>
    <t>https://swbiodiversity.org/seinet/collections/individual/index.php?occid=34693592</t>
  </si>
  <si>
    <t>SYST-MOR-0007160</t>
  </si>
  <si>
    <t>SYST-MOR-0007160_S213_1.fq.gz</t>
  </si>
  <si>
    <t>SYST-MOR-0007160_S213_2.fq.gz</t>
  </si>
  <si>
    <t>QUE003924</t>
  </si>
  <si>
    <t>TX_PLM_441_MG</t>
  </si>
  <si>
    <t>Marshy, river floodplains, dense underbrush forest</t>
  </si>
  <si>
    <t>sugar hackberry, Yaupon holly, Ulmus sp., cedar elm, Fraxinus sp., Dwarf palmetto, Paspalum sp., Frostweed</t>
  </si>
  <si>
    <t>MOR&lt;USA-IL&gt;: Samuels, TX_PLM_441_MG</t>
  </si>
  <si>
    <t>0111376MOR</t>
  </si>
  <si>
    <t>B568500D-1D6F-4C9C-9077-2437E6E8A13A</t>
  </si>
  <si>
    <t>https://swbiodiversity.org/seinet/collections/individual/index.php?occid=34693601</t>
  </si>
  <si>
    <t>SYST-MOR-0007161</t>
  </si>
  <si>
    <t>SYST-MOR-0007161_S214_1.fq.gz</t>
  </si>
  <si>
    <t>SYST-MOR-0007161_S214_2.fq.gz</t>
  </si>
  <si>
    <t>QUE003925</t>
  </si>
  <si>
    <t>TX_PLM_442_MG</t>
  </si>
  <si>
    <t>Marshy river floodplains first with dense underbrush</t>
  </si>
  <si>
    <t>Celtis sp., Fraxinus sp., Juglans sp., cedar elm, Quercus macrocarpa, Dwarf palmetto, Inland oats, Carex sp., Virginia creeper</t>
  </si>
  <si>
    <t>351 ft</t>
  </si>
  <si>
    <t>MOR&lt;USA-IL&gt;: Samuels, TX_PLM_442_MG</t>
  </si>
  <si>
    <t>0111229MOR</t>
  </si>
  <si>
    <t>6EC7D83B-E356-476D-9A55-57FAEA526437</t>
  </si>
  <si>
    <t>https://swbiodiversity.org/seinet/collections/individual/index.php?occid=34693461</t>
  </si>
  <si>
    <t>SYST-MOR-0007162</t>
  </si>
  <si>
    <t>SYST-MOR-0007162_S215_1.fq.gz</t>
  </si>
  <si>
    <t>SYST-MOR-0007162_S215_2.fq.gz</t>
  </si>
  <si>
    <t>QUE003926</t>
  </si>
  <si>
    <t>TX_PLM_443_MG</t>
  </si>
  <si>
    <t>Clay soils, marshy, river floodplains, dense underbrush forest</t>
  </si>
  <si>
    <t>cedar elms, Ulmus sp., Fraxinus sp., Box elders, Dwarf palmetto, Carex sp.</t>
  </si>
  <si>
    <t>MOR&lt;USA-IL&gt;: Samuels, TX_PLM_443_MG</t>
  </si>
  <si>
    <t>0111377MOR</t>
  </si>
  <si>
    <t>71383D88-19C5-490E-ACBD-C6CE0AFC8A6D</t>
  </si>
  <si>
    <t>https://swbiodiversity.org/seinet/collections/individual/index.php?occid=34693435</t>
  </si>
  <si>
    <t>SYST-MOR-0007163</t>
  </si>
  <si>
    <t>SYST-MOR-0007163_S216_1.fq.gz</t>
  </si>
  <si>
    <t>SYST-MOR-0007163_S216_2.fq.gz</t>
  </si>
  <si>
    <t>QUE003927</t>
  </si>
  <si>
    <t>TX_PLM_444_MG</t>
  </si>
  <si>
    <t>Dense underbrush forest right next to still water</t>
  </si>
  <si>
    <t>Fraxinus sp., basswood, Platanus sp., Poison ivy, Inland oats, Frostweed, Dwarf palmetto</t>
  </si>
  <si>
    <t>MOR&lt;USA-IL&gt;: Samuels, TX_PLM_444_MG</t>
  </si>
  <si>
    <t>0111378MOR</t>
  </si>
  <si>
    <t>DED43768-4762-4A51-B392-ACFD6456D106</t>
  </si>
  <si>
    <t>https://swbiodiversity.org/seinet/collections/individual/index.php?occid=34693135</t>
  </si>
  <si>
    <t>SYST-MOR-0007164</t>
  </si>
  <si>
    <t>SYST-MOR-0007164_S217_1.fq.gz</t>
  </si>
  <si>
    <t>SYST-MOR-0007164_S217_2.fq.gz</t>
  </si>
  <si>
    <t>QUE003928</t>
  </si>
  <si>
    <t>TX_PLM_445_MG</t>
  </si>
  <si>
    <t>River floodplains, clay- like soils, dense underbrush forest</t>
  </si>
  <si>
    <t>cedar elm, Quercus macrocarpa, Fraxinus sp., Celtis sp., Dwarf palmetto, Inland oats, Virginia creeper, Smilax sp.</t>
  </si>
  <si>
    <t>392 ft</t>
  </si>
  <si>
    <t>MOR&lt;USA-IL&gt;: Samuels, TX_PLM_445_MG</t>
  </si>
  <si>
    <t>0111228MOR</t>
  </si>
  <si>
    <t>DFB15F42-2D31-4F71-932F-E1EDC6C66062</t>
  </si>
  <si>
    <t>https://swbiodiversity.org/seinet/collections/individual/index.php?occid=34693147</t>
  </si>
  <si>
    <t>SYST-MOR-0007165</t>
  </si>
  <si>
    <t>SYST-MOR-0007165_S218_1.fq.gz</t>
  </si>
  <si>
    <t>SYST-MOR-0007165_S218_2.fq.gz</t>
  </si>
  <si>
    <t>QUE003929</t>
  </si>
  <si>
    <t>TX_PLM_446_MG</t>
  </si>
  <si>
    <t>Forest, less swampy and palmetto than other parts of park</t>
  </si>
  <si>
    <t>cedar elms, Quercus sinuata, Fraxinus sp., Dwarf palmetto, Smilax sp., Straggler daisy, Inland oats</t>
  </si>
  <si>
    <t>MOR&lt;USA-IL&gt;: Samuels, TX_PLM_446_MG</t>
  </si>
  <si>
    <t>0111227MOR</t>
  </si>
  <si>
    <t>515AB409-B45C-43AD-970D-09888BC1B006</t>
  </si>
  <si>
    <t>https://swbiodiversity.org/seinet/collections/individual/index.php?occid=34693362</t>
  </si>
  <si>
    <t>SYST-MOR-0007166</t>
  </si>
  <si>
    <t>SYST-MOR-0007166_S219_1.fq.gz</t>
  </si>
  <si>
    <t>SYST-MOR-0007166_S219_2.fq.gz</t>
  </si>
  <si>
    <t>QUE003930</t>
  </si>
  <si>
    <t>TX_PLM_447_MG</t>
  </si>
  <si>
    <t>Less marshy and underbrushy than other areas. Forest</t>
  </si>
  <si>
    <t>red oak group, Tilia sp., Querucs sinuata, Ulmus sp., Inland oats, Dwarf palmetto, Trumpet vine, Smilax sp.</t>
  </si>
  <si>
    <t>MOR&lt;USA-IL&gt;: Samuels, TX_PLM_447_MG</t>
  </si>
  <si>
    <t>0111226MOR</t>
  </si>
  <si>
    <t>CDDCD03C-7784-4A15-BCCC-BB601E1FD589</t>
  </si>
  <si>
    <t>https://swbiodiversity.org/seinet/collections/individual/index.php?occid=34693700</t>
  </si>
  <si>
    <t>SYST-MOR-0007167</t>
  </si>
  <si>
    <t>SYST-MOR-0007167_S220_1.fq.gz</t>
  </si>
  <si>
    <t>SYST-MOR-0007167_S220_2.fq.gz</t>
  </si>
  <si>
    <t>QUE003931</t>
  </si>
  <si>
    <t>TX_PLM_448_MG</t>
  </si>
  <si>
    <t>Forest with grasses, drier than other areas of park</t>
  </si>
  <si>
    <t>cedar elm, Juglans sp., Fraxinus sp., Inland oats, Straggle daisy, Carex sp., Turks cap</t>
  </si>
  <si>
    <t>MOR&lt;USA-IL&gt;: Samuels, TX_PLM_448_MG</t>
  </si>
  <si>
    <t>0111380MOR</t>
  </si>
  <si>
    <t>7B1FFECD-B08F-4FE3-A33D-21DAC9FDE2FD</t>
  </si>
  <si>
    <t>https://swbiodiversity.org/seinet/collections/individual/index.php?occid=34693444</t>
  </si>
  <si>
    <t>SYST-MOR-0007168</t>
  </si>
  <si>
    <t>SYST-MOR-0007168_S221_1.fq.gz</t>
  </si>
  <si>
    <t>SYST-MOR-0007168_S221_2.fq.gz</t>
  </si>
  <si>
    <t>QUE003932</t>
  </si>
  <si>
    <t>TX_CHP_449_MG</t>
  </si>
  <si>
    <t>Leah Samuels, Mira Garner, Emma Spence, Seth Wenrich</t>
  </si>
  <si>
    <t>Cedar Hill State Park</t>
  </si>
  <si>
    <t>River floodplains, forest, little underbrush</t>
  </si>
  <si>
    <t>Quercus stellata, Fraxinus sp., Juniperus sp., Cedar elm, grasses, sugar hackberry</t>
  </si>
  <si>
    <t>MOR&lt;USA-IL&gt;: Samuels, TX_CHP_449_MG</t>
  </si>
  <si>
    <t>0111475MOR</t>
  </si>
  <si>
    <t>8892ED0E-C53E-4014-B068-688B1071A0B4</t>
  </si>
  <si>
    <t>https://swbiodiversity.org/seinet/collections/individual/index.php?occid=34693502</t>
  </si>
  <si>
    <t>SYST-MOR-0007169</t>
  </si>
  <si>
    <t>SYST-MOR-0007169_S222_1.fq.gz</t>
  </si>
  <si>
    <t>SYST-MOR-0007169_S222_2.fq.gz</t>
  </si>
  <si>
    <t>QUE003933</t>
  </si>
  <si>
    <t>TX_CHP_450_MG</t>
  </si>
  <si>
    <t>No underbrush, flat river floodplains, forest</t>
  </si>
  <si>
    <t>sugar hackberry, cedar elm, Quercus stellata, Juniperus sp., Stretchberry, Fraxinus sp.</t>
  </si>
  <si>
    <t>549 ft</t>
  </si>
  <si>
    <t>MOR&lt;USA-IL&gt;: Samuels, TX_CHP_450_MG</t>
  </si>
  <si>
    <t>0111476MOR</t>
  </si>
  <si>
    <t>3A267F0B-7FF5-42F5-A14B-FEC7B6FC3876</t>
  </si>
  <si>
    <t>https://swbiodiversity.org/seinet/collections/individual/index.php?occid=34693263</t>
  </si>
  <si>
    <t>SYST-MOR-0007170</t>
  </si>
  <si>
    <t>SYST-MOR-0007170_S223_1.fq.gz</t>
  </si>
  <si>
    <t>SYST-MOR-0007170_S223_2.fq.gz</t>
  </si>
  <si>
    <t>QUE003934</t>
  </si>
  <si>
    <t>TX_CHP_451_MG</t>
  </si>
  <si>
    <t>River floodplains, flat forest, marshy</t>
  </si>
  <si>
    <t>Cedar elm, Celtis sp., Smilax sp., Grasses</t>
  </si>
  <si>
    <t>582 ft</t>
  </si>
  <si>
    <t>MOR&lt;USA-IL&gt;: Samuels, TX_CHP_451_MG</t>
  </si>
  <si>
    <t>0111379MOR</t>
  </si>
  <si>
    <t>2FB55F1C-4F2C-4163-869D-449090591B19</t>
  </si>
  <si>
    <t>https://swbiodiversity.org/seinet/collections/individual/index.php?occid=34693313</t>
  </si>
  <si>
    <t>SYST-MOR-0007171</t>
  </si>
  <si>
    <t>SYST-MOR-0007171_S224_1.fq.gz</t>
  </si>
  <si>
    <t>SYST-MOR-0007171_S224_2.fq.gz</t>
  </si>
  <si>
    <t>QUE003935</t>
  </si>
  <si>
    <t>TX_CHP_452_MG</t>
  </si>
  <si>
    <t>Flat forest, no underbrush, river floodplains</t>
  </si>
  <si>
    <t>cedar elm, Quercus stellata, Ulmus sp., Stretchberry</t>
  </si>
  <si>
    <t>563 ft</t>
  </si>
  <si>
    <t>MOR&lt;USA-IL&gt;: Samuels, TX_CHP_452_MG</t>
  </si>
  <si>
    <t>0111477MOR</t>
  </si>
  <si>
    <t>F40472A5-B3FA-4462-94C9-F95E3116C1D1</t>
  </si>
  <si>
    <t>https://swbiodiversity.org/seinet/collections/individual/index.php?occid=34693736</t>
  </si>
  <si>
    <t>SYST-MOR-0007172</t>
  </si>
  <si>
    <t>SYST-MOR-0007172_S225_1.fq.gz</t>
  </si>
  <si>
    <t>SYST-MOR-0007172_S225_2.fq.gz</t>
  </si>
  <si>
    <t>QUE003936</t>
  </si>
  <si>
    <t>TX_CHP_453_MG</t>
  </si>
  <si>
    <t>Shrubby forest, little underbrush, river floodplains</t>
  </si>
  <si>
    <t>sugar hackberry, cedar elm, Juniperus sp., Ulmus sp., Stretchberry</t>
  </si>
  <si>
    <t>564 ft</t>
  </si>
  <si>
    <t>MOR&lt;USA-IL&gt;: Samuels, TX_CHP_453_MG</t>
  </si>
  <si>
    <t>0111478MOR</t>
  </si>
  <si>
    <t>0E995B45-ADBA-4736-899B-7CB7F46D33F8</t>
  </si>
  <si>
    <t>https://swbiodiversity.org/seinet/collections/individual/index.php?occid=34693190</t>
  </si>
  <si>
    <t>SYST-MOR-0007173</t>
  </si>
  <si>
    <t>SYST-MOR-0007173_S226_1.fq.gz</t>
  </si>
  <si>
    <t>SYST-MOR-0007173_S226_2.fq.gz</t>
  </si>
  <si>
    <t>QUE003937</t>
  </si>
  <si>
    <t>TX_CHP_454_MG</t>
  </si>
  <si>
    <t>Edge of grasslands, near river, top of hill</t>
  </si>
  <si>
    <t>Ulmus sp., cedar elm, redbud, Grasses, Spurges, Aster</t>
  </si>
  <si>
    <t>618 ft</t>
  </si>
  <si>
    <t>MOR&lt;USA-IL&gt;: Samuels, TX_CHP_454_MG</t>
  </si>
  <si>
    <t>0111384MOR</t>
  </si>
  <si>
    <t>869A7196-FFA8-4FD2-BE23-F8147F413AB1</t>
  </si>
  <si>
    <t>https://swbiodiversity.org/seinet/collections/individual/index.php?occid=34693540</t>
  </si>
  <si>
    <t>SYST-MOR-0007174</t>
  </si>
  <si>
    <t>SYST-MOR-0007174_S227_1.fq.gz</t>
  </si>
  <si>
    <t>SYST-MOR-0007174_S227_2.fq.gz</t>
  </si>
  <si>
    <t>QUE003938</t>
  </si>
  <si>
    <t>TX_CHP_455_MG</t>
  </si>
  <si>
    <t>Flat shrubby patch on grassy hill. Near river</t>
  </si>
  <si>
    <t>Celtis sp., Juniperus sp., Mezquite, Chinese bush clover, Pricklypears</t>
  </si>
  <si>
    <t>MOR&lt;USA-IL&gt;: Samuels, TX_CHP_455_MG</t>
  </si>
  <si>
    <t>0111479MOR</t>
  </si>
  <si>
    <t>FC3EC25C-95F3-4D0F-B62A-5867570021AD</t>
  </si>
  <si>
    <t>https://swbiodiversity.org/seinet/collections/individual/index.php?occid=34693793</t>
  </si>
  <si>
    <t>SYST-MOR-0007175</t>
  </si>
  <si>
    <t>SYST-MOR-0007175_S228_1.fq.gz</t>
  </si>
  <si>
    <t>SYST-MOR-0007175_S228_2.fq.gz</t>
  </si>
  <si>
    <t>QUE003939</t>
  </si>
  <si>
    <t>TX_CHP_456_MG</t>
  </si>
  <si>
    <t>Slight slope, no underbrush, sparse forest near river/river floodplains</t>
  </si>
  <si>
    <t>cedar elm, Celtis sp., Ulmus sp., privet</t>
  </si>
  <si>
    <t>609 ft</t>
  </si>
  <si>
    <t>MOR&lt;USA-IL&gt;: Samuels, TX_CHP_456_MG</t>
  </si>
  <si>
    <t>0111387MOR</t>
  </si>
  <si>
    <t>0D0D3E10-3928-4CDB-AD81-7CE7D4385520</t>
  </si>
  <si>
    <t>https://swbiodiversity.org/seinet/collections/individual/index.php?occid=34693179</t>
  </si>
  <si>
    <t>SYST-MOR-0007176</t>
  </si>
  <si>
    <t>SYST-MOR-0007176_S229_1.fq.gz</t>
  </si>
  <si>
    <t>SYST-MOR-0007176_S229_2.fq.gz</t>
  </si>
  <si>
    <t>QUE003940</t>
  </si>
  <si>
    <t>TX_CHP_457_MG</t>
  </si>
  <si>
    <t>Flat open forest with little underbrush, river floodplains</t>
  </si>
  <si>
    <t>cedar elm, Juniperus sp., Fraxinus sp., Smilax sp., Privet</t>
  </si>
  <si>
    <t>548 ft</t>
  </si>
  <si>
    <t>MOR&lt;USA-IL&gt;: Samuels, TX_CHP_457_MG</t>
  </si>
  <si>
    <t>0111385MOR</t>
  </si>
  <si>
    <t>54EB48AD-1069-44F7-BE31-D403B6AA186F</t>
  </si>
  <si>
    <t>https://swbiodiversity.org/seinet/collections/individual/index.php?occid=34693364</t>
  </si>
  <si>
    <t>SYST-MOR-0007177</t>
  </si>
  <si>
    <t>SYST-MOR-0007177_S230_1.fq.gz</t>
  </si>
  <si>
    <t>SYST-MOR-0007177_S230_2.fq.gz</t>
  </si>
  <si>
    <t>QUE003941</t>
  </si>
  <si>
    <t>TX_CHP_458_MG</t>
  </si>
  <si>
    <t>Middle of parking lot, right near river</t>
  </si>
  <si>
    <t>Quercus sinuata, Mexican buckeye, Buckeye, Ulmus sp., Smilax sp., Fraxinus sp.</t>
  </si>
  <si>
    <t>MOR&lt;USA-IL&gt;: Samuels, TX_CHP_458_MG</t>
  </si>
  <si>
    <t>0111225MOR</t>
  </si>
  <si>
    <t>7A29C377-173D-476B-9FBD-DD92B51069E3</t>
  </si>
  <si>
    <t>https://swbiodiversity.org/seinet/collections/individual/index.php?occid=34693489</t>
  </si>
  <si>
    <t>SYST-MOR-0007178</t>
  </si>
  <si>
    <t>SYST-MOR-0007178_S1_1.fq.gz</t>
  </si>
  <si>
    <t>SYST-MOR-0007178_S1_2.fq.gz</t>
  </si>
  <si>
    <t>QUE003942</t>
  </si>
  <si>
    <t>TX_CHP_459_MG</t>
  </si>
  <si>
    <t>Edge of grasslands and forest, river floodplains, little underbrush</t>
  </si>
  <si>
    <t>Cedar elms, Juglans sp., Privet</t>
  </si>
  <si>
    <t>MOR&lt;USA-IL&gt;: Samuels, TX_CHP_459_MG</t>
  </si>
  <si>
    <t>0111386MOR</t>
  </si>
  <si>
    <t>67CF3757-1FF7-4D08-9DFA-CB493A953481</t>
  </si>
  <si>
    <t>https://swbiodiversity.org/seinet/collections/individual/index.php?occid=34693452</t>
  </si>
  <si>
    <t>SYST-MOR-0007179</t>
  </si>
  <si>
    <t>SYST-MOR-0007179_S2_1.fq.gz</t>
  </si>
  <si>
    <t>SYST-MOR-0007179_S2_2.fq.gz</t>
  </si>
  <si>
    <t>QUE003943</t>
  </si>
  <si>
    <t>IL_RCA_460_MG</t>
  </si>
  <si>
    <t>Ryerson Conservation Area</t>
  </si>
  <si>
    <t>Dense underbrush forest</t>
  </si>
  <si>
    <t>Quercus macrocarpa, Quercus alba, Acer, Carya sp., American hog peanut, Wild geranium, Poison ivy, Goldenrods, Ribes sp., Virginia creeper, Solomon's seal, Ulmus sp., Carex sp.</t>
  </si>
  <si>
    <t>689 ft</t>
  </si>
  <si>
    <t>MOR&lt;USA-IL&gt;: Samuels, IL_RCA_460_MG</t>
  </si>
  <si>
    <t>0111021MOR</t>
  </si>
  <si>
    <t>E6CCF4D0-FDD7-427E-AF5C-DD027AEDD40E</t>
  </si>
  <si>
    <t>https://swbiodiversity.org/seinet/collections/individual/index.php?occid=34693783</t>
  </si>
  <si>
    <t>SYST-MOR-0007180</t>
  </si>
  <si>
    <t>SYST-MOR-0007180_S3_1.fq.gz</t>
  </si>
  <si>
    <t>SYST-MOR-0007180_S3_2.fq.gz</t>
  </si>
  <si>
    <t>QUE003944</t>
  </si>
  <si>
    <t>IL_RCA_461_MG</t>
  </si>
  <si>
    <t>Dense underbrush, forest</t>
  </si>
  <si>
    <t>Acer sp., Quercus macrocarpa, Goldenrods, American hog peanut, Poison ivy, Virginia creeper, Wild geranium, Erigeron sp., Great blue lobelia, Carex sp., Rosa sp., Elymus sp., Common jewel weed</t>
  </si>
  <si>
    <t>687 ft</t>
  </si>
  <si>
    <t>MOR&lt;USA-IL&gt;: Samuels, IL_RCA_461_MG</t>
  </si>
  <si>
    <t>0111283MOR</t>
  </si>
  <si>
    <t>FC9C4281-BC6D-4FCC-B9CA-005FF88B4B17</t>
  </si>
  <si>
    <t>https://swbiodiversity.org/seinet/collections/individual/index.php?occid=34693759</t>
  </si>
  <si>
    <t>SYST-MOR-0007181</t>
  </si>
  <si>
    <t>SYST-MOR-0007181_S4_1.fq.gz</t>
  </si>
  <si>
    <t>SYST-MOR-0007181_S4_2.fq.gz</t>
  </si>
  <si>
    <t>QUE003945</t>
  </si>
  <si>
    <t>IL_RCA_462_MG</t>
  </si>
  <si>
    <t>Carya sp., Quercus macrocarpa, Ulmus sp., Tilia sp., Juglans sp., Poison ivy, Goldenrods, Dogwood, Virginia creeper, Carex sp., Coneflower, Apioideae</t>
  </si>
  <si>
    <t>MOR&lt;USA-IL&gt;: Samuels, IL_RCA_462_MG</t>
  </si>
  <si>
    <t>0111107MOR</t>
  </si>
  <si>
    <t>877A06C9-61E3-4150-8CE4-58871B6F3490</t>
  </si>
  <si>
    <t>https://swbiodiversity.org/seinet/collections/individual/index.php?occid=34693560</t>
  </si>
  <si>
    <t>SYST-MOR-0007182</t>
  </si>
  <si>
    <t>SYST-MOR-0007182_S5_1.fq.gz</t>
  </si>
  <si>
    <t>SYST-MOR-0007182_S5_2.fq.gz</t>
  </si>
  <si>
    <t>QUE003946</t>
  </si>
  <si>
    <t>IL_RCA_463_MG</t>
  </si>
  <si>
    <t>Ulmus sp., red oak group, Acer sp., Poison ivy, Tilia sp., Goldenrods, Blackberry, Carex sp., Asteraceae</t>
  </si>
  <si>
    <t>674 ft</t>
  </si>
  <si>
    <t>MOR&lt;USA-IL&gt;: Samuels, IL_RCA_463_MG</t>
  </si>
  <si>
    <t>0111270MOR</t>
  </si>
  <si>
    <t>071BE753-6EAF-4070-BA3E-DCB8A57427E1</t>
  </si>
  <si>
    <t>https://swbiodiversity.org/seinet/collections/individual/index.php?occid=34693152</t>
  </si>
  <si>
    <t>SYST-MOR-0007183</t>
  </si>
  <si>
    <t>SYST-MOR-0007183_S6_1.fq.gz</t>
  </si>
  <si>
    <t>SYST-MOR-0007183_S6_2.fq.gz</t>
  </si>
  <si>
    <t>QUE003947</t>
  </si>
  <si>
    <t>IL_RCA_464_MG</t>
  </si>
  <si>
    <t>Quercus alba, American hog peanut, Coneflower, Poison ivy, Quercus alba saplings, Dogwood, Carya, Goldenrod, Acer small trees, Solomon's seal, Rubus sp., Multiflora rose</t>
  </si>
  <si>
    <t>MOR&lt;USA-IL&gt;: Samuels, IL_RCA_464_MG</t>
  </si>
  <si>
    <t>0111020MOR</t>
  </si>
  <si>
    <t>52AE9541-58FC-4910-ACE0-3C9AE3639997</t>
  </si>
  <si>
    <t>https://swbiodiversity.org/seinet/collections/individual/index.php?occid=34693396</t>
  </si>
  <si>
    <t>SYST-MOR-0007184</t>
  </si>
  <si>
    <t>SYST-MOR-0007184_S7_1.fq.gz</t>
  </si>
  <si>
    <t>SYST-MOR-0007184_S7_2.fq.gz</t>
  </si>
  <si>
    <t>QUE003948</t>
  </si>
  <si>
    <t>IL_RCA_465_MG</t>
  </si>
  <si>
    <t>Forest/grasslands area near formerly marshy area</t>
  </si>
  <si>
    <t>Quercus macrocarpa, Quercus alba, Sensitive fern, Poison ivy, Sapling Quercus bicolor, Wild rye, Wild geranium, Symphyotrichum sp., Goldenrod, Carex sp., Poaceae</t>
  </si>
  <si>
    <t>688 ft</t>
  </si>
  <si>
    <t>MOR&lt;USA-IL&gt;: Samuels, IL_RCA_465_MG</t>
  </si>
  <si>
    <t>0111090MOR</t>
  </si>
  <si>
    <t>B2BEC3DA-53D9-4E68-9A05-6712C3430FAB</t>
  </si>
  <si>
    <t>https://swbiodiversity.org/seinet/collections/individual/index.php?occid=34693659</t>
  </si>
  <si>
    <t>SYST-MOR-0007185</t>
  </si>
  <si>
    <t>SYST-MOR-0007185_S8_1.fq.gz</t>
  </si>
  <si>
    <t>SYST-MOR-0007185_S8_2.fq.gz</t>
  </si>
  <si>
    <t>QUE003949</t>
  </si>
  <si>
    <t>IL_RCA_466_MG</t>
  </si>
  <si>
    <t>Quercus alba, red oak group, Ulmus sp., Tilia sp., Poison ivy, Symphyotricum sp., Wild geranium, American hog peanut, Carya sp., Carex sp., Rubus sp., Blackhaw</t>
  </si>
  <si>
    <t>667 ft</t>
  </si>
  <si>
    <t>MOR&lt;USA-IL&gt;: Samuels, IL_RCA_466_MG</t>
  </si>
  <si>
    <t>0111019MOR</t>
  </si>
  <si>
    <t>2B3A7626-C5C0-448A-9A69-7B916B5CB8B7</t>
  </si>
  <si>
    <t>https://swbiodiversity.org/seinet/collections/individual/index.php?occid=34693223</t>
  </si>
  <si>
    <t>SYST-MOR-0007186</t>
  </si>
  <si>
    <t>SYST-MOR-0007186_S9_1.fq.gz</t>
  </si>
  <si>
    <t>SYST-MOR-0007186_S9_2.fq.gz</t>
  </si>
  <si>
    <t>QUE003950</t>
  </si>
  <si>
    <t>IL_RCA_467_MG</t>
  </si>
  <si>
    <t>Marshy wooded area</t>
  </si>
  <si>
    <t>Quercus bicolor, Ulmus sp., Coneflower, Goldenrods, Wild geranium, Symphyotricum sp., Poison ivy, Juglans sp., Carya sp., Rubus sp., Virginia creeper, Carex sp., Grasses, Common buckthorn</t>
  </si>
  <si>
    <t>648 ft</t>
  </si>
  <si>
    <t>MOR&lt;USA-IL&gt;: Samuels, IL_RCA_467_MG</t>
  </si>
  <si>
    <t>0111092MOR</t>
  </si>
  <si>
    <t>AE376DA1-62B5-4241-8195-9582BEA22679</t>
  </si>
  <si>
    <t>https://swbiodiversity.org/seinet/collections/individual/index.php?occid=34693591</t>
  </si>
  <si>
    <t>SYST-MOR-0007187</t>
  </si>
  <si>
    <t>SYST-MOR-0007187_S10_1.fq.gz</t>
  </si>
  <si>
    <t>SYST-MOR-0007187_S10_2.fq.gz</t>
  </si>
  <si>
    <t>QUE003951</t>
  </si>
  <si>
    <t>IL_RCA_468_MG</t>
  </si>
  <si>
    <t>Quercus alba, Carya sp., Tilia sp., Quercus macrocarpa, Ulmus sp., Poison ivy, Wild geranium, Multiflora rose, Dogwood, Solomon's seal</t>
  </si>
  <si>
    <t>656 ft</t>
  </si>
  <si>
    <t>MOR&lt;USA-IL&gt;: Samuels, IL_RCA_468_MG</t>
  </si>
  <si>
    <t>0111284MOR</t>
  </si>
  <si>
    <t>AAB93620-C32D-4CD5-989B-90CAD7B2D80F</t>
  </si>
  <si>
    <t>https://swbiodiversity.org/seinet/collections/individual/index.php?occid=34693589</t>
  </si>
  <si>
    <t>SYST-MOR-0007188</t>
  </si>
  <si>
    <t>SYST-MOR-0007188_S11_1.fq.gz</t>
  </si>
  <si>
    <t>SYST-MOR-0007188_S11_2.fq.gz</t>
  </si>
  <si>
    <t>QUE003952</t>
  </si>
  <si>
    <t>IL_RCA_469_MG</t>
  </si>
  <si>
    <t>Quercus alba, red oak group, Quercus macrocarpa, Carya sp., Fraxinus sp., Rubus sp., Buckthorn, Ribes sp., Poison ivy, Goldenrod, Carex sp., Wild geranium</t>
  </si>
  <si>
    <t>MOR&lt;USA-IL&gt;: Samuels, IL_RCA_469_MG</t>
  </si>
  <si>
    <t>0111018MOR</t>
  </si>
  <si>
    <t>C4D6918B-C82D-49BA-BFB6-2A6F0EB0FF2D</t>
  </si>
  <si>
    <t>https://swbiodiversity.org/seinet/collections/individual/index.php?occid=34693674</t>
  </si>
  <si>
    <t>SYST-MOR-0007189</t>
  </si>
  <si>
    <t>SYST-MOR-0007189_S12_1.fq.gz</t>
  </si>
  <si>
    <t>SYST-MOR-0007189_S12_2.fq.gz</t>
  </si>
  <si>
    <t>QUE003953</t>
  </si>
  <si>
    <t>IL_RCA_470_MG</t>
  </si>
  <si>
    <t>Dense shrubby forest</t>
  </si>
  <si>
    <t>Quercus alba, Quercus macrocarpa, Ulmus sp., Carya sp., Carex sp., Poison ivy, Multiflora rose</t>
  </si>
  <si>
    <t>700 ft</t>
  </si>
  <si>
    <t>MOR&lt;USA-IL&gt;: Samuels, IL_RCA_470_MG</t>
  </si>
  <si>
    <t>0111275MOR</t>
  </si>
  <si>
    <t>BE64FE07-FABF-4965-9C39-BB38B09CDA58</t>
  </si>
  <si>
    <t>https://swbiodiversity.org/seinet/collections/individual/index.php?occid=34693673</t>
  </si>
  <si>
    <t>SYST-MOR-0007190</t>
  </si>
  <si>
    <t>SYST-MOR-0007190_S13_1.fq.gz</t>
  </si>
  <si>
    <t>SYST-MOR-0007190_S13_2.fq.gz</t>
  </si>
  <si>
    <t>QUE003954</t>
  </si>
  <si>
    <t>IL_RCA_471_MG</t>
  </si>
  <si>
    <t>Marshy forest, wooded area</t>
  </si>
  <si>
    <t>Quercus bicolor, Poison ivy, Water parsnip, Common jewel weed, Buckthorn, Wild geranium, American hog peanut, Ulmus sp.</t>
  </si>
  <si>
    <t>Seeds ripening,Seeds mature</t>
  </si>
  <si>
    <t>676 ft</t>
  </si>
  <si>
    <t>MOR&lt;USA-IL&gt;: Samuels, IL_RCA_471_MG</t>
  </si>
  <si>
    <t>0111091MOR</t>
  </si>
  <si>
    <t>6E755662-8B9A-4D21-BCDC-D9D186480D0F</t>
  </si>
  <si>
    <t>https://swbiodiversity.org/seinet/collections/individual/index.php?occid=34693459</t>
  </si>
  <si>
    <t>SYST-MOR-0007191</t>
  </si>
  <si>
    <t>SYST-MOR-0007191_S14_1.fq.gz</t>
  </si>
  <si>
    <t>SYST-MOR-0007191_S14_2.fq.gz</t>
  </si>
  <si>
    <t>QUE003955</t>
  </si>
  <si>
    <t>IL_RCA_472_MG</t>
  </si>
  <si>
    <t>Quercus macrocarpa, Carya sp., Poison ivy, Common buckthorn, Virginia creeper, Dogwood, Fraxinus sp., Wild geranium, Ulmus sp.</t>
  </si>
  <si>
    <t>692 ft</t>
  </si>
  <si>
    <t>MOR&lt;USA-IL&gt;: Samuels, IL_RCA_472_MG</t>
  </si>
  <si>
    <t>0111017MOR</t>
  </si>
  <si>
    <t>CD0BC8C7-2B49-4F9C-AFE0-ED95749548ED</t>
  </si>
  <si>
    <t>https://swbiodiversity.org/seinet/collections/individual/index.php?occid=34693697</t>
  </si>
  <si>
    <t>SYST-MOR-0007192</t>
  </si>
  <si>
    <t>SYST-MOR-0007192_S15_1.fq.gz</t>
  </si>
  <si>
    <t>SYST-MOR-0007192_S15_2.fq.gz</t>
  </si>
  <si>
    <t>QUE003956</t>
  </si>
  <si>
    <t>IL_RCA_473_MG</t>
  </si>
  <si>
    <t>Shrubby dense forest</t>
  </si>
  <si>
    <t>Quercus macrocarpa, Carya sp., Quercus alba, Poison ivy, Common buckthorn, Virginia creeper, Dogwood, Fraxinus sp., Wild geranium, Ulmus sp., Ribes sp.</t>
  </si>
  <si>
    <t>MOR&lt;USA-IL&gt;: Samuels, IL_RCA_473_MG</t>
  </si>
  <si>
    <t>0111276MOR</t>
  </si>
  <si>
    <t>8D48377A-C621-4792-9E75-AB29692AC760</t>
  </si>
  <si>
    <t>https://swbiodiversity.org/seinet/collections/individual/index.php?occid=34693525</t>
  </si>
  <si>
    <t>SYST-MOR-0007193</t>
  </si>
  <si>
    <t>SYST-MOR-0007193_S16_1.fq.gz</t>
  </si>
  <si>
    <t>SYST-MOR-0007193_S16_2.fq.gz</t>
  </si>
  <si>
    <t>QUE003957</t>
  </si>
  <si>
    <t>IL_RCA_474_MG</t>
  </si>
  <si>
    <t>Previously wet/swampy area, dense brushy woods</t>
  </si>
  <si>
    <t>Quercus bicolor, Ulmus sp., American hog peanut, Common buckthorn, Wild geranium, Smilax sp., Poison ivy</t>
  </si>
  <si>
    <t>699 ft</t>
  </si>
  <si>
    <t>MOR&lt;USA-IL&gt;: Samuels, IL_RCA_474_MG</t>
  </si>
  <si>
    <t>0111089MOR</t>
  </si>
  <si>
    <t>15EE2EAE-F586-4902-A525-649601D0C227</t>
  </si>
  <si>
    <t>https://swbiodiversity.org/seinet/collections/individual/index.php?occid=34693228</t>
  </si>
  <si>
    <t>SYST-MOR-0007194</t>
  </si>
  <si>
    <t>SYST-MOR-0007194_S17_1.fq.gz</t>
  </si>
  <si>
    <t>SYST-MOR-0007194_S17_2.fq.gz</t>
  </si>
  <si>
    <t>QUE003958</t>
  </si>
  <si>
    <t>IN_MWT_475_MG</t>
  </si>
  <si>
    <t>Tippecanoe</t>
  </si>
  <si>
    <t>McCormick Woods Trail</t>
  </si>
  <si>
    <t>Flat forest with low underbrush</t>
  </si>
  <si>
    <t>Carya sp., Acer sp., Fraxinus sp., Goldenrod, Poison ivy, Bottlebrush grass</t>
  </si>
  <si>
    <t>774 ft</t>
  </si>
  <si>
    <t>MOR&lt;USA-IL&gt;: Samuels, IN_MWT_475_MG</t>
  </si>
  <si>
    <t>0111005MOR</t>
  </si>
  <si>
    <t>019794CE-06F9-451F-B66D-AB9173223945</t>
  </si>
  <si>
    <t>https://swbiodiversity.org/seinet/collections/individual/index.php?occid=34693128</t>
  </si>
  <si>
    <t>SYST-MOR-0007195</t>
  </si>
  <si>
    <t>SYST-MOR-0007195_S18_1.fq.gz</t>
  </si>
  <si>
    <t>SYST-MOR-0007195_S18_2.fq.gz</t>
  </si>
  <si>
    <t>QUE003959</t>
  </si>
  <si>
    <t>IN_MWT_476_MG</t>
  </si>
  <si>
    <t>Marshy, clay soils, shrubby forest</t>
  </si>
  <si>
    <t>Carya sp., Tilia sp., Poison ivy, Wood nettle, Northern spicebush, Virginia creeper, Garlic mustard, Acer sp.</t>
  </si>
  <si>
    <t>MOR&lt;USA-IL&gt;: Samuels, IN_MWT_476_MG</t>
  </si>
  <si>
    <t>0111084MOR</t>
  </si>
  <si>
    <t>9A493238-23C1-4C90-A5B5-2F91665E99AA</t>
  </si>
  <si>
    <t>https://swbiodiversity.org/seinet/collections/individual/index.php?occid=34693574</t>
  </si>
  <si>
    <t>SYST-MOR-0007196</t>
  </si>
  <si>
    <t>SYST-MOR-0007196_S19_1.fq.gz</t>
  </si>
  <si>
    <t>SYST-MOR-0007196_S19_2.fq.gz</t>
  </si>
  <si>
    <t>QUE003960</t>
  </si>
  <si>
    <t>IN_MWT_477_MG</t>
  </si>
  <si>
    <t>Soft, clay soils, flat forest with shrubs and other ground cover</t>
  </si>
  <si>
    <t>Quercus alba, Acer sp., Ulmus sp., Wood nettle, Northern spice bush, Garlic mustard, Solomon's seal</t>
  </si>
  <si>
    <t>749 ft</t>
  </si>
  <si>
    <t>MOR&lt;USA-IL&gt;: Samuels, IN_MWT_477_MG</t>
  </si>
  <si>
    <t>0111004MOR</t>
  </si>
  <si>
    <t>6B753056-DC4B-4ACB-A33F-A6B693BC7E9A</t>
  </si>
  <si>
    <t>https://swbiodiversity.org/seinet/collections/individual/index.php?occid=34693457</t>
  </si>
  <si>
    <t>SYST-MOR-0007197</t>
  </si>
  <si>
    <t>SYST-MOR-0007197_S20_1.fq.gz</t>
  </si>
  <si>
    <t>SYST-MOR-0007197_S20_2.fq.gz</t>
  </si>
  <si>
    <t>QUE003961</t>
  </si>
  <si>
    <t>IN_MWT_478_MG</t>
  </si>
  <si>
    <t>Flat dense patch of forest between two trails</t>
  </si>
  <si>
    <t>Carya sp., Acer sp., Ulmus sp., Honeysuckle, American asters, Goldenrod, Rosette grass, Privets</t>
  </si>
  <si>
    <t>MOR&lt;USA-IL&gt;: Samuels, IN_MWT_478_MG</t>
  </si>
  <si>
    <t>0111003MOR</t>
  </si>
  <si>
    <t>91C1E4B2-E91A-4FA0-B632-2F299F7AA3DB</t>
  </si>
  <si>
    <t>https://swbiodiversity.org/seinet/collections/individual/index.php?occid=34693547</t>
  </si>
  <si>
    <t>SYST-MOR-0007198</t>
  </si>
  <si>
    <t>SYST-MOR-0007198_S21_1.fq.gz</t>
  </si>
  <si>
    <t>SYST-MOR-0007198_S21_2.fq.gz</t>
  </si>
  <si>
    <t>QUE003962</t>
  </si>
  <si>
    <t>IN_MWT_479_MG</t>
  </si>
  <si>
    <t>Soft soils, forest with little underbrush</t>
  </si>
  <si>
    <t>Carya sp., Ulmus sp., Quercus alba, Acer sp., Virginia creeper, Honeysuckle, Garlic mustard, Northern spice bush, Running strawberry bush</t>
  </si>
  <si>
    <t>MOR&lt;USA-IL&gt;: Samuels, IN_MWT_479_MG</t>
  </si>
  <si>
    <t>0111085MOR</t>
  </si>
  <si>
    <t>E5490D76-B3E5-46C3-BE53-4AE7B7423B4A</t>
  </si>
  <si>
    <t>https://swbiodiversity.org/seinet/collections/individual/index.php?occid=34693725</t>
  </si>
  <si>
    <t>SYST-MOR-0007199</t>
  </si>
  <si>
    <t>SYST-MOR-0007199_S22_1.fq.gz</t>
  </si>
  <si>
    <t>SYST-MOR-0007199_S22_2.fq.gz</t>
  </si>
  <si>
    <t>QUE003963</t>
  </si>
  <si>
    <t>IN_MWT_480_MG</t>
  </si>
  <si>
    <t>Little underbrush forest</t>
  </si>
  <si>
    <t>Carya sp., Acer sp., Quercus alba, red oak group, Honeysuckle, Grass</t>
  </si>
  <si>
    <t>MOR&lt;USA-IL&gt;: Samuels, IN_MWT_480_MG</t>
  </si>
  <si>
    <t>0111295MOR</t>
  </si>
  <si>
    <t>A490A640-5BBF-4D4B-A6BD-C92FB559BDD7</t>
  </si>
  <si>
    <t>https://swbiodiversity.org/seinet/collections/individual/index.php?occid=34693650</t>
  </si>
  <si>
    <t>SYST-MOR-0007200</t>
  </si>
  <si>
    <t>SYST-MOR-0007200_S23_1.fq.gz</t>
  </si>
  <si>
    <t>SYST-MOR-0007200_S23_2.fq.gz</t>
  </si>
  <si>
    <t>QUE003964</t>
  </si>
  <si>
    <t>IN_MWT_481_MG</t>
  </si>
  <si>
    <t>Flat forest with bushes and other ground cover plants</t>
  </si>
  <si>
    <t>Acer sp., Juglans sp., Tilia sp., Goldenrods, Garlic mustard, Ulmus sp., Carex sp., Virginia creeper</t>
  </si>
  <si>
    <t>MOR&lt;USA-IL&gt;: Samuels, IN_MWT_481_MG</t>
  </si>
  <si>
    <t>0111002MOR</t>
  </si>
  <si>
    <t>D8294520-67B9-4FF6-B9A3-9872B3329D68</t>
  </si>
  <si>
    <t>https://swbiodiversity.org/seinet/collections/individual/index.php?occid=34693132</t>
  </si>
  <si>
    <t>SYST-MOR-0007201</t>
  </si>
  <si>
    <t>SYST-MOR-0007201_S24_1.fq.gz</t>
  </si>
  <si>
    <t>SYST-MOR-0007201_S24_2.fq.gz</t>
  </si>
  <si>
    <t>QUE003965</t>
  </si>
  <si>
    <t>IN_MWT_482_MG</t>
  </si>
  <si>
    <t>Clay like souls, dense underbrush forest</t>
  </si>
  <si>
    <t>Celtis sp., Ulmus sp., Acer sp., Juglans sp., Wood nettle, Virginia creeper, Rosette grasses</t>
  </si>
  <si>
    <t>720 ft</t>
  </si>
  <si>
    <t>MOR&lt;USA-IL&gt;: Samuels, IN_MWT_482_MG</t>
  </si>
  <si>
    <t>0111171MOR</t>
  </si>
  <si>
    <t>725DFC98-1CC4-4D2D-9432-6615FBDAEA3F</t>
  </si>
  <si>
    <t>https://swbiodiversity.org/seinet/collections/individual/index.php?occid=34693482</t>
  </si>
  <si>
    <t>SYST-MOR-0007202</t>
  </si>
  <si>
    <t>SYST-MOR-0007202_S25_1.fq.gz</t>
  </si>
  <si>
    <t>SYST-MOR-0007202_S25_2.fq.gz</t>
  </si>
  <si>
    <t>QUE003966</t>
  </si>
  <si>
    <t>IN_MWT_483_MG</t>
  </si>
  <si>
    <t>Marsh/creek bed forest with dense underbrush,</t>
  </si>
  <si>
    <t>Quercus alba, Acer sp., Rosette grasses, Wood nettle, Garlic mustard</t>
  </si>
  <si>
    <t>MOR&lt;USA-IL&gt;: Samuels, IN_MWT_483_MG</t>
  </si>
  <si>
    <t>0111170MOR</t>
  </si>
  <si>
    <t>9B7EB860-40AF-48CE-8BBC-796F7D6BF617</t>
  </si>
  <si>
    <t>https://swbiodiversity.org/seinet/collections/individual/index.php?occid=34693536</t>
  </si>
  <si>
    <t>SYST-MOR-0007203</t>
  </si>
  <si>
    <t>SYST-MOR-0007203_S26_1.fq.gz</t>
  </si>
  <si>
    <t>SYST-MOR-0007203_S26_2.fq.gz</t>
  </si>
  <si>
    <t>QUE003967</t>
  </si>
  <si>
    <t>IN_MWT_484_MG</t>
  </si>
  <si>
    <t>Lots of saplings as underbrush, forest</t>
  </si>
  <si>
    <t>Acer sp., Carya sp., red oak groups, Virginia creeper, Rattlesnake root, Smilax sp., American jump seed</t>
  </si>
  <si>
    <t>MOR&lt;USA-IL&gt;: Samuels, IN_MWT_484_MG</t>
  </si>
  <si>
    <t>0111169MOR</t>
  </si>
  <si>
    <t>E11E9C2E-B9F0-4EE9-990F-933117DCB636</t>
  </si>
  <si>
    <t>https://swbiodiversity.org/seinet/collections/individual/index.php?occid=34693178</t>
  </si>
  <si>
    <t>SYST-MOR-0007204</t>
  </si>
  <si>
    <t>SYST-MOR-0007204_S27_1.fq.gz</t>
  </si>
  <si>
    <t>SYST-MOR-0007204_S27_2.fq.gz</t>
  </si>
  <si>
    <t>QUE003968</t>
  </si>
  <si>
    <t>IN_TYL_485_MG</t>
  </si>
  <si>
    <t>Grant</t>
  </si>
  <si>
    <t>Taylor Wilderness</t>
  </si>
  <si>
    <t>Riparian forest along dry creek/ditch, little underbrush</t>
  </si>
  <si>
    <t>Carya sp., Acer sp., Quercus alba, Quercus sect. Lobatae, Virginia creeper, American jump seed, Carex sp., Northern spice bush</t>
  </si>
  <si>
    <t>927 ft</t>
  </si>
  <si>
    <t>MOR&lt;USA-IL&gt;: Samuels, IN_TYL_485_MG</t>
  </si>
  <si>
    <t>0111168MOR</t>
  </si>
  <si>
    <t>CB8EFD3C-1C88-4EAB-AFDD-765A4302E81C</t>
  </si>
  <si>
    <t>https://swbiodiversity.org/seinet/collections/individual/index.php?occid=34693712</t>
  </si>
  <si>
    <t>SYST-MOR-0007205</t>
  </si>
  <si>
    <t>SYST-MOR-0007205_S28_1.fq.gz</t>
  </si>
  <si>
    <t>SYST-MOR-0007205_S28_2.fq.gz</t>
  </si>
  <si>
    <t>QUE003969</t>
  </si>
  <si>
    <t>IN_TYL_486_MG</t>
  </si>
  <si>
    <t>Riparian forest</t>
  </si>
  <si>
    <t>Quercus macrocarpa, Acer sp., Wild Ginger, Pawpaw, Northern spicebush, Virginia creeper</t>
  </si>
  <si>
    <t>932 ft</t>
  </si>
  <si>
    <t>MOR&lt;USA-IL&gt;: Samuels, IN_TYL_486_MG</t>
  </si>
  <si>
    <t>0111290MOR</t>
  </si>
  <si>
    <t>E6833296-94BC-48C4-AAD4-9D096C7EC504</t>
  </si>
  <si>
    <t>https://swbiodiversity.org/seinet/collections/individual/index.php?occid=34693781</t>
  </si>
  <si>
    <t>SYST-MOR-0007206</t>
  </si>
  <si>
    <t>SYST-MOR-0007206_S29_1.fq.gz</t>
  </si>
  <si>
    <t>SYST-MOR-0007206_S29_2.fq.gz</t>
  </si>
  <si>
    <t>QUE003970</t>
  </si>
  <si>
    <t>IN_TYL_487_MG</t>
  </si>
  <si>
    <t xml:space="preserve">Carya sp., Black cherry, Acer sp., buckeye, Ulmus sp., Celtis sp., Juglans sp., Fraxinus sp., Poison ivy, American jump seed, Ribes sp., Honeysuckle, Sanicles </t>
  </si>
  <si>
    <t>919 ft</t>
  </si>
  <si>
    <t>MOR&lt;USA-IL&gt;: Samuels, IN_TYL_487_MG</t>
  </si>
  <si>
    <t>0111292MOR</t>
  </si>
  <si>
    <t>DBA02D52-0A13-4C6B-9806-F329E38C8DC9</t>
  </si>
  <si>
    <t>https://swbiodiversity.org/seinet/collections/individual/index.php?occid=34693168</t>
  </si>
  <si>
    <t>SYST-MOR-0007207</t>
  </si>
  <si>
    <t>SYST-MOR-0007207_S30_1.fq.gz</t>
  </si>
  <si>
    <t>SYST-MOR-0007207_S30_2.fq.gz</t>
  </si>
  <si>
    <t>QUE003971</t>
  </si>
  <si>
    <t>IN_TYL_488_MG</t>
  </si>
  <si>
    <t>Quercus macrocarpa, Celtis sp., Ulmus sp., Juglans sp., Sanicles, Carya sp., Black raspberry, Honeysuckle, Snakeroot, Carex sp., Ragwort</t>
  </si>
  <si>
    <t>MOR&lt;USA-IL&gt;: Samuels, IN_TYL_488_MG</t>
  </si>
  <si>
    <t>0111291MOR</t>
  </si>
  <si>
    <t>6B4A5844-E06D-47D1-9329-73073B0EACA6</t>
  </si>
  <si>
    <t>https://swbiodiversity.org/seinet/collections/individual/index.php?occid=34693455</t>
  </si>
  <si>
    <t>SYST-MOR-0007208</t>
  </si>
  <si>
    <t>SYST-MOR-0007208_S31_1.fq.gz</t>
  </si>
  <si>
    <t>SYST-MOR-0007208_S31_2.fq.gz</t>
  </si>
  <si>
    <t>QUE003972</t>
  </si>
  <si>
    <t>IN_TYL_489_MG</t>
  </si>
  <si>
    <t>Acer sp., Quercus muehlenbergii, red oak group, Sanicles, American jump seed, Snakeroot, Carex sp.</t>
  </si>
  <si>
    <t>MOR&lt;USA-IL&gt;: Samuels, IN_TYL_489_MG</t>
  </si>
  <si>
    <t>0111167MOR</t>
  </si>
  <si>
    <t>0EE8359E-E451-423A-B7DE-7986C7CF33EB</t>
  </si>
  <si>
    <t>https://swbiodiversity.org/seinet/collections/individual/index.php?occid=34693193</t>
  </si>
  <si>
    <t>SYST-MOR-0007209</t>
  </si>
  <si>
    <t>SYST-MOR-0007209_S32_1.fq.gz</t>
  </si>
  <si>
    <t>SYST-MOR-0007209_S32_2.fq.gz</t>
  </si>
  <si>
    <t>QUE003973</t>
  </si>
  <si>
    <t>IN_TYL_490_MG</t>
  </si>
  <si>
    <t>Juglans sp., Quercus alba, Acer sp., Carya sp., Carex sp., Sanicles, Ribes sp., Virginia creeper, Northern spicebush, Pawpaw</t>
  </si>
  <si>
    <t>MOR&lt;USA-IL&gt;: Samuels, IN_TYL_490_MG</t>
  </si>
  <si>
    <t>0111176MOR</t>
  </si>
  <si>
    <t>85DF0174-B89D-4D5A-A585-9349FB3336E7</t>
  </si>
  <si>
    <t>https://swbiodiversity.org/seinet/collections/individual/index.php?occid=34693519</t>
  </si>
  <si>
    <t>SYST-MOR-0007210</t>
  </si>
  <si>
    <t>SYST-MOR-0007210_S33_1.fq.gz</t>
  </si>
  <si>
    <t>SYST-MOR-0007210_S33_2.fq.gz</t>
  </si>
  <si>
    <t>QUE003974</t>
  </si>
  <si>
    <t>IN_TYL_491_MG</t>
  </si>
  <si>
    <t>Ulmus sp., Celtis sp., Acer sp., Virginia creeper, Ribes sp., Northern spicebush</t>
  </si>
  <si>
    <t>895 ft</t>
  </si>
  <si>
    <t>MOR&lt;USA-IL&gt;: Samuels, IN_TYL_491_MG</t>
  </si>
  <si>
    <t>0111001MOR</t>
  </si>
  <si>
    <t>66BB95C2-D56F-4A41-A16F-7CD1CF86A8F1</t>
  </si>
  <si>
    <t>https://swbiodiversity.org/seinet/collections/individual/index.php?occid=34693431</t>
  </si>
  <si>
    <t>SYST-MOR-0007211</t>
  </si>
  <si>
    <t>SYST-MOR-0007211_S34_1.fq.gz</t>
  </si>
  <si>
    <t>SYST-MOR-0007211_S34_2.fq.gz</t>
  </si>
  <si>
    <t>QUE003975</t>
  </si>
  <si>
    <t>IN_TYL_492_MG</t>
  </si>
  <si>
    <t>Riparian Q bicolor stand</t>
  </si>
  <si>
    <t>Quercus bicolor, Ulmus sp., Ribes sp., Northern spice bush, Poison Ivy, Wood nettle, Fraxinus sp.</t>
  </si>
  <si>
    <t>MOR&lt;USA-IL&gt;: Samuels, IN_TYL_492_MG</t>
  </si>
  <si>
    <t>0111087MOR</t>
  </si>
  <si>
    <t>92FEDB3D-8B7B-41D6-9807-578C9A2B4C81</t>
  </si>
  <si>
    <t>https://swbiodiversity.org/seinet/collections/individual/index.php?occid=34693567</t>
  </si>
  <si>
    <t>SYST-MOR-0007212</t>
  </si>
  <si>
    <t>SYST-MOR-0007212_S35_1.fq.gz</t>
  </si>
  <si>
    <t>SYST-MOR-0007212_S35_2.fq.gz</t>
  </si>
  <si>
    <t>QUE003976</t>
  </si>
  <si>
    <t>IN_TYL_493_MG</t>
  </si>
  <si>
    <t>Riparian Q. bicolor stand</t>
  </si>
  <si>
    <t>Quercus bicolor, Poison ivy, Northern spicebush</t>
  </si>
  <si>
    <t>950 ft</t>
  </si>
  <si>
    <t>MOR&lt;USA-IL&gt;: Samuels, IN_TYL_493_MG</t>
  </si>
  <si>
    <t>0111086MOR</t>
  </si>
  <si>
    <t>382DBD1C-0570-4DB4-907D-647CFE0D9233</t>
  </si>
  <si>
    <t>https://swbiodiversity.org/seinet/collections/individual/index.php?occid=34693279</t>
  </si>
  <si>
    <t>SYST-MOR-0007213</t>
  </si>
  <si>
    <t>SYST-MOR-0007213_S36_1.fq.gz</t>
  </si>
  <si>
    <t>SYST-MOR-0007213_S36_2.fq.gz</t>
  </si>
  <si>
    <t>QUE003977</t>
  </si>
  <si>
    <t>IN_TYL_494_MG</t>
  </si>
  <si>
    <t>Quercus alba, Ulmus sp., Acer sp., Northern spicebush, Poison ivy, Fraxinus sp., American jump seed</t>
  </si>
  <si>
    <t>921 ft</t>
  </si>
  <si>
    <t>MOR&lt;USA-IL&gt;: Samuels, IN_TYL_494_MG</t>
  </si>
  <si>
    <t>0111088MOR</t>
  </si>
  <si>
    <t>48E5A2F1-D7E4-4A53-A893-8542252B0B1B</t>
  </si>
  <si>
    <t>https://swbiodiversity.org/seinet/collections/individual/index.php?occid=34693331</t>
  </si>
  <si>
    <t>SYST-MOR-0007214</t>
  </si>
  <si>
    <t>SYST-MOR-0007214_S37_1.fq.gz</t>
  </si>
  <si>
    <t>SYST-MOR-0007214_S37_2.fq.gz</t>
  </si>
  <si>
    <t>QUE003978</t>
  </si>
  <si>
    <t>IN_TYL_495_MG</t>
  </si>
  <si>
    <t>Brushy flat forest uphill of ditch/stream</t>
  </si>
  <si>
    <t>honey locust, Ulmus sp., Quercus muehlenbergii, Carya sp., Honeysuckle, Sanicles, Snakeroot, Carex sp.</t>
  </si>
  <si>
    <t>MOR&lt;USA-IL&gt;: Samuels, IN_TYL_495_MG</t>
  </si>
  <si>
    <t>0111175MOR</t>
  </si>
  <si>
    <t>E05F28FA-FA1E-415C-97C6-1C86B4B1DD71</t>
  </si>
  <si>
    <t>https://swbiodiversity.org/seinet/collections/individual/index.php?occid=34693184</t>
  </si>
  <si>
    <t>SYST-MOR-0007215</t>
  </si>
  <si>
    <t>SYST-MOR-0007215_S38_1.fq.gz</t>
  </si>
  <si>
    <t>SYST-MOR-0007215_S38_2.fq.gz</t>
  </si>
  <si>
    <t>QUE003979</t>
  </si>
  <si>
    <t>IN_TYL_496_MG</t>
  </si>
  <si>
    <t>Uphill of riparian, forest</t>
  </si>
  <si>
    <t>Acer sp., Carya sp., shingle oak, Poison ivy, Honeysuckle, Carex sp., Black raspberry, Fraxinus sp., Sanicles sp.</t>
  </si>
  <si>
    <t>890 ft</t>
  </si>
  <si>
    <t>MOR&lt;USA-IL&gt;: Samuels, IN_TYL_496_MG</t>
  </si>
  <si>
    <t>0110961MOR</t>
  </si>
  <si>
    <t>80BDFE3F-B888-4E03-BF61-3A53B65EE53E</t>
  </si>
  <si>
    <t>https://swbiodiversity.org/seinet/collections/individual/index.php?occid=34693494</t>
  </si>
  <si>
    <t>SYST-MOR-0007216</t>
  </si>
  <si>
    <t>SYST-MOR-0007216_S39_1.fq.gz</t>
  </si>
  <si>
    <t>SYST-MOR-0007216_S39_2.fq.gz</t>
  </si>
  <si>
    <t>QUE003980</t>
  </si>
  <si>
    <t>IN_TYL_497_MG</t>
  </si>
  <si>
    <t>Edge of forest and grasslands</t>
  </si>
  <si>
    <t>Quercus alba, Juglans sp., honey locust, Ulmus sp., Quercus sect. Lobatae, Fraxinus sp., Snakeroot, Black raspberry, Carex sp.</t>
  </si>
  <si>
    <t>MOR&lt;USA-IL&gt;: Samuels, IN_TYL_497_MG</t>
  </si>
  <si>
    <t>0111000MOR</t>
  </si>
  <si>
    <t>3DA63C75-DEA3-4414-B042-D02DC50EA658</t>
  </si>
  <si>
    <t>https://swbiodiversity.org/seinet/collections/individual/index.php?occid=34693322</t>
  </si>
  <si>
    <t>SYST-MOR-0007217</t>
  </si>
  <si>
    <t>SYST-MOR-0007217_S40_1.fq.gz</t>
  </si>
  <si>
    <t>SYST-MOR-0007217_S40_2.fq.gz</t>
  </si>
  <si>
    <t>QUE003981</t>
  </si>
  <si>
    <t>IN_TYL_498_MG</t>
  </si>
  <si>
    <t>Forest uphill of riparian area</t>
  </si>
  <si>
    <t>Juglans sp., Carya sp., Acer sp., Red oak group, Virginia creeper, Snakeroot, Carex sp., Northern spicebush, Spicules sp.</t>
  </si>
  <si>
    <t>874 ft</t>
  </si>
  <si>
    <t>MOR&lt;USA-IL&gt;: Samuels, IN_TYL_498_MG</t>
  </si>
  <si>
    <t>0111173MOR</t>
  </si>
  <si>
    <t>E345FA8D-E125-44AB-A2B3-EF3F9B18B145</t>
  </si>
  <si>
    <t>https://swbiodiversity.org/seinet/collections/individual/index.php?occid=34693153</t>
  </si>
  <si>
    <t>SYST-MOR-0007218</t>
  </si>
  <si>
    <t>SYST-MOR-0007218_S41_1.fq.gz</t>
  </si>
  <si>
    <t>SYST-MOR-0007218_S41_2.fq.gz</t>
  </si>
  <si>
    <t>QUE003982</t>
  </si>
  <si>
    <t>IN_BLR_499_MG</t>
  </si>
  <si>
    <t>Leah Samuels, Mira Garner, Drew Larson</t>
  </si>
  <si>
    <t>Monroe</t>
  </si>
  <si>
    <t>Bayles Road Research and Teaching Preserve</t>
  </si>
  <si>
    <t>On bed of mostly dry creek</t>
  </si>
  <si>
    <t>Fraxinus sp., Quercus macrocarpa, Ulmus sp., Tulip tree, Black raspberry, Sanicles, Carex sp., Poison ivy, Violets, American jump seed, Fortunes spindle</t>
  </si>
  <si>
    <t>615 ft</t>
  </si>
  <si>
    <t>MOR&lt;USA-IL&gt;: Samuels, IN_BLR_499_MG</t>
  </si>
  <si>
    <t>0111293MOR</t>
  </si>
  <si>
    <t>1E9A57B9-1AC3-448E-85C7-D095AD7623A1</t>
  </si>
  <si>
    <t>https://swbiodiversity.org/seinet/collections/individual/index.php?occid=34693216</t>
  </si>
  <si>
    <t>SYST-MOR-0007219</t>
  </si>
  <si>
    <t>SYST-MOR-0007219_S42_1.fq.gz</t>
  </si>
  <si>
    <t>SYST-MOR-0007219_S42_2.fq.gz</t>
  </si>
  <si>
    <t>QUE003983</t>
  </si>
  <si>
    <t>IN_BLR_500_MG</t>
  </si>
  <si>
    <t>Edge of dense wooded area and experimental field</t>
  </si>
  <si>
    <t>Juglans sp., tulip tree, sycamore, Ulmus sp., Wood nettle, Ragweed, American hog peanut, Sassafras, Viola sp., Wingstem, Elders</t>
  </si>
  <si>
    <t>MOR&lt;USA-IL&gt;: Samuels, IN_BLR_500_MG</t>
  </si>
  <si>
    <t>0111294MOR</t>
  </si>
  <si>
    <t>82C4CCF6-C306-4104-9E98-5F104C4A5818</t>
  </si>
  <si>
    <t>https://swbiodiversity.org/seinet/collections/individual/index.php?occid=34693516</t>
  </si>
  <si>
    <t>SYST-MOR-0007220</t>
  </si>
  <si>
    <t>SYST-MOR-0007220_S43_1.fq.gz</t>
  </si>
  <si>
    <t>SYST-MOR-0007220_S43_2.fq.gz</t>
  </si>
  <si>
    <t>QUE003984</t>
  </si>
  <si>
    <t>IN_LCP_501_MG</t>
  </si>
  <si>
    <t>Lower Cascades Park</t>
  </si>
  <si>
    <t>Bottom of hill forest, shrubby</t>
  </si>
  <si>
    <t>Quercus macrocarpa, Juglans sp., Platanus sp., Fraxinus sp., Sanicles, Celtis sp., Jewelweed, Ulmus sp., Poison ivy</t>
  </si>
  <si>
    <t>MOR&lt;USA-IL&gt;: Samuels, IN_LCP_501_MG</t>
  </si>
  <si>
    <t>0111296MOR</t>
  </si>
  <si>
    <t>E3F9898C-1CE7-4C91-A56E-B29336FB219F</t>
  </si>
  <si>
    <t>https://swbiodiversity.org/seinet/collections/individual/index.php?occid=34693187</t>
  </si>
  <si>
    <t>SYST-MOR-0007221</t>
  </si>
  <si>
    <t>SYST-MOR-0007221_S44_1.fq.gz</t>
  </si>
  <si>
    <t>SYST-MOR-0007221_S44_2.fq.gz</t>
  </si>
  <si>
    <t>QUE003985</t>
  </si>
  <si>
    <t>IN_LCP_502_MG</t>
  </si>
  <si>
    <t>Acer sp., Ulmus sp., Quercus muehlenbergii, Honeysuckles, Wild ginger, Fraxinus sp., Smilax sp., Privets</t>
  </si>
  <si>
    <t>729 ft</t>
  </si>
  <si>
    <t>MOR&lt;USA-IL&gt;: Samuels, IN_LCP_502_MG</t>
  </si>
  <si>
    <t>0111297MOR</t>
  </si>
  <si>
    <t>3BA7734B-FE07-4246-BEB9-EB15A046C62D</t>
  </si>
  <si>
    <t>https://swbiodiversity.org/seinet/collections/individual/index.php?occid=34693282</t>
  </si>
  <si>
    <t>SYST-MOR-0007222</t>
  </si>
  <si>
    <t>SYST-MOR-0007222_S45_1.fq.gz</t>
  </si>
  <si>
    <t>SYST-MOR-0007222_S45_2.fq.gz</t>
  </si>
  <si>
    <t>QUE003986</t>
  </si>
  <si>
    <t>IN_LCP_503_MG</t>
  </si>
  <si>
    <t>Hillside dense shrubby forest</t>
  </si>
  <si>
    <t>Quercus muehlenbergii, Celtis sp., Acer sp., Ulmus sp., Honeysuckle, Black raspberry, Vitus sp., Poison ivy</t>
  </si>
  <si>
    <t>MOR&lt;USA-IL&gt;: Samuels, IN_LCP_503_MG</t>
  </si>
  <si>
    <t>0111174MOR</t>
  </si>
  <si>
    <t>2F459B32-F50F-4BC9-8E7D-B59B3034BD94</t>
  </si>
  <si>
    <t>https://swbiodiversity.org/seinet/collections/individual/index.php?occid=34693311</t>
  </si>
  <si>
    <t>SYST-MOR-0007223</t>
  </si>
  <si>
    <t>SYST-MOR-0007223_S46_1.fq.gz</t>
  </si>
  <si>
    <t>SYST-MOR-0007223_S46_2.fq.gz</t>
  </si>
  <si>
    <t>QUE003987</t>
  </si>
  <si>
    <t>IN_LCP_504_MG</t>
  </si>
  <si>
    <t>Dense wooded forest</t>
  </si>
  <si>
    <t>Juglans sp., Acer sp., Ulmus sp., Fraxinus sp., Snakeroot, Wingstem, Leafcup, Honeysuckle, Carex sp.</t>
  </si>
  <si>
    <t>MOR&lt;USA-IL&gt;: Samuels, IN_LCP_504_MG</t>
  </si>
  <si>
    <t>0111172MOR</t>
  </si>
  <si>
    <t>8C194CF9-4B61-4CAC-AFC7-D0914111B4A5</t>
  </si>
  <si>
    <t>https://swbiodiversity.org/seinet/collections/individual/index.php?occid=34693505</t>
  </si>
  <si>
    <t>SYST-MOR-0007224</t>
  </si>
  <si>
    <t>SYST-MOR-0007224_S47_1.fq.gz</t>
  </si>
  <si>
    <t>SYST-MOR-0007224_S47_2.fq.gz</t>
  </si>
  <si>
    <t>QUE003988</t>
  </si>
  <si>
    <t>IN_LCP_505_MG</t>
  </si>
  <si>
    <t>Red oak group, Quercus muehlenbergii, Acer sp., Black maple, Honeysuckle, Carex sp., Virginia creeper</t>
  </si>
  <si>
    <t>MOR&lt;USA-IL&gt;: Samuels, IN_LCP_505_MG</t>
  </si>
  <si>
    <t>0111166MOR</t>
  </si>
  <si>
    <t>4CD39499-011B-4380-9627-5DC00CA77F78</t>
  </si>
  <si>
    <t>https://swbiodiversity.org/seinet/collections/individual/index.php?occid=34693338</t>
  </si>
  <si>
    <t>SYST-MOR-0007225</t>
  </si>
  <si>
    <t>SYST-MOR-0007225_S48_1.fq.gz</t>
  </si>
  <si>
    <t>SYST-MOR-0007225_S48_2.fq.gz</t>
  </si>
  <si>
    <t>QUE003989</t>
  </si>
  <si>
    <t>IN_LCP_506_MG</t>
  </si>
  <si>
    <t>Acer sp., Juglans sp., Celtis sp., Quercus muehlenbergii, PawPaw, American Jumpseed, snakeroot, Wild ginger, Sanicles, Leafcup</t>
  </si>
  <si>
    <t>MOR&lt;USA-IL&gt;: Samuels, IN_LCP_506_MG</t>
  </si>
  <si>
    <t>0111165MOR</t>
  </si>
  <si>
    <t>7D01D4C3-88B5-4423-9330-5CE9FE20D481</t>
  </si>
  <si>
    <t>https://swbiodiversity.org/seinet/collections/individual/index.php?occid=34693490</t>
  </si>
  <si>
    <t>SYST-MOR-0007226</t>
  </si>
  <si>
    <t>SYST-MOR-0007226_S49_1.fq.gz</t>
  </si>
  <si>
    <t>SYST-MOR-0007226_S49_2.fq.gz</t>
  </si>
  <si>
    <t>QUE003990</t>
  </si>
  <si>
    <t>IN_LCP_507_MG</t>
  </si>
  <si>
    <t>Acer sp., Carya ovata, Quecus muehlenbergii, Quercus sect. Lobatae, Ulmus sp., Fraxinus sp., Snakeroot, Leafcup, Viola sp., American jumpseed, Virginia creeper, Honeysuckle</t>
  </si>
  <si>
    <t>706 ft</t>
  </si>
  <si>
    <t>MOR&lt;USA-IL&gt;: Samuels, IN_LCP_507_MG</t>
  </si>
  <si>
    <t>0111164MOR</t>
  </si>
  <si>
    <t>ADF3D9F0-AA89-4B03-BB3A-405563584492</t>
  </si>
  <si>
    <t>https://swbiodiversity.org/seinet/collections/individual/index.php?occid=34693641</t>
  </si>
  <si>
    <t>SYST-MOR-0007227</t>
  </si>
  <si>
    <t>SYST-MOR-0007227_S50_1.fq.gz</t>
  </si>
  <si>
    <t>SYST-MOR-0007227_S50_2.fq.gz</t>
  </si>
  <si>
    <t>QUE003991</t>
  </si>
  <si>
    <t>IN_GRL_508_MG</t>
  </si>
  <si>
    <t>Griffy Lake Research and Teaching Preserve</t>
  </si>
  <si>
    <t>Forest on Hillside bank of lake,</t>
  </si>
  <si>
    <t>Quercus alba, Quercus sect. Lobatae, Carya sp., Pawpaw</t>
  </si>
  <si>
    <t>762 ft</t>
  </si>
  <si>
    <t>MOR&lt;USA-IL&gt;: Samuels, IN_GRL_508_MG</t>
  </si>
  <si>
    <t>0110999MOR</t>
  </si>
  <si>
    <t>87B88296-1808-47A2-8124-6F8A34B8B60D</t>
  </si>
  <si>
    <t>https://swbiodiversity.org/seinet/collections/individual/index.php?occid=34693563</t>
  </si>
  <si>
    <t>SYST-MOR-0007228</t>
  </si>
  <si>
    <t>SYST-MOR-0007228_S51_1.fq.gz</t>
  </si>
  <si>
    <t>SYST-MOR-0007228_S51_2.fq.gz</t>
  </si>
  <si>
    <t>QUE003992</t>
  </si>
  <si>
    <t>IN_GRL_509_MG</t>
  </si>
  <si>
    <t>Hillside forest, low and little underbrush, near lake</t>
  </si>
  <si>
    <t>Quercus sect. Lobatae,  Acer sp., Quercus muehlenbergii, Quercus alba, Carex sp.</t>
  </si>
  <si>
    <t>MOR&lt;USA-IL&gt;: Samuels, IN_GRL_509_MG</t>
  </si>
  <si>
    <t>0110962MOR</t>
  </si>
  <si>
    <t>E784C6ED-4CB1-4FD0-9764-36E95C1D9747</t>
  </si>
  <si>
    <t>https://swbiodiversity.org/seinet/collections/individual/index.php?occid=34693747</t>
  </si>
  <si>
    <t>SYST-MOR-0007229</t>
  </si>
  <si>
    <t>SYST-MOR-0007229_S52_1.fq.gz</t>
  </si>
  <si>
    <t>SYST-MOR-0007229_S52_2.fq.gz</t>
  </si>
  <si>
    <t>QUE003993</t>
  </si>
  <si>
    <t>IN_GRL_510_MG</t>
  </si>
  <si>
    <t>Hillside forest, minimal underbrush</t>
  </si>
  <si>
    <t>Acer sp., Red oak group, American beech,  Tilia sp., black cherry, Shield fern, Carex sp., American jumpseed, Poison ivy, Pawpaw</t>
  </si>
  <si>
    <t>713 ft</t>
  </si>
  <si>
    <t>MOR&lt;USA-IL&gt;: Samuels, IN_GRL_510_MG</t>
  </si>
  <si>
    <t>0110998MOR</t>
  </si>
  <si>
    <t>F1A17392-5C86-4ACB-8DDA-258B239AFC52</t>
  </si>
  <si>
    <t>https://swbiodiversity.org/seinet/collections/individual/index.php?occid=34693789</t>
  </si>
  <si>
    <t>SYST-MOR-0007230</t>
  </si>
  <si>
    <t>SYST-MOR-0007230_S53_1.fq.gz</t>
  </si>
  <si>
    <t>SYST-MOR-0007230_S53_2.fq.gz</t>
  </si>
  <si>
    <t>QUE003994</t>
  </si>
  <si>
    <t>IN_GRL_511_MG</t>
  </si>
  <si>
    <t>Hillside forest with low and sparse underbrush</t>
  </si>
  <si>
    <t>Sassafras, Quercus alba, Carya sp., American beech, Acer sp., Carex sp., Barberry</t>
  </si>
  <si>
    <t>822 ft</t>
  </si>
  <si>
    <t>MOR&lt;USA-IL&gt;: Samuels, IN_GRL_511_MG</t>
  </si>
  <si>
    <t>0110997MOR</t>
  </si>
  <si>
    <t>19EF1EE2-8BF6-45A7-A298-86AA1406AFBF</t>
  </si>
  <si>
    <t>https://swbiodiversity.org/seinet/collections/individual/index.php?occid=34693244</t>
  </si>
  <si>
    <t>SYST-MOR-0007231</t>
  </si>
  <si>
    <t>SYST-MOR-0007231_S54_1.fq.gz</t>
  </si>
  <si>
    <t>SYST-MOR-0007231_S54_2.fq.gz</t>
  </si>
  <si>
    <t>QUE003995</t>
  </si>
  <si>
    <t>IN_GRL_512_MG</t>
  </si>
  <si>
    <t>Top of steep bank of dry/old river, forest with little underbrush</t>
  </si>
  <si>
    <t>Acer sp., Red oak group, Carya sp., American Beech, Virginia creeper, Grasses, Poison ivy</t>
  </si>
  <si>
    <t>MOR&lt;USA-IL&gt;: Samuels, IN_GRL_512_MG</t>
  </si>
  <si>
    <t>0110996MOR</t>
  </si>
  <si>
    <t>5231F639-1E91-41E5-8447-FDF79EC47D3C</t>
  </si>
  <si>
    <t>https://swbiodiversity.org/seinet/collections/individual/index.php?occid=34693378</t>
  </si>
  <si>
    <t>SYST-MOR-0007232</t>
  </si>
  <si>
    <t>SYST-MOR-0007232_S55_1.fq.gz</t>
  </si>
  <si>
    <t>SYST-MOR-0007232_S55_2.fq.gz</t>
  </si>
  <si>
    <t>QUE003996</t>
  </si>
  <si>
    <t>IN_IUC_513_MG</t>
  </si>
  <si>
    <t>Indiana University Campus</t>
  </si>
  <si>
    <t>Near creek on lawn</t>
  </si>
  <si>
    <t>747 ft</t>
  </si>
  <si>
    <t>MOR&lt;USA-IL&gt;: Samuels, IN_IUC_513_MG</t>
  </si>
  <si>
    <t>0111298MOR</t>
  </si>
  <si>
    <t>15FB7217-B8C2-4913-A375-689EA790A218</t>
  </si>
  <si>
    <t>https://swbiodiversity.org/seinet/collections/individual/index.php?occid=34693229</t>
  </si>
  <si>
    <t>SYST-MOR-0007233</t>
  </si>
  <si>
    <t>SYST-MOR-0007233_S56_1.fq.gz</t>
  </si>
  <si>
    <t>SYST-MOR-0007233_S56_2.fq.gz</t>
  </si>
  <si>
    <t>QUE003997</t>
  </si>
  <si>
    <t>OH_STR_514_MG</t>
  </si>
  <si>
    <t>Athens</t>
  </si>
  <si>
    <t>Strouds Run State Park</t>
  </si>
  <si>
    <t>Hillside bank of a lake. Deciduous forest</t>
  </si>
  <si>
    <t>Sassafras, Quercus alba, Carya sp., olive, tulip tree, American hog peanut, Shield fern, Brambles, Ulmus sp., Low smartweed</t>
  </si>
  <si>
    <t>MOR&lt;USA-IL&gt;: Samuels, OH_STR_514_MG</t>
  </si>
  <si>
    <t>0111159MOR</t>
  </si>
  <si>
    <t>87B351ED-C9DC-4139-A0C8-0991232A7B48</t>
  </si>
  <si>
    <t>https://swbiodiversity.org/seinet/collections/individual/index.php?occid=34693562</t>
  </si>
  <si>
    <t>SYST-MOR-0007234</t>
  </si>
  <si>
    <t>SYST-MOR-0007234_S57_1.fq.gz</t>
  </si>
  <si>
    <t>SYST-MOR-0007234_S57_2.fq.gz</t>
  </si>
  <si>
    <t>QUE003998</t>
  </si>
  <si>
    <t>OH_STR_515_MG</t>
  </si>
  <si>
    <t>Hillside bank of lake, deciduous forest</t>
  </si>
  <si>
    <t>Carya sp., Red oak group, Quercus alba, Buckeye, Pawpaw, Ulmus sp., Viola sp., Acer sp., Carex sp., American jumpseed</t>
  </si>
  <si>
    <t>MOR&lt;USA-IL&gt;: Samuels, OH_STR_515_MG</t>
  </si>
  <si>
    <t>0111160MOR</t>
  </si>
  <si>
    <t>1344668A-3BA8-416F-9E1C-240A14959E3B</t>
  </si>
  <si>
    <t>https://swbiodiversity.org/seinet/collections/individual/index.php?occid=34693243</t>
  </si>
  <si>
    <t>SYST-MOR-0007235</t>
  </si>
  <si>
    <t>SYST-MOR-0007235_S58_1.fq.gz</t>
  </si>
  <si>
    <t>SYST-MOR-0007235_S58_2.fq.gz</t>
  </si>
  <si>
    <t>QUE003999</t>
  </si>
  <si>
    <t>OH_STR_516_MG</t>
  </si>
  <si>
    <t>Quercus alba, red oak group, Fraxinus sp., Nyssa sp., Acer sp., Carya sp., Carex sp., Black cohosh</t>
  </si>
  <si>
    <t>MOR&lt;USA-IL&gt;: Samuels, OH_STR_516_MG</t>
  </si>
  <si>
    <t>0111023MOR</t>
  </si>
  <si>
    <t>4DCD2E56-51D3-4110-B51F-8918BA9D9295</t>
  </si>
  <si>
    <t>https://swbiodiversity.org/seinet/collections/individual/index.php?occid=34693360</t>
  </si>
  <si>
    <t>SYST-MOR-0007236</t>
  </si>
  <si>
    <t>SYST-MOR-0007236_S59_1.fq.gz</t>
  </si>
  <si>
    <t>SYST-MOR-0007236_S59_2.fq.gz</t>
  </si>
  <si>
    <t>QUE004000</t>
  </si>
  <si>
    <t>OH_STR_517_MG</t>
  </si>
  <si>
    <t>Hillside bank of lake, shrubby</t>
  </si>
  <si>
    <t>Acer sp., Buckeye, red oak group, Black cohosh, American hog peanut, Early meadow rue, Jacobs ladder, Solomon's seal, American jumpseed, Shield fern, Sharp-lobed hepatica</t>
  </si>
  <si>
    <t>MOR&lt;USA-IL&gt;: Samuels, OH_STR_517_MG</t>
  </si>
  <si>
    <t>0111022MOR</t>
  </si>
  <si>
    <t>2C81F933-0723-4A81-939D-8464FC9CBFD3</t>
  </si>
  <si>
    <t>https://swbiodiversity.org/seinet/collections/individual/index.php?occid=34693253</t>
  </si>
  <si>
    <t>SYST-MOR-0007237</t>
  </si>
  <si>
    <t>SYST-MOR-0007237_S231_1.fq.gz</t>
  </si>
  <si>
    <t>SYST-MOR-0007237_S231_2.fq.gz</t>
  </si>
  <si>
    <t>QUE004001</t>
  </si>
  <si>
    <t>OH_STR_518_MG</t>
  </si>
  <si>
    <t>High elevation forest</t>
  </si>
  <si>
    <t>red oak group, Acer sp., Beech, Virginia creeper, Fraxinus sp., Low smartweed</t>
  </si>
  <si>
    <t>945 ft</t>
  </si>
  <si>
    <t>MOR&lt;USA-IL&gt;: Samuels, OH_STR_518_MG</t>
  </si>
  <si>
    <t>0111249MOR</t>
  </si>
  <si>
    <t>59D7B4AE-AC72-450E-B909-D270E2CC6E77</t>
  </si>
  <si>
    <t>https://swbiodiversity.org/seinet/collections/individual/index.php?occid=34693402</t>
  </si>
  <si>
    <t>SYST-MOR-0007238</t>
  </si>
  <si>
    <t>SYST-MOR-0007238_S60_1.fq.gz</t>
  </si>
  <si>
    <t>SYST-MOR-0007238_S60_2.fq.gz</t>
  </si>
  <si>
    <t>QUE004002</t>
  </si>
  <si>
    <t>OH_STR_519_MG</t>
  </si>
  <si>
    <t>On ridge, high elevation</t>
  </si>
  <si>
    <t>tuliptree, Ulmus, Quercus montana, Carya sp., Sassafras, Acer sp., Poison ivy, White wood aster</t>
  </si>
  <si>
    <t>MOR&lt;USA-IL&gt;: Samuels, OH_STR_519_MG</t>
  </si>
  <si>
    <t>0111248MOR</t>
  </si>
  <si>
    <t>CC4D837F-D1EC-4781-BC65-64D3114B922A</t>
  </si>
  <si>
    <t>https://swbiodiversity.org/seinet/collections/individual/index.php?occid=34693681</t>
  </si>
  <si>
    <t>SYST-MOR-0007239</t>
  </si>
  <si>
    <t>SYST-MOR-0007239_S61_1.fq.gz</t>
  </si>
  <si>
    <t>SYST-MOR-0007239_S61_2.fq.gz</t>
  </si>
  <si>
    <t>QUE004003</t>
  </si>
  <si>
    <t>OH_STR_520_MG</t>
  </si>
  <si>
    <t>Hillside forest near lake</t>
  </si>
  <si>
    <t>Acer sp., Carya sp., Nyssa sp., Oleaster, Quercus montana, beech</t>
  </si>
  <si>
    <t>708 ft</t>
  </si>
  <si>
    <t>MOR&lt;USA-IL&gt;: Samuels, OH_STR_520_MG</t>
  </si>
  <si>
    <t>0111247MOR</t>
  </si>
  <si>
    <t>2E238A9B-4AE1-4E88-B11C-BF4224CC6C76</t>
  </si>
  <si>
    <t>https://swbiodiversity.org/seinet/collections/individual/index.php?occid=34693209</t>
  </si>
  <si>
    <t>SYST-MOR-0007240</t>
  </si>
  <si>
    <t>SYST-MOR-0007240_S62_1.fq.gz</t>
  </si>
  <si>
    <t>SYST-MOR-0007240_S62_2.fq.gz</t>
  </si>
  <si>
    <t>QUE004004</t>
  </si>
  <si>
    <t>IL_CHB_521_MG</t>
  </si>
  <si>
    <t>Leah Samuels</t>
  </si>
  <si>
    <t>Douglas</t>
  </si>
  <si>
    <t>Chickenbristle</t>
  </si>
  <si>
    <t>Quercus macrocarpa, Juglans sp.</t>
  </si>
  <si>
    <t>MOR&lt;USA-IL&gt;: Samuels, IL_CHB_521_MG</t>
  </si>
  <si>
    <t>0111285MOR</t>
  </si>
  <si>
    <t>DAED4A0C-1FE1-4841-9303-E679A3119C64</t>
  </si>
  <si>
    <t>https://swbiodiversity.org/seinet/collections/individual/index.php?occid=34693162</t>
  </si>
  <si>
    <t>SYST-MOR-0007241</t>
  </si>
  <si>
    <t>SYST-MOR-0007241_S63_1.fq.gz</t>
  </si>
  <si>
    <t>SYST-MOR-0007241_S63_2.fq.gz</t>
  </si>
  <si>
    <t>QUE004005</t>
  </si>
  <si>
    <t>IL_CHB_522_MG</t>
  </si>
  <si>
    <t>Quercus macrocarpa, Juglans sp., Celtis sp., Osage orange, Ulmus sp.</t>
  </si>
  <si>
    <t>MOR&lt;USA-IL&gt;: Samuels, IL_CHB_522_MG</t>
  </si>
  <si>
    <t>0111286MOR</t>
  </si>
  <si>
    <t>696D4296-6682-4459-814F-54C541D9389A</t>
  </si>
  <si>
    <t>https://swbiodiversity.org/seinet/collections/individual/index.php?occid=34693416</t>
  </si>
  <si>
    <t>SYST-MOR-0007242</t>
  </si>
  <si>
    <t>SYST-MOR-0007242_S64_1.fq.gz</t>
  </si>
  <si>
    <t>SYST-MOR-0007242_S64_2.fq.gz</t>
  </si>
  <si>
    <t>QUE004006</t>
  </si>
  <si>
    <t>IL_CHB_523_MG</t>
  </si>
  <si>
    <t>Pasture/lawn</t>
  </si>
  <si>
    <t>Juglans sp., Quercus macrocarpa, Carya ovata, Celtis sp., Osage orange</t>
  </si>
  <si>
    <t>Seeds mature,Seeds ripening,Caps on the ground</t>
  </si>
  <si>
    <t>MOR&lt;USA-IL&gt;: Samuels, IL_CHB_523_MG</t>
  </si>
  <si>
    <t>0111287MOR</t>
  </si>
  <si>
    <t>FA56B892-9118-4A3D-A9A8-2152966AE572</t>
  </si>
  <si>
    <t>https://swbiodiversity.org/seinet/collections/individual/index.php?occid=34693744</t>
  </si>
  <si>
    <t>SYST-MOR-0007243</t>
  </si>
  <si>
    <t>SYST-MOR-0007243_S65_1.fq.gz</t>
  </si>
  <si>
    <t>SYST-MOR-0007243_S65_2.fq.gz</t>
  </si>
  <si>
    <t>QUE004007</t>
  </si>
  <si>
    <t>IL_CHB_524_MG</t>
  </si>
  <si>
    <t>Field/pasture/lawn</t>
  </si>
  <si>
    <t>Caps on the ground,Seeds mature</t>
  </si>
  <si>
    <t>MOR&lt;USA-IL&gt;: Samuels, IL_CHB_524_MG</t>
  </si>
  <si>
    <t>0111012MOR</t>
  </si>
  <si>
    <t>85B7F75C-9973-4CB5-AD13-2F33667242DF</t>
  </si>
  <si>
    <t>https://swbiodiversity.org/seinet/collections/individual/index.php?occid=34693518</t>
  </si>
  <si>
    <t>SYST-MOR-0007244</t>
  </si>
  <si>
    <t>SYST-MOR-0007244_S66_1.fq.gz</t>
  </si>
  <si>
    <t>SYST-MOR-0007244_S66_2.fq.gz</t>
  </si>
  <si>
    <t>QUE004008</t>
  </si>
  <si>
    <t>IL_CHB_525_MG</t>
  </si>
  <si>
    <t>Carya ovata, Quercus macrocarpa</t>
  </si>
  <si>
    <t>MOR&lt;USA-IL&gt;: Samuels, IL_CHB_525_MG</t>
  </si>
  <si>
    <t>0111016MOR</t>
  </si>
  <si>
    <t>83FD1E2B-0837-4A4A-A18D-44E42072232C</t>
  </si>
  <si>
    <t>https://swbiodiversity.org/seinet/collections/individual/index.php?occid=34693498</t>
  </si>
  <si>
    <t>SYST-MOR-0007245</t>
  </si>
  <si>
    <t>SYST-MOR-0007245_S67_1.fq.gz</t>
  </si>
  <si>
    <t>SYST-MOR-0007245_S67_2.fq.gz</t>
  </si>
  <si>
    <t>QUE004009</t>
  </si>
  <si>
    <t>IL_CHB_526_MG</t>
  </si>
  <si>
    <t>Quercus macrocarpa, Quercus alba</t>
  </si>
  <si>
    <t>Seeds mature,Caps on the ground</t>
  </si>
  <si>
    <t>712 ft</t>
  </si>
  <si>
    <t>MOR&lt;USA-IL&gt;: Samuels, IL_CHB_526_MG</t>
  </si>
  <si>
    <t>0111288MOR</t>
  </si>
  <si>
    <t>03BAD493-31A5-4D10-ACA9-8581DE78189B</t>
  </si>
  <si>
    <t>https://swbiodiversity.org/seinet/collections/individual/index.php?occid=34693131</t>
  </si>
  <si>
    <t>SYST-MOR-0007246</t>
  </si>
  <si>
    <t>SYST-MOR-0007246_S68_1.fq.gz</t>
  </si>
  <si>
    <t>SYST-MOR-0007246_S68_2.fq.gz</t>
  </si>
  <si>
    <t>QUE004010</t>
  </si>
  <si>
    <t>IL_CHB_527_MG</t>
  </si>
  <si>
    <t>Pasture/yard</t>
  </si>
  <si>
    <t>MOR&lt;USA-IL&gt;: Samuels, IL_CHB_527_MG</t>
  </si>
  <si>
    <t>0111289MOR</t>
  </si>
  <si>
    <t>E92A05D0-E148-424E-B0D5-1C0C2CA3ECDA</t>
  </si>
  <si>
    <t>https://swbiodiversity.org/seinet/collections/individual/index.php?occid=34693728</t>
  </si>
  <si>
    <t>SYST-MOR-0007247</t>
  </si>
  <si>
    <t>SYST-MOR-0007247_S69_1.fq.gz</t>
  </si>
  <si>
    <t>SYST-MOR-0007247_S69_2.fq.gz</t>
  </si>
  <si>
    <t>QUE004011</t>
  </si>
  <si>
    <t>IL_CHB_528_MG</t>
  </si>
  <si>
    <t>Pasture/ yard</t>
  </si>
  <si>
    <t>669 ft</t>
  </si>
  <si>
    <t>MOR&lt;USA-IL&gt;: Samuels, IL_CHB_528_MG</t>
  </si>
  <si>
    <t>0111014MOR</t>
  </si>
  <si>
    <t>D8FBEF48-A29A-411D-B452-51C9DE46C0F1</t>
  </si>
  <si>
    <t>https://swbiodiversity.org/seinet/collections/individual/index.php?occid=34693156</t>
  </si>
  <si>
    <t>SYST-MOR-0007248</t>
  </si>
  <si>
    <t>SYST-MOR-0007248_S70_1.fq.gz</t>
  </si>
  <si>
    <t>SYST-MOR-0007248_S70_2.fq.gz</t>
  </si>
  <si>
    <t>QUE004012</t>
  </si>
  <si>
    <t>IL_CHB_529_MG</t>
  </si>
  <si>
    <t>Yard/ pasture</t>
  </si>
  <si>
    <t>664 ft</t>
  </si>
  <si>
    <t>MOR&lt;USA-IL&gt;: Samuels, IL_CHB_529_MG</t>
  </si>
  <si>
    <t>0111015MOR</t>
  </si>
  <si>
    <t>C2975B70-A449-4548-9FC0-811F6AEF4406</t>
  </si>
  <si>
    <t>https://swbiodiversity.org/seinet/collections/individual/index.php?occid=34693691</t>
  </si>
  <si>
    <t>SYST-MOR-0007249</t>
  </si>
  <si>
    <t>SYST-MOR-0007249_S71_1.fq.gz</t>
  </si>
  <si>
    <t>SYST-MOR-0007249_S71_2.fq.gz</t>
  </si>
  <si>
    <t>QUE004013</t>
  </si>
  <si>
    <t>IL_CHB_530_MG</t>
  </si>
  <si>
    <t>Quercus alba, Mulberry</t>
  </si>
  <si>
    <t>MOR&lt;USA-IL&gt;: Samuels, IL_CHB_530_MG</t>
  </si>
  <si>
    <t>0111013MOR</t>
  </si>
  <si>
    <t>DC7C6626-9689-47AB-9BA2-7D081A28C890</t>
  </si>
  <si>
    <t>https://swbiodiversity.org/seinet/collections/individual/index.php?occid=34693166</t>
  </si>
  <si>
    <t>SYST-MOR-0007250</t>
  </si>
  <si>
    <t>SYST-MOR-0007250_S72_1.fq.gz</t>
  </si>
  <si>
    <t>SYST-MOR-0007250_S72_2.fq.gz</t>
  </si>
  <si>
    <t>QUE004014</t>
  </si>
  <si>
    <t>MN_CDR_215_BF</t>
  </si>
  <si>
    <t>Brett Fredericksen</t>
  </si>
  <si>
    <t>FREDRICKSEN-HIPP</t>
  </si>
  <si>
    <t>Anoka</t>
  </si>
  <si>
    <t>Cedar Creek Research Station</t>
  </si>
  <si>
    <t>Forest edge near Savanah area. Relatively flat and sandy</t>
  </si>
  <si>
    <t>pin oak, chokeberry, bur oak, cherry, Solidago canadensis, milkweed, hazel</t>
  </si>
  <si>
    <t>MOR&lt;USA-IL&gt;: Fredricksen,  MN_CDR_215_BF</t>
  </si>
  <si>
    <t>0111495MOR</t>
  </si>
  <si>
    <t>17CFFEB6-1820-4E0F-8F0B-B13E717067C4</t>
  </si>
  <si>
    <t>https://swbiodiversity.org/seinet/collections/individual/index.php?occid=34693200</t>
  </si>
  <si>
    <t>SYST-MOR-0007251</t>
  </si>
  <si>
    <t>SYST-MOR-0007251_S73_1.fq.gz</t>
  </si>
  <si>
    <t>SYST-MOR-0007251_S73_2.fq.gz</t>
  </si>
  <si>
    <t>QUE004015</t>
  </si>
  <si>
    <t>MN_CDR_216_BF</t>
  </si>
  <si>
    <t>Savanna. Open with mild north facing slope</t>
  </si>
  <si>
    <t>bur oak, quaking aspen, Big bluestem, bergamot, pigweed, Virginia creeper, hazel</t>
  </si>
  <si>
    <t>MOR&lt;USA-IL&gt;: Fredricksen,  MN_CDR_216_BF</t>
  </si>
  <si>
    <t>0111494MOR</t>
  </si>
  <si>
    <t>AD9DBE23-CDCC-4B70-A3CD-6386908A2502</t>
  </si>
  <si>
    <t>https://swbiodiversity.org/seinet/collections/individual/index.php?occid=34693640</t>
  </si>
  <si>
    <t>SYST-MOR-0007252</t>
  </si>
  <si>
    <t>SYST-MOR-0007252_S74_1.fq.gz</t>
  </si>
  <si>
    <t>SYST-MOR-0007252_S74_2.fq.gz</t>
  </si>
  <si>
    <t>QUE004016</t>
  </si>
  <si>
    <t>MN_CDR_217_BF</t>
  </si>
  <si>
    <t>Open savanna on a small rise. Very sandy</t>
  </si>
  <si>
    <t>bur oak, pin oak, black cherry, Hazel, buckthorn, sedges, milkweed, big bluestem</t>
  </si>
  <si>
    <t>MOR&lt;USA-IL&gt;: Fredricksen,  MN_CDR_217_BF</t>
  </si>
  <si>
    <t>0111493MOR</t>
  </si>
  <si>
    <t>67AA5A6E-D47C-4976-AADB-F0BBC5708745</t>
  </si>
  <si>
    <t>https://swbiodiversity.org/seinet/collections/individual/index.php?occid=34693451</t>
  </si>
  <si>
    <t>SYST-MOR-0007253</t>
  </si>
  <si>
    <t>SYST-MOR-0007253_S75_1.fq.gz</t>
  </si>
  <si>
    <t>SYST-MOR-0007253_S75_2.fq.gz</t>
  </si>
  <si>
    <t>QUE004017</t>
  </si>
  <si>
    <t>MN_CDR_218_BF</t>
  </si>
  <si>
    <t>Forest patch edge. On a sandy rise</t>
  </si>
  <si>
    <t>bur oak, Rubus sp., vetch, hazel, sedges</t>
  </si>
  <si>
    <t>941 ft</t>
  </si>
  <si>
    <t>MOR&lt;USA-IL&gt;: Fredricksen,  MN_CDR_218_BF</t>
  </si>
  <si>
    <t>0111492MOR</t>
  </si>
  <si>
    <t>0EE41710-39D0-4373-86E6-B53EF6890306</t>
  </si>
  <si>
    <t>https://swbiodiversity.org/seinet/collections/individual/index.php?occid=34693192</t>
  </si>
  <si>
    <t>SYST-MOR-0007254</t>
  </si>
  <si>
    <t>SYST-MOR-0007254_S76_1.fq.gz</t>
  </si>
  <si>
    <t>SYST-MOR-0007254_S76_2.fq.gz</t>
  </si>
  <si>
    <t>QUE004018</t>
  </si>
  <si>
    <t>MN_CDR_219_BF</t>
  </si>
  <si>
    <t>Next to parking lot on forest edge</t>
  </si>
  <si>
    <t>paper birch, pin oak, red maple, Solidago sp., wild grape, hazel</t>
  </si>
  <si>
    <t>NA (none?)</t>
  </si>
  <si>
    <t>SYST-MOR-0007255</t>
  </si>
  <si>
    <t>SYST-MOR-0007255_S77_1.fq.gz</t>
  </si>
  <si>
    <t>SYST-MOR-0007255_S77_2.fq.gz</t>
  </si>
  <si>
    <t>QUE004019</t>
  </si>
  <si>
    <t>MN_CDR_531_BF</t>
  </si>
  <si>
    <t>MOR&lt;USA-IL&gt;: Fredricksen,  MN_CDR_531_BF</t>
  </si>
  <si>
    <t>0111487MOR</t>
  </si>
  <si>
    <t>99126C3C-02B2-4F05-AB59-3867F12EE28C</t>
  </si>
  <si>
    <t>https://swbiodiversity.org/seinet/collections/individual/index.php?occid=34693513</t>
  </si>
  <si>
    <t>SYST-MOR-0007256</t>
  </si>
  <si>
    <t>SYST-MOR-0007256_S78_1.fq.gz</t>
  </si>
  <si>
    <t>SYST-MOR-0007256_S78_2.fq.gz</t>
  </si>
  <si>
    <t>QUE004020</t>
  </si>
  <si>
    <t>MN_CDR_220_BF</t>
  </si>
  <si>
    <t>Closed canopy forest 
 In a slight gully</t>
  </si>
  <si>
    <t>Quercus alba, red maple, pin oak, ferns, Hazel, Red pine seedlings, Sedges</t>
  </si>
  <si>
    <t>942 ft</t>
  </si>
  <si>
    <t>MOR&lt;USA-IL&gt;: Fredricksen,  MN_CDR_220_BF</t>
  </si>
  <si>
    <t>0111491MOR</t>
  </si>
  <si>
    <t>60D2EB6C-6638-408D-AF70-739262A3FF3A</t>
  </si>
  <si>
    <t>https://swbiodiversity.org/seinet/collections/individual/index.php?occid=34693404</t>
  </si>
  <si>
    <t>SYST-MOR-0007257</t>
  </si>
  <si>
    <t>SYST-MOR-0007257_S79_1.fq.gz</t>
  </si>
  <si>
    <t>SYST-MOR-0007257_S79_2.fq.gz</t>
  </si>
  <si>
    <t>QUE004021</t>
  </si>
  <si>
    <t>MN_CDR_221_BF</t>
  </si>
  <si>
    <t>Closed canopy forest 
 In a depression next to the road</t>
  </si>
  <si>
    <t>pin oaks, red maple, ferns, Red pine seedlings</t>
  </si>
  <si>
    <t>MOR&lt;USA-IL&gt;: Fredricksen,  MN_CDR_221_BF</t>
  </si>
  <si>
    <t>0111490MOR</t>
  </si>
  <si>
    <t>1022B247-DABA-4295-B2DC-CD29936713C8</t>
  </si>
  <si>
    <t>https://swbiodiversity.org/seinet/collections/individual/index.php?occid=34693195</t>
  </si>
  <si>
    <t>SYST-MOR-0007258</t>
  </si>
  <si>
    <t>SYST-MOR-0007258_S80_1.fq.gz</t>
  </si>
  <si>
    <t>SYST-MOR-0007258_S80_2.fq.gz</t>
  </si>
  <si>
    <t>QUE004022</t>
  </si>
  <si>
    <t>MN_CDR_222_BF</t>
  </si>
  <si>
    <t>Closed forest canopy
 Near road drainage ditch</t>
  </si>
  <si>
    <t>Pin oak, Red oak, red maples, white pine, fern</t>
  </si>
  <si>
    <t>965 ft</t>
  </si>
  <si>
    <t>MOR&lt;USA-IL&gt;: Fredricksen,  MN_CDR_222_BF</t>
  </si>
  <si>
    <t>0111489MOR</t>
  </si>
  <si>
    <t>6ADBC5D4-290D-4E9A-91A7-B26D9E4A59A5</t>
  </si>
  <si>
    <t>https://swbiodiversity.org/seinet/collections/individual/index.php?occid=34693453</t>
  </si>
  <si>
    <t>SYST-MOR-0007259</t>
  </si>
  <si>
    <t>SYST-MOR-0007259_S81_1.fq.gz</t>
  </si>
  <si>
    <t>SYST-MOR-0007259_S81_2.fq.gz</t>
  </si>
  <si>
    <t>QUE004023</t>
  </si>
  <si>
    <t>MN_CDR_223_BF</t>
  </si>
  <si>
    <t>Closed forest. 
 A slight north facing slope</t>
  </si>
  <si>
    <t>pin oak, white oak, white pines, Hazel, Hog-peanut</t>
  </si>
  <si>
    <t>MOR&lt;USA-IL&gt;: Fredricksen,  MN_CDR_223_BF</t>
  </si>
  <si>
    <t>0111488MOR</t>
  </si>
  <si>
    <t>ECE6EED7-60D6-45E8-9C14-E85C07524918</t>
  </si>
  <si>
    <t>https://swbiodiversity.org/seinet/collections/individual/index.php?occid=34693732</t>
  </si>
  <si>
    <t>SYST-MOR-0007260</t>
  </si>
  <si>
    <t>SYST-MOR-0007260_S82_1.fq.gz</t>
  </si>
  <si>
    <t>SYST-MOR-0007260_S82_2.fq.gz</t>
  </si>
  <si>
    <t>QUE004024</t>
  </si>
  <si>
    <t>MO_BOT_033_MG</t>
  </si>
  <si>
    <t>Dense bottomland floodplain</t>
  </si>
  <si>
    <t>Celtis laevigata, Carya sp., Quercus velutina</t>
  </si>
  <si>
    <t>MOR&lt;USA-IL&gt;: Whittemore, MO_BOT_033_MG</t>
  </si>
  <si>
    <t>0111342MOR</t>
  </si>
  <si>
    <t>D28B93C8-28DB-4561-95DD-068FF0A42D5D</t>
  </si>
  <si>
    <t>https://swbiodiversity.org/seinet/collections/individual/index.php?occid=34693715</t>
  </si>
  <si>
    <t>SYST-MOR-0006765</t>
  </si>
  <si>
    <t>SYST-MOR-0006765_S49_1.fq.gz</t>
  </si>
  <si>
    <t>SYST-MOR-0006765_S49_2.fq.gz</t>
  </si>
  <si>
    <t>Elevation</t>
  </si>
  <si>
    <t>SpecimenVoucher</t>
  </si>
  <si>
    <t>Rebekahs Determination</t>
  </si>
  <si>
    <t>trace bicolor</t>
  </si>
  <si>
    <t>Rebekah notes</t>
  </si>
  <si>
    <t>trace alba</t>
  </si>
  <si>
    <t>trace lyrata</t>
  </si>
  <si>
    <t>~10% macrocarpa</t>
  </si>
  <si>
    <t>~15% michauxii</t>
  </si>
  <si>
    <t>trace</t>
  </si>
  <si>
    <t>trace 5% macrocarpa</t>
  </si>
  <si>
    <t>trace ~5% lobata</t>
  </si>
  <si>
    <t>Quercusmacrocarpa</t>
  </si>
  <si>
    <t>15% bicolor</t>
  </si>
  <si>
    <t>Quercus bicolor x Quercus macrocarpa</t>
  </si>
  <si>
    <t>5% bicolor</t>
  </si>
  <si>
    <t>BC1 Q macrocarpa (69%) and Q bicolor (30%)</t>
  </si>
  <si>
    <t>BC1 Q macrocarpa (76%) and Q bicolor (24%)</t>
  </si>
  <si>
    <t>2.5% bicolor</t>
  </si>
  <si>
    <t>Quercus alba x Quercus muehlenbergii</t>
  </si>
  <si>
    <t>77% mar 22% sin</t>
  </si>
  <si>
    <t>70% mar?</t>
  </si>
  <si>
    <t>?</t>
  </si>
  <si>
    <t>BC1 22% bicolr</t>
  </si>
  <si>
    <t>BC1 70% macrocarpa 15% bicolor 15% alba</t>
  </si>
  <si>
    <t>16% alba</t>
  </si>
  <si>
    <t>13% macrocarpa</t>
  </si>
  <si>
    <t>Quercus alba x Quercus macrocarpa</t>
  </si>
  <si>
    <t>bc1 Q. macrocarpa 19%</t>
  </si>
  <si>
    <t>BC1 Q. bicolor 10% Muehlenbergi 19%</t>
  </si>
  <si>
    <t>trace macrocarpa 2-11%</t>
  </si>
  <si>
    <t>trace macrocarpa</t>
  </si>
  <si>
    <t>81% bic 19% mac</t>
  </si>
  <si>
    <t>BC1 Q alba 25% traces macrocarpa</t>
  </si>
  <si>
    <t>Q. stellata</t>
  </si>
  <si>
    <t>35% margaretiae</t>
  </si>
  <si>
    <t>trace alba 13%</t>
  </si>
  <si>
    <t>trace macrocarpa (2%)</t>
  </si>
  <si>
    <t>BC1 Q. bicolor</t>
  </si>
  <si>
    <t>Quercus lyrata x Quercus michauxii</t>
  </si>
  <si>
    <t>trace Q. bicolor</t>
  </si>
  <si>
    <t>May have some margaretiae</t>
  </si>
  <si>
    <t>Quercus margaretiae +</t>
  </si>
  <si>
    <t>Weird</t>
  </si>
  <si>
    <t>BC bicolor</t>
  </si>
  <si>
    <t>BC1 bicolor</t>
  </si>
  <si>
    <t>Quercus lyrata x Quercus macrocarpa</t>
  </si>
  <si>
    <t>Hybrid Parentage</t>
  </si>
  <si>
    <t>Quercus lyrata (~52%) x Quercus macrocarpa (~48%)</t>
  </si>
  <si>
    <t xml:space="preserve">trace mac </t>
  </si>
  <si>
    <t>Quercus macrocarpa x Quercus muehlenbergii</t>
  </si>
  <si>
    <t>BC1--25% macrocarpa</t>
  </si>
  <si>
    <t>morphologically and genomically some Q. margaretiae</t>
  </si>
  <si>
    <t>genomically</t>
  </si>
  <si>
    <t>taxonomic_notes</t>
  </si>
  <si>
    <t>Quercus alba x Quercus michauxii</t>
  </si>
  <si>
    <t xml:space="preserve">trace admixed (Q&lt;0.10) with </t>
  </si>
  <si>
    <t>Based on ADMIXTURE results of 78,187 SNPs, trace admixed (Q&lt;0.10) with Quercus macrocarpa</t>
  </si>
  <si>
    <t xml:space="preserve">admixed with </t>
  </si>
  <si>
    <t>Quercus lobata</t>
  </si>
  <si>
    <t>Based on ADMIXTURE results of 78,187 SNPs, trace admixed (Q&lt;0.10) with Quercus lobata</t>
  </si>
  <si>
    <t>Based on ADMIXTURE results of 78,187 SNPs, trace admixed (Q&lt;0.10) with Quercus bicolor</t>
  </si>
  <si>
    <t>Quercus margaretiae Ashe ex Small</t>
  </si>
  <si>
    <t>other oaks</t>
  </si>
  <si>
    <t>Based on ADMIXTURE results of 78,187 SNPs, trace admixed (Q&lt;0.10) with other oaks</t>
  </si>
  <si>
    <t>Based on ADMIXTURE results of 78,187 SNPs, admixed with Quercus lobata</t>
  </si>
  <si>
    <t>Based on ADMIXTURE results of 78,187 SNPs, admixed with Quercus macrocarpa</t>
  </si>
  <si>
    <t>Based on ADMIXTURE results of 78,187 SNPs, admixed with Quercus alba</t>
  </si>
  <si>
    <t>Based on ADMIXTURE results of 78,187 SNPs, trace admixed (Q&lt;0.10) with Quercus alba</t>
  </si>
  <si>
    <t>Based on ADMIXTURE results of 78,187 SNPs, admixed with Quercus bicolor</t>
  </si>
  <si>
    <t>Based on ADMIXTURE results of 78,187 SNPs, admixed with Quercus michauxii</t>
  </si>
  <si>
    <t>Based on ADMIXTURE results of 78,187 SNPs, admixed with Quercus muehlenbergii and Quercus bicolor</t>
  </si>
  <si>
    <t>Based on ADMIXTURE results of 78,187 SNPs, admixed with Quercus alba and Quercus bicolor</t>
  </si>
  <si>
    <t>FullAdmixture_notes</t>
  </si>
  <si>
    <r>
      <t xml:space="preserve">morphologically and genomically introgressed with </t>
    </r>
    <r>
      <rPr>
        <i/>
        <sz val="11"/>
        <color theme="9"/>
        <rFont val="Calibri"/>
        <family val="2"/>
        <scheme val="minor"/>
      </rPr>
      <t>Q. margaretiae</t>
    </r>
  </si>
  <si>
    <r>
      <t xml:space="preserve">morphologically and genomically introgressed with </t>
    </r>
    <r>
      <rPr>
        <i/>
        <sz val="11"/>
        <color theme="9"/>
        <rFont val="Calibri"/>
        <family val="2"/>
        <scheme val="minor"/>
      </rPr>
      <t>Q. stellata</t>
    </r>
  </si>
  <si>
    <t>Other_notes</t>
  </si>
  <si>
    <t>genomically introgressed with some Q. margaretiae</t>
  </si>
  <si>
    <t>genomically introgressed with Q. margaretiae</t>
  </si>
  <si>
    <r>
      <t>genomically traces of</t>
    </r>
    <r>
      <rPr>
        <i/>
        <sz val="11"/>
        <color theme="9"/>
        <rFont val="Calibri"/>
        <family val="2"/>
        <scheme val="minor"/>
      </rPr>
      <t xml:space="preserve"> other oak species</t>
    </r>
  </si>
  <si>
    <t>Source</t>
  </si>
  <si>
    <t>based on subset STR</t>
  </si>
  <si>
    <t>Genomically some admixture with Q. bicolor</t>
  </si>
  <si>
    <t>Genomically may have admixture with Q. bicolor</t>
  </si>
  <si>
    <t>Genomically admixture with Q. bicolor</t>
  </si>
  <si>
    <r>
      <t xml:space="preserve">May have genomic admixture with </t>
    </r>
    <r>
      <rPr>
        <i/>
        <sz val="11"/>
        <color rgb="FFFF0000"/>
        <rFont val="Calibri"/>
        <family val="2"/>
        <scheme val="minor"/>
      </rPr>
      <t>Q. prinoides</t>
    </r>
  </si>
  <si>
    <t>May have genomic admixture with Q. prinoides</t>
  </si>
  <si>
    <r>
      <t xml:space="preserve">May have genomic admixture with </t>
    </r>
    <r>
      <rPr>
        <i/>
        <sz val="11"/>
        <color rgb="FFFF0000"/>
        <rFont val="Calibri"/>
        <family val="2"/>
        <scheme val="minor"/>
      </rPr>
      <t>Q. muehlenbergii</t>
    </r>
  </si>
  <si>
    <t>May have genomic admixture with Q. muehlenbergii</t>
  </si>
  <si>
    <t xml:space="preserve">may be trace admixed with </t>
  </si>
  <si>
    <t>Based on ADMIXTURE results of 78,187 SNPs, may be trace admixed with Quercus bicolor</t>
  </si>
  <si>
    <t>Based on ADMIXTURE results of 78,187 SNPs, may be trace admixed with Quercus macrocarpa</t>
  </si>
  <si>
    <t>Based on ADMIXTURE results of 78,187 SNPs, may be trace admixed with Quercus lobata</t>
  </si>
  <si>
    <t/>
  </si>
  <si>
    <t>Upper leaves similar to Q. alba but lower leaves and bark look like Q. macrocarpa</t>
  </si>
  <si>
    <t>May have genomic admixture with Q. muehlenbergiiBased on ADMIXTURE results of 78,187 SNPs, trace admixed (Q&lt;0.10) with Quercus macrocarpa</t>
  </si>
  <si>
    <t>morphologically and genomically introgressed with Q. stellata</t>
  </si>
  <si>
    <t>morphologically and genomically introgressed with Q. margaretiae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</si>
</sst>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color theme="9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3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49" fontId="2" fillId="0" borderId="0" xfId="0" applyNumberFormat="1" applyFont="1" applyAlignment="1">
      <alignment horizontal="left" wrapText="1"/>
    </xf>
    <xf numFmtId="0" fontId="2" fillId="4" borderId="0" xfId="0" applyFont="1" applyFill="1"/>
    <xf numFmtId="14" fontId="2" fillId="0" borderId="0" xfId="0" applyNumberFormat="1" applyFont="1"/>
    <xf numFmtId="49" fontId="5" fillId="0" borderId="0" xfId="1" applyNumberFormat="1" applyFont="1"/>
    <xf numFmtId="0" fontId="6" fillId="0" borderId="0" xfId="0" applyFont="1"/>
    <xf numFmtId="49" fontId="6" fillId="0" borderId="0" xfId="1" applyNumberFormat="1" applyFont="1" applyAlignment="1">
      <alignment wrapText="1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6" fillId="0" borderId="1" xfId="2" applyFont="1" applyFill="1" applyBorder="1" applyAlignment="1">
      <alignment wrapText="1"/>
    </xf>
    <xf numFmtId="0" fontId="0" fillId="0" borderId="0" xfId="0" applyAlignment="1">
      <alignment horizontal="right"/>
    </xf>
    <xf numFmtId="49" fontId="0" fillId="0" borderId="0" xfId="0" applyNumberFormat="1"/>
    <xf numFmtId="0" fontId="0" fillId="4" borderId="0" xfId="0" applyFill="1"/>
    <xf numFmtId="14" fontId="0" fillId="0" borderId="0" xfId="0" applyNumberFormat="1"/>
    <xf numFmtId="0" fontId="8" fillId="0" borderId="0" xfId="0" applyFont="1" applyAlignment="1">
      <alignment horizontal="left" wrapText="1"/>
    </xf>
    <xf numFmtId="165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0" fontId="0" fillId="5" borderId="0" xfId="0" applyFill="1"/>
    <xf numFmtId="0" fontId="9" fillId="0" borderId="0" xfId="4" applyAlignment="1" applyProtection="1"/>
    <xf numFmtId="0" fontId="11" fillId="0" borderId="0" xfId="0" applyFont="1"/>
    <xf numFmtId="49" fontId="0" fillId="0" borderId="0" xfId="0" applyNumberFormat="1" applyAlignment="1">
      <alignment horizontal="left"/>
    </xf>
    <xf numFmtId="0" fontId="0" fillId="6" borderId="0" xfId="0" applyFill="1"/>
    <xf numFmtId="49" fontId="1" fillId="0" borderId="0" xfId="0" applyNumberFormat="1" applyFont="1" applyAlignment="1">
      <alignment horizontal="left"/>
    </xf>
    <xf numFmtId="0" fontId="12" fillId="0" borderId="0" xfId="0" applyFont="1"/>
    <xf numFmtId="0" fontId="1" fillId="0" borderId="2" xfId="0" applyFont="1" applyBorder="1"/>
    <xf numFmtId="0" fontId="6" fillId="7" borderId="1" xfId="2" applyFont="1" applyFill="1" applyBorder="1" applyAlignment="1">
      <alignment wrapText="1"/>
    </xf>
    <xf numFmtId="0" fontId="0" fillId="7" borderId="0" xfId="0" applyFill="1"/>
    <xf numFmtId="0" fontId="2" fillId="7" borderId="0" xfId="0" applyFont="1" applyFill="1" applyAlignment="1">
      <alignment wrapText="1"/>
    </xf>
    <xf numFmtId="0" fontId="0" fillId="0" borderId="0" xfId="0" applyFill="1" applyAlignment="1">
      <alignment horizontal="right"/>
    </xf>
    <xf numFmtId="0" fontId="0" fillId="0" borderId="0" xfId="0" applyFill="1"/>
    <xf numFmtId="49" fontId="0" fillId="0" borderId="0" xfId="0" applyNumberFormat="1" applyFill="1"/>
    <xf numFmtId="14" fontId="0" fillId="0" borderId="0" xfId="0" applyNumberFormat="1" applyFill="1"/>
    <xf numFmtId="0" fontId="0" fillId="0" borderId="0" xfId="0" applyFill="1" applyAlignment="1">
      <alignment horizontal="left"/>
    </xf>
    <xf numFmtId="0" fontId="1" fillId="0" borderId="0" xfId="0" applyFont="1" applyFill="1"/>
    <xf numFmtId="0" fontId="9" fillId="0" borderId="0" xfId="4" applyFill="1" applyAlignment="1" applyProtection="1"/>
    <xf numFmtId="0" fontId="13" fillId="0" borderId="0" xfId="0" applyFont="1"/>
    <xf numFmtId="49" fontId="1" fillId="0" borderId="0" xfId="0" applyNumberFormat="1" applyFont="1"/>
    <xf numFmtId="49" fontId="1" fillId="0" borderId="0" xfId="0" applyNumberFormat="1" applyFont="1" applyFill="1"/>
    <xf numFmtId="49" fontId="14" fillId="0" borderId="0" xfId="0" applyNumberFormat="1" applyFont="1"/>
    <xf numFmtId="49" fontId="14" fillId="8" borderId="0" xfId="0" applyNumberFormat="1" applyFont="1" applyFill="1"/>
    <xf numFmtId="49" fontId="15" fillId="0" borderId="0" xfId="0" applyNumberFormat="1" applyFont="1"/>
    <xf numFmtId="49" fontId="16" fillId="0" borderId="0" xfId="0" applyNumberFormat="1" applyFont="1"/>
    <xf numFmtId="0" fontId="0" fillId="9" borderId="0" xfId="0" applyFill="1" applyAlignment="1">
      <alignment horizontal="right"/>
    </xf>
    <xf numFmtId="0" fontId="0" fillId="9" borderId="0" xfId="0" applyFill="1" applyAlignment="1">
      <alignment horizontal="left"/>
    </xf>
    <xf numFmtId="49" fontId="0" fillId="9" borderId="0" xfId="0" applyNumberFormat="1" applyFill="1"/>
    <xf numFmtId="49" fontId="0" fillId="9" borderId="0" xfId="0" applyNumberFormat="1" applyFill="1" applyAlignment="1">
      <alignment horizontal="left"/>
    </xf>
    <xf numFmtId="49" fontId="1" fillId="9" borderId="0" xfId="0" applyNumberFormat="1" applyFont="1" applyFill="1"/>
    <xf numFmtId="0" fontId="0" fillId="9" borderId="0" xfId="0" applyFill="1"/>
    <xf numFmtId="14" fontId="0" fillId="9" borderId="0" xfId="0" applyNumberFormat="1" applyFill="1"/>
    <xf numFmtId="49" fontId="17" fillId="9" borderId="0" xfId="0" applyNumberFormat="1" applyFont="1" applyFill="1"/>
    <xf numFmtId="49" fontId="0" fillId="0" borderId="0" xfId="0" applyNumberFormat="1" applyFill="1" applyAlignment="1">
      <alignment horizontal="left"/>
    </xf>
    <xf numFmtId="49" fontId="14" fillId="0" borderId="0" xfId="0" applyNumberFormat="1" applyFont="1" applyFill="1"/>
    <xf numFmtId="0" fontId="1" fillId="4" borderId="0" xfId="0" applyFont="1" applyFill="1"/>
    <xf numFmtId="49" fontId="18" fillId="0" borderId="0" xfId="0" applyNumberFormat="1" applyFont="1"/>
    <xf numFmtId="0" fontId="1" fillId="0" borderId="0" xfId="0" applyFont="1" applyBorder="1"/>
    <xf numFmtId="0" fontId="0" fillId="0" borderId="2" xfId="0" applyBorder="1"/>
    <xf numFmtId="0" fontId="0" fillId="0" borderId="0" xfId="0" applyBorder="1"/>
    <xf numFmtId="0" fontId="18" fillId="4" borderId="0" xfId="0" applyFont="1" applyFill="1"/>
    <xf numFmtId="49" fontId="18" fillId="0" borderId="0" xfId="0" applyNumberFormat="1" applyFont="1" applyFill="1"/>
    <xf numFmtId="0" fontId="13" fillId="0" borderId="0" xfId="0" applyNumberFormat="1" applyFont="1"/>
    <xf numFmtId="0" fontId="1" fillId="0" borderId="0" xfId="0" applyNumberFormat="1" applyFont="1"/>
    <xf numFmtId="11" fontId="0" fillId="0" borderId="0" xfId="0" applyNumberFormat="1"/>
  </cellXfs>
  <cellStyles count="5">
    <cellStyle name="40% - Accent1 4" xfId="3" xr:uid="{AEC34E7A-EDEF-485C-BFF3-66DFBE225E02}"/>
    <cellStyle name="Accent1 2" xfId="2" xr:uid="{2959FEFF-46CD-4BC6-BD47-588D8255FED9}"/>
    <cellStyle name="Hyperlink" xfId="4" builtinId="8"/>
    <cellStyle name="Normal" xfId="0" builtinId="0"/>
    <cellStyle name="Normal 32" xfId="1" xr:uid="{110A5C7E-E8DA-4DE9-9E8A-546002C3F4C7}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wbiodiversity.org/seinet/collections/individual/index.php?occid=34578120" TargetMode="External"/><Relationship Id="rId2" Type="http://schemas.openxmlformats.org/officeDocument/2006/relationships/hyperlink" Target="https://swbiodiversity.org/seinet/collections/individual/index.php?occid=34693149" TargetMode="External"/><Relationship Id="rId1" Type="http://schemas.openxmlformats.org/officeDocument/2006/relationships/hyperlink" Target="https://swbiodiversity.org/seinet/collections/individual/index.php?occid=32891750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wbiodiversity.org/seinet/collections/individual/index.php?occid=3469368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wbiodiversity.org/seinet/collections/individual/index.php?occid=34578120" TargetMode="External"/><Relationship Id="rId2" Type="http://schemas.openxmlformats.org/officeDocument/2006/relationships/hyperlink" Target="https://swbiodiversity.org/seinet/collections/individual/index.php?occid=34693149" TargetMode="External"/><Relationship Id="rId1" Type="http://schemas.openxmlformats.org/officeDocument/2006/relationships/hyperlink" Target="https://swbiodiversity.org/seinet/collections/individual/index.php?occid=32891750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swbiodiversity.org/seinet/collections/individual/index.php?occid=3469368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wbiodiversity.org/seinet/collections/individual/index.php?occid=34578120" TargetMode="External"/><Relationship Id="rId2" Type="http://schemas.openxmlformats.org/officeDocument/2006/relationships/hyperlink" Target="https://swbiodiversity.org/seinet/collections/individual/index.php?occid=34693149" TargetMode="External"/><Relationship Id="rId1" Type="http://schemas.openxmlformats.org/officeDocument/2006/relationships/hyperlink" Target="https://swbiodiversity.org/seinet/collections/individual/index.php?occid=32891750" TargetMode="External"/><Relationship Id="rId4" Type="http://schemas.openxmlformats.org/officeDocument/2006/relationships/hyperlink" Target="https://swbiodiversity.org/seinet/collections/individual/index.php?occid=3469368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47AF-5C2F-4013-9FB1-D20CF0B1D4B0}">
  <dimension ref="A1:AY694"/>
  <sheetViews>
    <sheetView workbookViewId="0">
      <pane ySplit="1" topLeftCell="A50" activePane="bottomLeft" state="frozen"/>
      <selection activeCell="AL1" sqref="AL1"/>
      <selection pane="bottomLeft" activeCell="F624" sqref="F624"/>
    </sheetView>
  </sheetViews>
  <sheetFormatPr defaultRowHeight="15" customHeight="1" x14ac:dyDescent="0.4"/>
  <cols>
    <col min="2" max="2" width="10.69140625" bestFit="1" customWidth="1"/>
    <col min="3" max="3" width="15.69140625" customWidth="1"/>
    <col min="4" max="4" width="19.69140625" bestFit="1" customWidth="1"/>
    <col min="5" max="5" width="17.84375" customWidth="1"/>
    <col min="6" max="8" width="17.84375" style="18" customWidth="1"/>
    <col min="9" max="9" width="33.3828125" bestFit="1" customWidth="1"/>
    <col min="10" max="10" width="17.3828125" hidden="1" customWidth="1"/>
    <col min="11" max="11" width="39" hidden="1" customWidth="1"/>
    <col min="12" max="12" width="19" hidden="1" customWidth="1"/>
    <col min="13" max="13" width="22.15234375" hidden="1" customWidth="1"/>
    <col min="14" max="14" width="10.3046875" hidden="1" customWidth="1"/>
    <col min="15" max="15" width="13.69140625" hidden="1" customWidth="1"/>
    <col min="16" max="16" width="11.53515625" hidden="1" customWidth="1"/>
    <col min="17" max="17" width="0" hidden="1" customWidth="1"/>
    <col min="18" max="18" width="22.53515625" hidden="1" customWidth="1"/>
    <col min="19" max="19" width="15.3046875" hidden="1" customWidth="1"/>
    <col min="20" max="20" width="23.3828125" hidden="1" customWidth="1"/>
    <col min="21" max="24" width="0" hidden="1" customWidth="1"/>
    <col min="25" max="25" width="70.15234375" customWidth="1"/>
    <col min="26" max="26" width="27.3046875" customWidth="1"/>
    <col min="27" max="27" width="23.84375" customWidth="1"/>
    <col min="28" max="28" width="28.69140625" customWidth="1"/>
    <col min="31" max="32" width="13" customWidth="1"/>
    <col min="36" max="36" width="69.3828125" customWidth="1"/>
    <col min="37" max="37" width="10.53515625" customWidth="1"/>
    <col min="39" max="39" width="17.84375" customWidth="1"/>
    <col min="40" max="40" width="46" customWidth="1"/>
    <col min="41" max="41" width="76.15234375" customWidth="1"/>
    <col min="42" max="42" width="17.15234375" customWidth="1"/>
    <col min="43" max="43" width="17.3046875" customWidth="1"/>
    <col min="44" max="44" width="26" bestFit="1" customWidth="1"/>
    <col min="45" max="45" width="30.84375" customWidth="1"/>
    <col min="46" max="46" width="35.69140625" customWidth="1"/>
    <col min="47" max="47" width="27.15234375" style="31" customWidth="1"/>
    <col min="48" max="48" width="24.3828125" style="31" customWidth="1"/>
    <col min="49" max="50" width="23" customWidth="1"/>
    <col min="51" max="51" width="30.3046875" customWidth="1"/>
  </cols>
  <sheetData>
    <row r="1" spans="1:51" ht="15" customHeight="1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0" t="s">
        <v>8094</v>
      </c>
      <c r="G1" s="40" t="s">
        <v>8096</v>
      </c>
      <c r="H1" s="40" t="s">
        <v>8139</v>
      </c>
      <c r="I1" s="4" t="s">
        <v>5</v>
      </c>
      <c r="J1" s="5" t="s">
        <v>6</v>
      </c>
      <c r="K1" s="2" t="s">
        <v>7</v>
      </c>
      <c r="L1" s="6" t="s">
        <v>8</v>
      </c>
      <c r="M1" s="2" t="s">
        <v>9</v>
      </c>
      <c r="N1" s="7" t="s">
        <v>10</v>
      </c>
      <c r="O1" s="8" t="s">
        <v>11</v>
      </c>
      <c r="P1" s="2" t="s">
        <v>12</v>
      </c>
      <c r="Q1" s="2" t="s">
        <v>13</v>
      </c>
      <c r="R1" s="2" t="s">
        <v>14</v>
      </c>
      <c r="S1" s="9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5" t="s">
        <v>23</v>
      </c>
      <c r="AB1" s="2" t="s">
        <v>24</v>
      </c>
      <c r="AC1" s="10" t="s">
        <v>25</v>
      </c>
      <c r="AD1" s="2" t="s">
        <v>26</v>
      </c>
      <c r="AE1" s="2" t="s">
        <v>8092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8093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11" t="s">
        <v>37</v>
      </c>
      <c r="AQ1" s="11" t="s">
        <v>38</v>
      </c>
      <c r="AR1" s="11" t="s">
        <v>39</v>
      </c>
      <c r="AS1" s="11" t="s">
        <v>40</v>
      </c>
      <c r="AT1" s="11" t="s">
        <v>41</v>
      </c>
      <c r="AU1" s="30" t="s">
        <v>42</v>
      </c>
      <c r="AV1" s="32" t="s">
        <v>36</v>
      </c>
      <c r="AW1" s="4" t="s">
        <v>43</v>
      </c>
      <c r="AX1" s="4" t="s">
        <v>44</v>
      </c>
      <c r="AY1" s="4" t="s">
        <v>45</v>
      </c>
    </row>
    <row r="2" spans="1:51" ht="15" customHeight="1" x14ac:dyDescent="0.4">
      <c r="A2" s="12">
        <v>1903</v>
      </c>
      <c r="B2" t="s">
        <v>46</v>
      </c>
      <c r="D2" t="s">
        <v>47</v>
      </c>
      <c r="E2" s="13"/>
      <c r="F2" s="41"/>
      <c r="G2" s="41"/>
      <c r="H2" s="41"/>
      <c r="I2" s="14" t="s">
        <v>49</v>
      </c>
      <c r="J2" s="15">
        <v>42907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s="16" t="s">
        <v>58</v>
      </c>
      <c r="T2" t="s">
        <v>59</v>
      </c>
      <c r="Y2" t="s">
        <v>60</v>
      </c>
      <c r="AA2" s="15"/>
      <c r="AC2" s="17">
        <v>35.177030000000002</v>
      </c>
      <c r="AD2" s="17">
        <v>-97.450190000000006</v>
      </c>
      <c r="AE2" t="s">
        <v>61</v>
      </c>
      <c r="AH2" t="s">
        <v>62</v>
      </c>
      <c r="AI2" t="s">
        <v>63</v>
      </c>
      <c r="AJ2" t="s">
        <v>64</v>
      </c>
      <c r="AK2">
        <v>185382</v>
      </c>
      <c r="AM2" t="s">
        <v>65</v>
      </c>
      <c r="AN2" t="s">
        <v>66</v>
      </c>
      <c r="AO2" t="s">
        <v>67</v>
      </c>
      <c r="AP2" t="s">
        <v>68</v>
      </c>
      <c r="AR2" t="s">
        <v>69</v>
      </c>
      <c r="AS2" t="s">
        <v>70</v>
      </c>
      <c r="AT2" t="s">
        <v>71</v>
      </c>
      <c r="AW2" s="14" t="s">
        <v>72</v>
      </c>
      <c r="AX2" s="14" t="s">
        <v>73</v>
      </c>
      <c r="AY2" s="14" t="s">
        <v>74</v>
      </c>
    </row>
    <row r="3" spans="1:51" ht="15" customHeight="1" x14ac:dyDescent="0.4">
      <c r="A3" s="12">
        <v>1904</v>
      </c>
      <c r="B3" t="s">
        <v>75</v>
      </c>
      <c r="D3" t="s">
        <v>76</v>
      </c>
      <c r="E3" s="13"/>
      <c r="F3" s="41"/>
      <c r="G3" s="41"/>
      <c r="H3" s="41"/>
      <c r="I3" s="14" t="s">
        <v>49</v>
      </c>
      <c r="J3" s="15">
        <v>42907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s="16" t="s">
        <v>58</v>
      </c>
      <c r="T3" t="s">
        <v>77</v>
      </c>
      <c r="Y3" t="s">
        <v>78</v>
      </c>
      <c r="Z3" t="s">
        <v>79</v>
      </c>
      <c r="AA3" s="15">
        <v>45597</v>
      </c>
      <c r="AB3" t="s">
        <v>48</v>
      </c>
      <c r="AC3" s="17">
        <v>35.177050000000001</v>
      </c>
      <c r="AD3" s="17">
        <v>-97.449209999999994</v>
      </c>
      <c r="AE3" t="s">
        <v>80</v>
      </c>
      <c r="AH3" t="s">
        <v>62</v>
      </c>
      <c r="AI3" t="s">
        <v>63</v>
      </c>
      <c r="AJ3" t="s">
        <v>81</v>
      </c>
      <c r="AK3">
        <v>185383</v>
      </c>
      <c r="AM3" t="s">
        <v>82</v>
      </c>
      <c r="AN3" t="s">
        <v>83</v>
      </c>
      <c r="AO3" t="s">
        <v>84</v>
      </c>
      <c r="AP3" t="s">
        <v>68</v>
      </c>
      <c r="AR3" t="s">
        <v>86</v>
      </c>
      <c r="AS3" t="s">
        <v>87</v>
      </c>
      <c r="AT3" t="s">
        <v>88</v>
      </c>
      <c r="AU3" s="31" t="s">
        <v>89</v>
      </c>
      <c r="AV3" s="31" t="s">
        <v>85</v>
      </c>
      <c r="AW3" s="14" t="s">
        <v>72</v>
      </c>
      <c r="AX3" s="14" t="s">
        <v>73</v>
      </c>
      <c r="AY3" s="14" t="s">
        <v>74</v>
      </c>
    </row>
    <row r="4" spans="1:51" ht="15" customHeight="1" x14ac:dyDescent="0.4">
      <c r="A4" s="12">
        <v>1905</v>
      </c>
      <c r="B4" t="s">
        <v>90</v>
      </c>
      <c r="D4" t="s">
        <v>91</v>
      </c>
      <c r="E4" s="13"/>
      <c r="F4" s="41"/>
      <c r="G4" s="41"/>
      <c r="H4" s="41"/>
      <c r="I4" s="14" t="s">
        <v>49</v>
      </c>
      <c r="J4" s="15">
        <v>42907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 s="16" t="s">
        <v>58</v>
      </c>
      <c r="T4" t="s">
        <v>77</v>
      </c>
      <c r="Y4" t="s">
        <v>60</v>
      </c>
      <c r="AA4" s="15"/>
      <c r="AC4" s="17">
        <v>35.177219999999998</v>
      </c>
      <c r="AD4" s="17">
        <v>-97.449669999999998</v>
      </c>
      <c r="AE4" t="s">
        <v>92</v>
      </c>
      <c r="AH4" t="s">
        <v>62</v>
      </c>
      <c r="AI4" t="s">
        <v>63</v>
      </c>
      <c r="AJ4" t="s">
        <v>93</v>
      </c>
      <c r="AK4">
        <v>185384</v>
      </c>
      <c r="AM4" t="s">
        <v>94</v>
      </c>
      <c r="AN4" t="s">
        <v>95</v>
      </c>
      <c r="AO4" t="s">
        <v>96</v>
      </c>
      <c r="AP4" t="s">
        <v>68</v>
      </c>
      <c r="AR4" t="s">
        <v>97</v>
      </c>
      <c r="AS4" t="s">
        <v>98</v>
      </c>
      <c r="AT4" t="s">
        <v>99</v>
      </c>
      <c r="AW4" s="14" t="s">
        <v>72</v>
      </c>
      <c r="AX4" s="14" t="s">
        <v>73</v>
      </c>
      <c r="AY4" s="14" t="s">
        <v>74</v>
      </c>
    </row>
    <row r="5" spans="1:51" ht="15" customHeight="1" x14ac:dyDescent="0.4">
      <c r="A5" s="12">
        <v>1906</v>
      </c>
      <c r="B5" t="s">
        <v>100</v>
      </c>
      <c r="D5" t="s">
        <v>101</v>
      </c>
      <c r="E5" s="13"/>
      <c r="F5" s="41"/>
      <c r="G5" s="41"/>
      <c r="H5" s="41"/>
      <c r="I5" s="14" t="s">
        <v>49</v>
      </c>
      <c r="J5" s="15">
        <v>42907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57</v>
      </c>
      <c r="S5" s="16" t="s">
        <v>58</v>
      </c>
      <c r="T5" t="s">
        <v>77</v>
      </c>
      <c r="Y5" t="s">
        <v>60</v>
      </c>
      <c r="AA5" s="15"/>
      <c r="AC5" s="17">
        <v>35.177039999999998</v>
      </c>
      <c r="AD5" s="17">
        <v>-97.449770000000001</v>
      </c>
      <c r="AE5" t="s">
        <v>102</v>
      </c>
      <c r="AH5" t="s">
        <v>62</v>
      </c>
      <c r="AI5" t="s">
        <v>63</v>
      </c>
      <c r="AJ5" t="s">
        <v>103</v>
      </c>
      <c r="AK5">
        <v>185385</v>
      </c>
      <c r="AM5" t="s">
        <v>104</v>
      </c>
      <c r="AN5" t="s">
        <v>105</v>
      </c>
      <c r="AO5" t="s">
        <v>106</v>
      </c>
      <c r="AP5" t="s">
        <v>68</v>
      </c>
      <c r="AR5" t="s">
        <v>107</v>
      </c>
      <c r="AS5" t="s">
        <v>108</v>
      </c>
      <c r="AT5" t="s">
        <v>109</v>
      </c>
      <c r="AW5" s="14" t="s">
        <v>72</v>
      </c>
      <c r="AX5" s="14" t="s">
        <v>73</v>
      </c>
      <c r="AY5" s="14" t="s">
        <v>74</v>
      </c>
    </row>
    <row r="6" spans="1:51" ht="15" customHeight="1" x14ac:dyDescent="0.4">
      <c r="A6" s="12">
        <v>1907</v>
      </c>
      <c r="B6" t="s">
        <v>110</v>
      </c>
      <c r="D6" t="s">
        <v>111</v>
      </c>
      <c r="E6" s="13"/>
      <c r="F6" s="41"/>
      <c r="G6" s="41"/>
      <c r="H6" s="41"/>
      <c r="I6" s="14" t="s">
        <v>49</v>
      </c>
      <c r="J6" s="15">
        <v>42907</v>
      </c>
      <c r="K6" t="s">
        <v>50</v>
      </c>
      <c r="L6" t="s">
        <v>51</v>
      </c>
      <c r="M6" t="s">
        <v>52</v>
      </c>
      <c r="N6" t="s">
        <v>53</v>
      </c>
      <c r="O6" t="s">
        <v>54</v>
      </c>
      <c r="P6" t="s">
        <v>55</v>
      </c>
      <c r="Q6" t="s">
        <v>56</v>
      </c>
      <c r="R6" t="s">
        <v>57</v>
      </c>
      <c r="S6" s="16" t="s">
        <v>58</v>
      </c>
      <c r="T6" t="s">
        <v>77</v>
      </c>
      <c r="Y6" t="s">
        <v>78</v>
      </c>
      <c r="Z6" t="s">
        <v>79</v>
      </c>
      <c r="AA6" s="15">
        <v>45597</v>
      </c>
      <c r="AB6" t="s">
        <v>48</v>
      </c>
      <c r="AC6" s="17">
        <v>35.176879999999997</v>
      </c>
      <c r="AD6" s="17">
        <v>-97.449700000000007</v>
      </c>
      <c r="AE6" t="s">
        <v>112</v>
      </c>
      <c r="AH6" t="s">
        <v>62</v>
      </c>
      <c r="AI6" t="s">
        <v>63</v>
      </c>
      <c r="AJ6" t="s">
        <v>113</v>
      </c>
      <c r="AK6">
        <v>185386</v>
      </c>
      <c r="AM6" t="s">
        <v>114</v>
      </c>
      <c r="AN6" t="s">
        <v>115</v>
      </c>
      <c r="AO6" t="s">
        <v>116</v>
      </c>
      <c r="AP6" t="s">
        <v>68</v>
      </c>
      <c r="AR6" t="s">
        <v>117</v>
      </c>
      <c r="AS6" t="s">
        <v>118</v>
      </c>
      <c r="AT6" t="s">
        <v>119</v>
      </c>
      <c r="AU6" s="31" t="s">
        <v>120</v>
      </c>
      <c r="AV6" s="31" t="s">
        <v>85</v>
      </c>
      <c r="AW6" s="14" t="s">
        <v>72</v>
      </c>
      <c r="AX6" s="14" t="s">
        <v>73</v>
      </c>
      <c r="AY6" s="14" t="s">
        <v>74</v>
      </c>
    </row>
    <row r="7" spans="1:51" ht="15" customHeight="1" x14ac:dyDescent="0.4">
      <c r="A7" s="12">
        <v>1908</v>
      </c>
      <c r="B7" t="s">
        <v>121</v>
      </c>
      <c r="D7" t="s">
        <v>122</v>
      </c>
      <c r="E7" s="13"/>
      <c r="F7" s="41"/>
      <c r="G7" s="41"/>
      <c r="H7" s="41"/>
      <c r="I7" s="14" t="s">
        <v>49</v>
      </c>
      <c r="J7" s="15">
        <v>42907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  <c r="Q7" t="s">
        <v>56</v>
      </c>
      <c r="R7" t="s">
        <v>57</v>
      </c>
      <c r="S7" s="16" t="s">
        <v>58</v>
      </c>
      <c r="T7" t="s">
        <v>77</v>
      </c>
      <c r="Y7" t="s">
        <v>60</v>
      </c>
      <c r="AA7" s="15"/>
      <c r="AC7" s="17">
        <v>35.176690000000001</v>
      </c>
      <c r="AD7" s="17">
        <v>-97.449879999999993</v>
      </c>
      <c r="AE7" t="s">
        <v>123</v>
      </c>
      <c r="AH7" t="s">
        <v>62</v>
      </c>
      <c r="AI7" t="s">
        <v>63</v>
      </c>
      <c r="AJ7" t="s">
        <v>124</v>
      </c>
      <c r="AK7">
        <v>185387</v>
      </c>
      <c r="AM7" t="s">
        <v>125</v>
      </c>
      <c r="AN7" t="s">
        <v>126</v>
      </c>
      <c r="AO7" t="s">
        <v>127</v>
      </c>
      <c r="AP7" t="s">
        <v>68</v>
      </c>
      <c r="AR7" t="s">
        <v>128</v>
      </c>
      <c r="AS7" t="s">
        <v>129</v>
      </c>
      <c r="AT7" t="s">
        <v>130</v>
      </c>
      <c r="AW7" s="14" t="s">
        <v>72</v>
      </c>
      <c r="AX7" s="14" t="s">
        <v>73</v>
      </c>
      <c r="AY7" s="14" t="s">
        <v>74</v>
      </c>
    </row>
    <row r="8" spans="1:51" ht="15" customHeight="1" x14ac:dyDescent="0.4">
      <c r="A8" s="12">
        <v>1909</v>
      </c>
      <c r="B8" t="s">
        <v>131</v>
      </c>
      <c r="D8" t="s">
        <v>132</v>
      </c>
      <c r="E8" s="13"/>
      <c r="F8" s="41"/>
      <c r="G8" s="41"/>
      <c r="H8" s="41"/>
      <c r="I8" s="14" t="s">
        <v>49</v>
      </c>
      <c r="J8" s="15">
        <v>42907</v>
      </c>
      <c r="K8" t="s">
        <v>50</v>
      </c>
      <c r="L8" t="s">
        <v>51</v>
      </c>
      <c r="M8" t="s">
        <v>52</v>
      </c>
      <c r="N8" t="s">
        <v>53</v>
      </c>
      <c r="O8" t="s">
        <v>54</v>
      </c>
      <c r="P8" t="s">
        <v>55</v>
      </c>
      <c r="Q8" t="s">
        <v>56</v>
      </c>
      <c r="R8" t="s">
        <v>57</v>
      </c>
      <c r="S8" s="16" t="s">
        <v>58</v>
      </c>
      <c r="T8" t="s">
        <v>77</v>
      </c>
      <c r="Y8" t="s">
        <v>60</v>
      </c>
      <c r="AA8" s="15"/>
      <c r="AC8" s="17">
        <v>35.176349999999999</v>
      </c>
      <c r="AD8" s="17">
        <v>-97.450090000000003</v>
      </c>
      <c r="AE8" t="s">
        <v>133</v>
      </c>
      <c r="AH8" t="s">
        <v>62</v>
      </c>
      <c r="AI8" t="s">
        <v>63</v>
      </c>
      <c r="AJ8" t="s">
        <v>134</v>
      </c>
      <c r="AK8">
        <v>185388</v>
      </c>
      <c r="AM8" t="s">
        <v>135</v>
      </c>
      <c r="AN8" t="s">
        <v>136</v>
      </c>
      <c r="AO8" t="s">
        <v>137</v>
      </c>
      <c r="AP8" t="s">
        <v>68</v>
      </c>
      <c r="AR8" t="s">
        <v>138</v>
      </c>
      <c r="AS8" t="s">
        <v>139</v>
      </c>
      <c r="AT8" t="s">
        <v>140</v>
      </c>
      <c r="AW8" s="14" t="s">
        <v>72</v>
      </c>
      <c r="AX8" s="14" t="s">
        <v>73</v>
      </c>
      <c r="AY8" s="14" t="s">
        <v>74</v>
      </c>
    </row>
    <row r="9" spans="1:51" ht="15" customHeight="1" x14ac:dyDescent="0.4">
      <c r="A9" s="12">
        <v>1910</v>
      </c>
      <c r="B9" t="s">
        <v>141</v>
      </c>
      <c r="D9" t="s">
        <v>142</v>
      </c>
      <c r="E9" s="13"/>
      <c r="F9" s="41"/>
      <c r="G9" s="41"/>
      <c r="H9" s="41"/>
      <c r="I9" s="14" t="s">
        <v>49</v>
      </c>
      <c r="J9" s="15">
        <v>42907</v>
      </c>
      <c r="K9" t="s">
        <v>50</v>
      </c>
      <c r="L9" t="s">
        <v>51</v>
      </c>
      <c r="M9" t="s">
        <v>52</v>
      </c>
      <c r="N9" t="s">
        <v>53</v>
      </c>
      <c r="O9" t="s">
        <v>54</v>
      </c>
      <c r="P9" t="s">
        <v>55</v>
      </c>
      <c r="Q9" t="s">
        <v>56</v>
      </c>
      <c r="R9" t="s">
        <v>57</v>
      </c>
      <c r="S9" s="16" t="s">
        <v>58</v>
      </c>
      <c r="T9" t="s">
        <v>77</v>
      </c>
      <c r="Y9" t="s">
        <v>60</v>
      </c>
      <c r="AA9" s="15"/>
      <c r="AC9" s="17">
        <v>35.176949999999998</v>
      </c>
      <c r="AD9" s="17">
        <v>-97.449960000000004</v>
      </c>
      <c r="AE9" t="s">
        <v>143</v>
      </c>
      <c r="AH9" t="s">
        <v>62</v>
      </c>
      <c r="AI9" t="s">
        <v>63</v>
      </c>
      <c r="AJ9" t="s">
        <v>144</v>
      </c>
      <c r="AK9">
        <v>184679</v>
      </c>
      <c r="AM9" t="s">
        <v>145</v>
      </c>
      <c r="AN9" t="s">
        <v>146</v>
      </c>
      <c r="AO9" t="s">
        <v>147</v>
      </c>
      <c r="AP9" t="s">
        <v>68</v>
      </c>
      <c r="AR9" t="s">
        <v>148</v>
      </c>
      <c r="AS9" t="s">
        <v>149</v>
      </c>
      <c r="AT9" t="s">
        <v>150</v>
      </c>
      <c r="AW9" s="14" t="s">
        <v>72</v>
      </c>
      <c r="AX9" s="14" t="s">
        <v>73</v>
      </c>
      <c r="AY9" s="14" t="s">
        <v>74</v>
      </c>
    </row>
    <row r="10" spans="1:51" ht="15" customHeight="1" x14ac:dyDescent="0.4">
      <c r="A10" s="12">
        <v>1911</v>
      </c>
      <c r="B10" t="s">
        <v>151</v>
      </c>
      <c r="D10" t="s">
        <v>152</v>
      </c>
      <c r="E10" s="13"/>
      <c r="F10" s="41"/>
      <c r="G10" s="41"/>
      <c r="H10" s="41"/>
      <c r="I10" s="14" t="s">
        <v>49</v>
      </c>
      <c r="J10" s="15">
        <v>42907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  <c r="P10" t="s">
        <v>55</v>
      </c>
      <c r="Q10" t="s">
        <v>56</v>
      </c>
      <c r="R10" t="s">
        <v>57</v>
      </c>
      <c r="S10" s="16" t="s">
        <v>58</v>
      </c>
      <c r="T10" t="s">
        <v>77</v>
      </c>
      <c r="Y10" t="s">
        <v>60</v>
      </c>
      <c r="AA10" s="15"/>
      <c r="AC10" s="17">
        <v>35.177140000000001</v>
      </c>
      <c r="AD10" s="17">
        <v>-97.450050000000005</v>
      </c>
      <c r="AE10" t="s">
        <v>153</v>
      </c>
      <c r="AH10" t="s">
        <v>62</v>
      </c>
      <c r="AI10" t="s">
        <v>63</v>
      </c>
      <c r="AJ10" t="s">
        <v>154</v>
      </c>
      <c r="AK10">
        <v>185825</v>
      </c>
      <c r="AM10" t="s">
        <v>155</v>
      </c>
      <c r="AN10" t="s">
        <v>156</v>
      </c>
      <c r="AO10" t="s">
        <v>157</v>
      </c>
      <c r="AP10" t="s">
        <v>68</v>
      </c>
      <c r="AR10" t="s">
        <v>158</v>
      </c>
      <c r="AS10" t="s">
        <v>159</v>
      </c>
      <c r="AT10" t="s">
        <v>160</v>
      </c>
      <c r="AW10" s="14" t="s">
        <v>72</v>
      </c>
      <c r="AX10" s="14" t="s">
        <v>73</v>
      </c>
      <c r="AY10" s="14" t="s">
        <v>74</v>
      </c>
    </row>
    <row r="11" spans="1:51" ht="15" customHeight="1" x14ac:dyDescent="0.4">
      <c r="A11" s="12">
        <v>1912</v>
      </c>
      <c r="B11" t="s">
        <v>161</v>
      </c>
      <c r="D11" t="s">
        <v>162</v>
      </c>
      <c r="E11" s="13"/>
      <c r="F11" s="41"/>
      <c r="G11" s="41"/>
      <c r="H11" s="41"/>
      <c r="I11" s="14" t="s">
        <v>49</v>
      </c>
      <c r="J11" s="15">
        <v>42907</v>
      </c>
      <c r="K11" t="s">
        <v>50</v>
      </c>
      <c r="L11" t="s">
        <v>51</v>
      </c>
      <c r="M11" t="s">
        <v>52</v>
      </c>
      <c r="N11" t="s">
        <v>53</v>
      </c>
      <c r="O11" t="s">
        <v>54</v>
      </c>
      <c r="P11" t="s">
        <v>55</v>
      </c>
      <c r="Q11" t="s">
        <v>56</v>
      </c>
      <c r="R11" t="s">
        <v>57</v>
      </c>
      <c r="S11" s="16" t="s">
        <v>58</v>
      </c>
      <c r="T11" t="s">
        <v>77</v>
      </c>
      <c r="Y11" t="s">
        <v>78</v>
      </c>
      <c r="Z11" t="s">
        <v>79</v>
      </c>
      <c r="AA11" s="15">
        <v>45597</v>
      </c>
      <c r="AB11" t="s">
        <v>48</v>
      </c>
      <c r="AC11" s="17">
        <v>35.177219999999998</v>
      </c>
      <c r="AD11" s="17">
        <v>-97.450029999999998</v>
      </c>
      <c r="AE11" t="s">
        <v>163</v>
      </c>
      <c r="AH11" t="s">
        <v>62</v>
      </c>
      <c r="AI11" t="s">
        <v>63</v>
      </c>
      <c r="AJ11" t="s">
        <v>164</v>
      </c>
      <c r="AK11">
        <v>185389</v>
      </c>
      <c r="AM11" t="s">
        <v>165</v>
      </c>
      <c r="AN11" t="s">
        <v>166</v>
      </c>
      <c r="AO11" t="s">
        <v>167</v>
      </c>
      <c r="AP11" t="s">
        <v>68</v>
      </c>
      <c r="AR11" t="s">
        <v>168</v>
      </c>
      <c r="AS11" t="s">
        <v>169</v>
      </c>
      <c r="AT11" t="s">
        <v>170</v>
      </c>
      <c r="AU11" s="31" t="s">
        <v>171</v>
      </c>
      <c r="AV11" s="31" t="s">
        <v>85</v>
      </c>
      <c r="AW11" s="14" t="s">
        <v>72</v>
      </c>
      <c r="AX11" s="14" t="s">
        <v>73</v>
      </c>
      <c r="AY11" s="14" t="s">
        <v>74</v>
      </c>
    </row>
    <row r="12" spans="1:51" ht="15" customHeight="1" x14ac:dyDescent="0.4">
      <c r="A12" s="12">
        <v>1929</v>
      </c>
      <c r="B12" t="s">
        <v>172</v>
      </c>
      <c r="D12" t="s">
        <v>173</v>
      </c>
      <c r="E12" s="13"/>
      <c r="F12" s="41"/>
      <c r="G12" s="41"/>
      <c r="H12" s="41"/>
      <c r="I12" s="14" t="s">
        <v>49</v>
      </c>
      <c r="J12" s="15">
        <v>42909</v>
      </c>
      <c r="K12" t="s">
        <v>174</v>
      </c>
      <c r="L12" t="s">
        <v>51</v>
      </c>
      <c r="M12" t="s">
        <v>52</v>
      </c>
      <c r="N12" t="s">
        <v>53</v>
      </c>
      <c r="O12" t="s">
        <v>175</v>
      </c>
      <c r="P12" t="s">
        <v>176</v>
      </c>
      <c r="Q12" t="s">
        <v>56</v>
      </c>
      <c r="R12" t="s">
        <v>177</v>
      </c>
      <c r="S12" s="16" t="s">
        <v>178</v>
      </c>
      <c r="T12" t="s">
        <v>179</v>
      </c>
      <c r="Y12" t="s">
        <v>180</v>
      </c>
      <c r="Z12" t="s">
        <v>79</v>
      </c>
      <c r="AA12" s="15">
        <v>45597</v>
      </c>
      <c r="AB12" t="s">
        <v>48</v>
      </c>
      <c r="AC12" s="17"/>
      <c r="AD12" s="17"/>
      <c r="AE12">
        <v>320</v>
      </c>
      <c r="AG12" t="s">
        <v>181</v>
      </c>
      <c r="AH12" t="s">
        <v>62</v>
      </c>
      <c r="AI12" t="s">
        <v>63</v>
      </c>
      <c r="AJ12" t="s">
        <v>182</v>
      </c>
      <c r="AK12">
        <v>184694</v>
      </c>
      <c r="AM12" t="s">
        <v>183</v>
      </c>
      <c r="AN12" t="s">
        <v>184</v>
      </c>
      <c r="AO12" t="s">
        <v>185</v>
      </c>
      <c r="AP12" t="s">
        <v>68</v>
      </c>
      <c r="AR12" t="s">
        <v>186</v>
      </c>
      <c r="AS12" t="s">
        <v>187</v>
      </c>
      <c r="AT12" t="s">
        <v>188</v>
      </c>
      <c r="AU12" s="31" t="s">
        <v>189</v>
      </c>
      <c r="AV12" s="31" t="s">
        <v>85</v>
      </c>
      <c r="AW12" s="14" t="s">
        <v>72</v>
      </c>
      <c r="AX12" s="14" t="s">
        <v>73</v>
      </c>
      <c r="AY12" s="14" t="s">
        <v>74</v>
      </c>
    </row>
    <row r="13" spans="1:51" ht="15" customHeight="1" x14ac:dyDescent="0.4">
      <c r="A13" s="12">
        <v>1931</v>
      </c>
      <c r="B13" t="s">
        <v>190</v>
      </c>
      <c r="D13" t="s">
        <v>191</v>
      </c>
      <c r="E13" s="13"/>
      <c r="F13" s="41"/>
      <c r="G13" s="41"/>
      <c r="H13" s="41"/>
      <c r="I13" s="14" t="s">
        <v>49</v>
      </c>
      <c r="J13" s="15">
        <v>42909</v>
      </c>
      <c r="K13" t="s">
        <v>174</v>
      </c>
      <c r="L13" t="s">
        <v>51</v>
      </c>
      <c r="M13" t="s">
        <v>52</v>
      </c>
      <c r="N13" t="s">
        <v>53</v>
      </c>
      <c r="O13" t="s">
        <v>175</v>
      </c>
      <c r="P13" t="s">
        <v>176</v>
      </c>
      <c r="Q13" t="s">
        <v>56</v>
      </c>
      <c r="R13" t="s">
        <v>177</v>
      </c>
      <c r="S13" s="16" t="s">
        <v>178</v>
      </c>
      <c r="T13" t="s">
        <v>179</v>
      </c>
      <c r="Y13" t="s">
        <v>192</v>
      </c>
      <c r="AA13" s="15"/>
      <c r="AC13" s="17">
        <v>37.157670000000003</v>
      </c>
      <c r="AD13" s="17">
        <v>-91.364739999999998</v>
      </c>
      <c r="AE13" t="s">
        <v>193</v>
      </c>
      <c r="AH13" t="s">
        <v>62</v>
      </c>
      <c r="AI13" t="s">
        <v>63</v>
      </c>
      <c r="AJ13" t="s">
        <v>194</v>
      </c>
      <c r="AK13">
        <v>184696</v>
      </c>
      <c r="AM13" t="s">
        <v>195</v>
      </c>
      <c r="AN13" t="s">
        <v>196</v>
      </c>
      <c r="AO13" t="s">
        <v>197</v>
      </c>
      <c r="AP13" t="s">
        <v>68</v>
      </c>
      <c r="AR13" t="s">
        <v>198</v>
      </c>
      <c r="AS13" t="s">
        <v>199</v>
      </c>
      <c r="AT13" t="s">
        <v>200</v>
      </c>
      <c r="AW13" s="14" t="s">
        <v>72</v>
      </c>
      <c r="AX13" s="14" t="s">
        <v>73</v>
      </c>
      <c r="AY13" s="14" t="s">
        <v>74</v>
      </c>
    </row>
    <row r="14" spans="1:51" ht="15" customHeight="1" x14ac:dyDescent="0.4">
      <c r="A14" s="12">
        <v>1933</v>
      </c>
      <c r="B14" t="s">
        <v>201</v>
      </c>
      <c r="D14" t="s">
        <v>202</v>
      </c>
      <c r="E14" s="13"/>
      <c r="F14" s="41"/>
      <c r="G14" s="41"/>
      <c r="H14" s="41"/>
      <c r="I14" s="14" t="s">
        <v>49</v>
      </c>
      <c r="J14" s="15">
        <v>42909</v>
      </c>
      <c r="K14" t="s">
        <v>174</v>
      </c>
      <c r="L14" t="s">
        <v>51</v>
      </c>
      <c r="M14" t="s">
        <v>52</v>
      </c>
      <c r="N14" t="s">
        <v>53</v>
      </c>
      <c r="O14" t="s">
        <v>175</v>
      </c>
      <c r="P14" t="s">
        <v>176</v>
      </c>
      <c r="Q14" t="s">
        <v>56</v>
      </c>
      <c r="R14" t="s">
        <v>177</v>
      </c>
      <c r="S14" s="16" t="s">
        <v>178</v>
      </c>
      <c r="T14" t="s">
        <v>179</v>
      </c>
      <c r="Y14" t="s">
        <v>78</v>
      </c>
      <c r="Z14" t="s">
        <v>79</v>
      </c>
      <c r="AA14" s="15">
        <v>45597</v>
      </c>
      <c r="AB14" t="s">
        <v>48</v>
      </c>
      <c r="AC14" s="17">
        <v>37.156869999999998</v>
      </c>
      <c r="AD14" s="17">
        <v>-91.364710000000002</v>
      </c>
      <c r="AE14" t="s">
        <v>203</v>
      </c>
      <c r="AH14" t="s">
        <v>62</v>
      </c>
      <c r="AI14" t="s">
        <v>63</v>
      </c>
      <c r="AJ14" t="s">
        <v>204</v>
      </c>
      <c r="AK14">
        <v>184697</v>
      </c>
      <c r="AM14" t="s">
        <v>205</v>
      </c>
      <c r="AN14" t="s">
        <v>206</v>
      </c>
      <c r="AO14" t="s">
        <v>207</v>
      </c>
      <c r="AP14" t="s">
        <v>68</v>
      </c>
      <c r="AR14" t="s">
        <v>208</v>
      </c>
      <c r="AS14" t="s">
        <v>209</v>
      </c>
      <c r="AT14" t="s">
        <v>210</v>
      </c>
      <c r="AU14" s="31" t="s">
        <v>211</v>
      </c>
      <c r="AV14" s="31" t="s">
        <v>85</v>
      </c>
      <c r="AW14" s="14" t="s">
        <v>72</v>
      </c>
      <c r="AX14" s="14" t="s">
        <v>73</v>
      </c>
      <c r="AY14" s="14" t="s">
        <v>74</v>
      </c>
    </row>
    <row r="15" spans="1:51" ht="15" customHeight="1" x14ac:dyDescent="0.4">
      <c r="A15" s="12">
        <v>1934</v>
      </c>
      <c r="B15" t="s">
        <v>212</v>
      </c>
      <c r="D15" t="s">
        <v>213</v>
      </c>
      <c r="E15" s="13"/>
      <c r="F15" s="41"/>
      <c r="G15" s="41"/>
      <c r="H15" s="41"/>
      <c r="I15" s="14" t="s">
        <v>49</v>
      </c>
      <c r="J15" s="15">
        <v>42909</v>
      </c>
      <c r="K15" t="s">
        <v>174</v>
      </c>
      <c r="L15" t="s">
        <v>51</v>
      </c>
      <c r="M15" t="s">
        <v>52</v>
      </c>
      <c r="N15" t="s">
        <v>53</v>
      </c>
      <c r="O15" t="s">
        <v>175</v>
      </c>
      <c r="P15" t="s">
        <v>176</v>
      </c>
      <c r="Q15" t="s">
        <v>56</v>
      </c>
      <c r="R15" t="s">
        <v>177</v>
      </c>
      <c r="S15" s="16" t="s">
        <v>214</v>
      </c>
      <c r="T15" t="s">
        <v>179</v>
      </c>
      <c r="Y15" t="s">
        <v>60</v>
      </c>
      <c r="AA15" s="15"/>
      <c r="AC15" s="17">
        <v>37.156860000000002</v>
      </c>
      <c r="AD15" s="17">
        <v>-91.365009999999998</v>
      </c>
      <c r="AE15" t="s">
        <v>215</v>
      </c>
      <c r="AH15" t="s">
        <v>62</v>
      </c>
      <c r="AI15" t="s">
        <v>63</v>
      </c>
      <c r="AJ15" t="s">
        <v>216</v>
      </c>
      <c r="AK15">
        <v>186782</v>
      </c>
      <c r="AM15" t="s">
        <v>217</v>
      </c>
      <c r="AN15" t="s">
        <v>218</v>
      </c>
      <c r="AO15" t="s">
        <v>219</v>
      </c>
      <c r="AP15" t="s">
        <v>68</v>
      </c>
      <c r="AR15" t="s">
        <v>220</v>
      </c>
      <c r="AS15" t="s">
        <v>221</v>
      </c>
      <c r="AT15" t="s">
        <v>222</v>
      </c>
      <c r="AW15" s="14" t="s">
        <v>72</v>
      </c>
      <c r="AX15" s="14" t="s">
        <v>73</v>
      </c>
      <c r="AY15" s="14" t="s">
        <v>74</v>
      </c>
    </row>
    <row r="16" spans="1:51" ht="15" customHeight="1" x14ac:dyDescent="0.4">
      <c r="A16" s="12">
        <v>1935</v>
      </c>
      <c r="B16" t="s">
        <v>223</v>
      </c>
      <c r="D16" t="s">
        <v>224</v>
      </c>
      <c r="E16" s="13"/>
      <c r="F16" s="41"/>
      <c r="G16" s="41"/>
      <c r="H16" s="41"/>
      <c r="I16" s="14" t="s">
        <v>49</v>
      </c>
      <c r="J16" s="15">
        <v>42909</v>
      </c>
      <c r="K16" t="s">
        <v>174</v>
      </c>
      <c r="L16" t="s">
        <v>51</v>
      </c>
      <c r="M16" t="s">
        <v>52</v>
      </c>
      <c r="N16" t="s">
        <v>53</v>
      </c>
      <c r="O16" t="s">
        <v>175</v>
      </c>
      <c r="P16" t="s">
        <v>176</v>
      </c>
      <c r="Q16" t="s">
        <v>56</v>
      </c>
      <c r="R16" t="s">
        <v>177</v>
      </c>
      <c r="S16" s="16" t="s">
        <v>214</v>
      </c>
      <c r="T16" t="s">
        <v>179</v>
      </c>
      <c r="Y16" t="s">
        <v>60</v>
      </c>
      <c r="AA16" s="15"/>
      <c r="AC16" s="17">
        <v>37.157260000000001</v>
      </c>
      <c r="AD16" s="17">
        <v>-91.365179999999995</v>
      </c>
      <c r="AE16" t="s">
        <v>225</v>
      </c>
      <c r="AH16" t="s">
        <v>62</v>
      </c>
      <c r="AI16" t="s">
        <v>63</v>
      </c>
      <c r="AJ16" t="s">
        <v>226</v>
      </c>
      <c r="AK16">
        <v>186775</v>
      </c>
      <c r="AM16" s="20" t="s">
        <v>227</v>
      </c>
      <c r="AN16" t="s">
        <v>228</v>
      </c>
      <c r="AO16" t="s">
        <v>229</v>
      </c>
      <c r="AP16" t="s">
        <v>68</v>
      </c>
      <c r="AR16" t="s">
        <v>230</v>
      </c>
      <c r="AS16" t="s">
        <v>231</v>
      </c>
      <c r="AT16" t="s">
        <v>232</v>
      </c>
      <c r="AW16" s="14" t="s">
        <v>72</v>
      </c>
      <c r="AX16" s="14" t="s">
        <v>73</v>
      </c>
      <c r="AY16" s="14" t="s">
        <v>74</v>
      </c>
    </row>
    <row r="17" spans="1:51" ht="15" customHeight="1" x14ac:dyDescent="0.4">
      <c r="A17" s="12">
        <v>1936</v>
      </c>
      <c r="B17" t="s">
        <v>233</v>
      </c>
      <c r="D17" t="s">
        <v>234</v>
      </c>
      <c r="E17" s="13"/>
      <c r="F17" s="41"/>
      <c r="G17" s="41"/>
      <c r="H17" s="41"/>
      <c r="I17" s="14" t="s">
        <v>49</v>
      </c>
      <c r="J17" s="15">
        <v>42909</v>
      </c>
      <c r="K17" t="s">
        <v>174</v>
      </c>
      <c r="L17" t="s">
        <v>51</v>
      </c>
      <c r="M17" t="s">
        <v>52</v>
      </c>
      <c r="N17" t="s">
        <v>53</v>
      </c>
      <c r="O17" t="s">
        <v>175</v>
      </c>
      <c r="P17" t="s">
        <v>176</v>
      </c>
      <c r="Q17" t="s">
        <v>56</v>
      </c>
      <c r="R17" t="s">
        <v>177</v>
      </c>
      <c r="S17" s="16" t="s">
        <v>178</v>
      </c>
      <c r="T17" t="s">
        <v>179</v>
      </c>
      <c r="Y17" t="s">
        <v>78</v>
      </c>
      <c r="Z17" t="s">
        <v>79</v>
      </c>
      <c r="AA17" s="15">
        <v>45597</v>
      </c>
      <c r="AB17" t="s">
        <v>48</v>
      </c>
      <c r="AC17" s="17">
        <v>37.157580000000003</v>
      </c>
      <c r="AD17" s="17">
        <v>-91.365129999999994</v>
      </c>
      <c r="AE17" t="s">
        <v>235</v>
      </c>
      <c r="AH17" t="s">
        <v>62</v>
      </c>
      <c r="AI17" t="s">
        <v>63</v>
      </c>
      <c r="AJ17" t="s">
        <v>236</v>
      </c>
      <c r="AK17">
        <v>184698</v>
      </c>
      <c r="AM17" t="s">
        <v>237</v>
      </c>
      <c r="AN17" t="s">
        <v>238</v>
      </c>
      <c r="AO17" t="s">
        <v>239</v>
      </c>
      <c r="AP17" t="s">
        <v>68</v>
      </c>
      <c r="AR17" t="s">
        <v>240</v>
      </c>
      <c r="AS17" t="s">
        <v>241</v>
      </c>
      <c r="AT17" t="s">
        <v>242</v>
      </c>
      <c r="AU17" s="31" t="s">
        <v>243</v>
      </c>
      <c r="AV17" s="31" t="s">
        <v>85</v>
      </c>
      <c r="AW17" s="14" t="s">
        <v>72</v>
      </c>
      <c r="AX17" s="14" t="s">
        <v>73</v>
      </c>
      <c r="AY17" s="14" t="s">
        <v>74</v>
      </c>
    </row>
    <row r="18" spans="1:51" ht="15" customHeight="1" x14ac:dyDescent="0.4">
      <c r="A18" s="12">
        <v>1950</v>
      </c>
      <c r="B18" t="s">
        <v>244</v>
      </c>
      <c r="D18" t="s">
        <v>245</v>
      </c>
      <c r="E18" s="13"/>
      <c r="F18" s="41"/>
      <c r="G18" s="41"/>
      <c r="H18" s="41"/>
      <c r="I18" s="14" t="s">
        <v>49</v>
      </c>
      <c r="J18" s="15">
        <v>42922</v>
      </c>
      <c r="K18" t="s">
        <v>246</v>
      </c>
      <c r="L18" t="s">
        <v>51</v>
      </c>
      <c r="M18" t="s">
        <v>52</v>
      </c>
      <c r="N18" t="s">
        <v>247</v>
      </c>
      <c r="O18" t="s">
        <v>248</v>
      </c>
      <c r="R18" s="16" t="s">
        <v>249</v>
      </c>
      <c r="S18" s="21"/>
      <c r="T18" t="s">
        <v>250</v>
      </c>
      <c r="Y18" t="s">
        <v>60</v>
      </c>
      <c r="AA18" s="15"/>
      <c r="AC18" s="17">
        <v>49.713590000000003</v>
      </c>
      <c r="AD18" s="17">
        <v>-95.243489999999994</v>
      </c>
      <c r="AE18" t="s">
        <v>251</v>
      </c>
      <c r="AH18" t="s">
        <v>62</v>
      </c>
      <c r="AI18" t="s">
        <v>63</v>
      </c>
      <c r="AJ18" t="s">
        <v>252</v>
      </c>
      <c r="AK18">
        <v>184786</v>
      </c>
      <c r="AM18" t="s">
        <v>253</v>
      </c>
      <c r="AN18" t="s">
        <v>254</v>
      </c>
      <c r="AO18" t="s">
        <v>255</v>
      </c>
      <c r="AP18" t="s">
        <v>68</v>
      </c>
      <c r="AR18" t="s">
        <v>256</v>
      </c>
      <c r="AS18" t="s">
        <v>257</v>
      </c>
      <c r="AT18" t="s">
        <v>258</v>
      </c>
      <c r="AW18" s="14" t="s">
        <v>72</v>
      </c>
      <c r="AX18" s="14" t="s">
        <v>73</v>
      </c>
      <c r="AY18" s="14" t="s">
        <v>74</v>
      </c>
    </row>
    <row r="19" spans="1:51" ht="15" customHeight="1" x14ac:dyDescent="0.4">
      <c r="A19" s="12">
        <v>1951</v>
      </c>
      <c r="B19" t="s">
        <v>259</v>
      </c>
      <c r="D19" t="s">
        <v>260</v>
      </c>
      <c r="E19" s="13"/>
      <c r="F19" s="41"/>
      <c r="G19" s="41"/>
      <c r="H19" s="41"/>
      <c r="I19" s="14" t="s">
        <v>49</v>
      </c>
      <c r="J19" s="15">
        <v>42922</v>
      </c>
      <c r="K19" t="s">
        <v>246</v>
      </c>
      <c r="L19" t="s">
        <v>51</v>
      </c>
      <c r="M19" t="s">
        <v>52</v>
      </c>
      <c r="N19" t="s">
        <v>247</v>
      </c>
      <c r="O19" t="s">
        <v>248</v>
      </c>
      <c r="R19" s="16" t="s">
        <v>249</v>
      </c>
      <c r="S19" s="21"/>
      <c r="T19" t="s">
        <v>250</v>
      </c>
      <c r="Y19" t="s">
        <v>60</v>
      </c>
      <c r="AA19" s="15"/>
      <c r="AC19">
        <v>49.713760000000001</v>
      </c>
      <c r="AD19">
        <v>-95.243849999999995</v>
      </c>
      <c r="AE19" t="s">
        <v>261</v>
      </c>
      <c r="AH19" t="s">
        <v>62</v>
      </c>
      <c r="AI19" t="s">
        <v>63</v>
      </c>
      <c r="AJ19" t="s">
        <v>262</v>
      </c>
      <c r="AK19">
        <v>184787</v>
      </c>
      <c r="AM19" t="s">
        <v>263</v>
      </c>
      <c r="AN19" t="s">
        <v>264</v>
      </c>
      <c r="AO19" t="s">
        <v>265</v>
      </c>
      <c r="AP19" t="s">
        <v>68</v>
      </c>
      <c r="AR19" t="s">
        <v>266</v>
      </c>
      <c r="AS19" t="s">
        <v>267</v>
      </c>
      <c r="AT19" t="s">
        <v>268</v>
      </c>
      <c r="AU19" s="31" t="s">
        <v>269</v>
      </c>
      <c r="AV19" s="31" t="s">
        <v>85</v>
      </c>
      <c r="AW19" s="14" t="s">
        <v>72</v>
      </c>
      <c r="AX19" s="14" t="s">
        <v>73</v>
      </c>
      <c r="AY19" s="14" t="s">
        <v>74</v>
      </c>
    </row>
    <row r="20" spans="1:51" ht="15" customHeight="1" x14ac:dyDescent="0.4">
      <c r="A20" s="12">
        <v>1952</v>
      </c>
      <c r="B20" t="s">
        <v>270</v>
      </c>
      <c r="D20" t="s">
        <v>271</v>
      </c>
      <c r="E20" s="13"/>
      <c r="F20" s="41"/>
      <c r="G20" s="41"/>
      <c r="H20" s="41"/>
      <c r="I20" s="14" t="s">
        <v>49</v>
      </c>
      <c r="J20" s="15">
        <v>42922</v>
      </c>
      <c r="K20" t="s">
        <v>246</v>
      </c>
      <c r="L20" t="s">
        <v>51</v>
      </c>
      <c r="M20" t="s">
        <v>52</v>
      </c>
      <c r="N20" t="s">
        <v>247</v>
      </c>
      <c r="O20" t="s">
        <v>248</v>
      </c>
      <c r="R20" s="16" t="s">
        <v>249</v>
      </c>
      <c r="S20" s="21"/>
      <c r="T20" t="s">
        <v>272</v>
      </c>
      <c r="Y20" t="s">
        <v>60</v>
      </c>
      <c r="AA20" s="15"/>
      <c r="AC20" s="17">
        <v>49.712780000000002</v>
      </c>
      <c r="AD20" s="17">
        <v>-95.244320000000002</v>
      </c>
      <c r="AE20" t="s">
        <v>273</v>
      </c>
      <c r="AH20" t="s">
        <v>62</v>
      </c>
      <c r="AI20" t="s">
        <v>63</v>
      </c>
      <c r="AJ20" t="s">
        <v>274</v>
      </c>
      <c r="AK20">
        <v>184788</v>
      </c>
      <c r="AM20" t="s">
        <v>275</v>
      </c>
      <c r="AN20" t="s">
        <v>276</v>
      </c>
      <c r="AO20" t="s">
        <v>277</v>
      </c>
      <c r="AP20" t="s">
        <v>68</v>
      </c>
      <c r="AR20" t="s">
        <v>278</v>
      </c>
      <c r="AS20" t="s">
        <v>279</v>
      </c>
      <c r="AT20" t="s">
        <v>280</v>
      </c>
      <c r="AW20" s="14" t="s">
        <v>72</v>
      </c>
      <c r="AX20" s="14" t="s">
        <v>73</v>
      </c>
      <c r="AY20" s="14" t="s">
        <v>74</v>
      </c>
    </row>
    <row r="21" spans="1:51" ht="15" customHeight="1" x14ac:dyDescent="0.4">
      <c r="A21" s="12">
        <v>1953</v>
      </c>
      <c r="B21" t="s">
        <v>281</v>
      </c>
      <c r="D21" t="s">
        <v>282</v>
      </c>
      <c r="E21" s="13"/>
      <c r="F21" s="41"/>
      <c r="G21" s="41"/>
      <c r="H21" s="41"/>
      <c r="I21" s="14" t="s">
        <v>49</v>
      </c>
      <c r="J21" s="15">
        <v>42922</v>
      </c>
      <c r="K21" t="s">
        <v>246</v>
      </c>
      <c r="L21" t="s">
        <v>51</v>
      </c>
      <c r="M21" t="s">
        <v>52</v>
      </c>
      <c r="N21" t="s">
        <v>247</v>
      </c>
      <c r="O21" t="s">
        <v>248</v>
      </c>
      <c r="R21" t="s">
        <v>249</v>
      </c>
      <c r="S21" s="16" t="s">
        <v>283</v>
      </c>
      <c r="T21" t="s">
        <v>250</v>
      </c>
      <c r="Y21" t="s">
        <v>60</v>
      </c>
      <c r="AA21" s="15"/>
      <c r="AC21" s="17">
        <v>49.712780000000002</v>
      </c>
      <c r="AD21" s="17">
        <v>-95.244500000000002</v>
      </c>
      <c r="AE21" t="s">
        <v>284</v>
      </c>
      <c r="AH21" t="s">
        <v>62</v>
      </c>
      <c r="AI21" t="s">
        <v>63</v>
      </c>
      <c r="AJ21" t="s">
        <v>285</v>
      </c>
      <c r="AK21">
        <v>184789</v>
      </c>
      <c r="AM21" t="s">
        <v>286</v>
      </c>
      <c r="AN21" t="s">
        <v>287</v>
      </c>
      <c r="AO21" t="s">
        <v>288</v>
      </c>
      <c r="AP21" t="s">
        <v>68</v>
      </c>
      <c r="AR21" t="s">
        <v>289</v>
      </c>
      <c r="AS21" t="s">
        <v>290</v>
      </c>
      <c r="AT21" t="s">
        <v>291</v>
      </c>
      <c r="AW21" s="14" t="s">
        <v>72</v>
      </c>
      <c r="AX21" s="14" t="s">
        <v>73</v>
      </c>
      <c r="AY21" s="14" t="s">
        <v>74</v>
      </c>
    </row>
    <row r="22" spans="1:51" ht="15" customHeight="1" x14ac:dyDescent="0.4">
      <c r="A22" s="12">
        <v>1954</v>
      </c>
      <c r="B22" t="s">
        <v>292</v>
      </c>
      <c r="D22" t="s">
        <v>293</v>
      </c>
      <c r="E22" s="13"/>
      <c r="F22" s="41"/>
      <c r="G22" s="41"/>
      <c r="H22" s="41"/>
      <c r="I22" s="14" t="s">
        <v>49</v>
      </c>
      <c r="J22" s="15">
        <v>42922</v>
      </c>
      <c r="K22" t="s">
        <v>246</v>
      </c>
      <c r="L22" t="s">
        <v>51</v>
      </c>
      <c r="M22" t="s">
        <v>52</v>
      </c>
      <c r="N22" t="s">
        <v>247</v>
      </c>
      <c r="O22" t="s">
        <v>248</v>
      </c>
      <c r="R22" t="s">
        <v>249</v>
      </c>
      <c r="S22" s="16" t="s">
        <v>294</v>
      </c>
      <c r="T22" t="s">
        <v>250</v>
      </c>
      <c r="Y22" t="s">
        <v>60</v>
      </c>
      <c r="AA22" s="15"/>
      <c r="AC22" s="17">
        <v>49.712159999999997</v>
      </c>
      <c r="AD22" s="17">
        <v>-95.244630000000001</v>
      </c>
      <c r="AE22" t="s">
        <v>295</v>
      </c>
      <c r="AH22" t="s">
        <v>62</v>
      </c>
      <c r="AI22" t="s">
        <v>63</v>
      </c>
      <c r="AJ22" t="s">
        <v>296</v>
      </c>
      <c r="AK22">
        <v>184790</v>
      </c>
      <c r="AM22" t="s">
        <v>297</v>
      </c>
      <c r="AN22" t="s">
        <v>298</v>
      </c>
      <c r="AO22" t="s">
        <v>299</v>
      </c>
      <c r="AP22" t="s">
        <v>68</v>
      </c>
      <c r="AR22" t="s">
        <v>300</v>
      </c>
      <c r="AS22" t="s">
        <v>301</v>
      </c>
      <c r="AT22" t="s">
        <v>302</v>
      </c>
      <c r="AW22" s="14" t="s">
        <v>72</v>
      </c>
      <c r="AX22" s="14" t="s">
        <v>73</v>
      </c>
      <c r="AY22" s="14" t="s">
        <v>74</v>
      </c>
    </row>
    <row r="23" spans="1:51" ht="15" customHeight="1" x14ac:dyDescent="0.4">
      <c r="A23" s="12">
        <v>1955</v>
      </c>
      <c r="B23" t="s">
        <v>303</v>
      </c>
      <c r="D23" t="s">
        <v>304</v>
      </c>
      <c r="E23" s="13"/>
      <c r="F23" s="41"/>
      <c r="G23" s="41"/>
      <c r="H23" s="41"/>
      <c r="I23" s="14" t="s">
        <v>49</v>
      </c>
      <c r="J23" s="15">
        <v>42922</v>
      </c>
      <c r="K23" t="s">
        <v>246</v>
      </c>
      <c r="L23" t="s">
        <v>51</v>
      </c>
      <c r="M23" t="s">
        <v>52</v>
      </c>
      <c r="N23" t="s">
        <v>247</v>
      </c>
      <c r="O23" t="s">
        <v>248</v>
      </c>
      <c r="R23" t="s">
        <v>249</v>
      </c>
      <c r="S23" s="16" t="s">
        <v>294</v>
      </c>
      <c r="T23" t="s">
        <v>250</v>
      </c>
      <c r="Y23" t="s">
        <v>78</v>
      </c>
      <c r="Z23" t="s">
        <v>79</v>
      </c>
      <c r="AA23" s="15">
        <v>45597</v>
      </c>
      <c r="AB23" t="s">
        <v>48</v>
      </c>
      <c r="AC23" s="17">
        <v>49.712040000000002</v>
      </c>
      <c r="AD23" s="17">
        <v>-95.244799999999998</v>
      </c>
      <c r="AE23" t="s">
        <v>305</v>
      </c>
      <c r="AH23" t="s">
        <v>62</v>
      </c>
      <c r="AI23" t="s">
        <v>63</v>
      </c>
      <c r="AJ23" t="s">
        <v>306</v>
      </c>
      <c r="AK23">
        <v>184791</v>
      </c>
      <c r="AM23" t="s">
        <v>307</v>
      </c>
      <c r="AN23" t="s">
        <v>308</v>
      </c>
      <c r="AO23" t="s">
        <v>309</v>
      </c>
      <c r="AP23" t="s">
        <v>68</v>
      </c>
      <c r="AR23" t="s">
        <v>310</v>
      </c>
      <c r="AS23" t="s">
        <v>311</v>
      </c>
      <c r="AT23" t="s">
        <v>312</v>
      </c>
      <c r="AU23" s="31" t="s">
        <v>313</v>
      </c>
      <c r="AV23" s="31" t="s">
        <v>85</v>
      </c>
      <c r="AW23" s="14" t="s">
        <v>72</v>
      </c>
      <c r="AX23" s="14" t="s">
        <v>73</v>
      </c>
      <c r="AY23" s="14" t="s">
        <v>74</v>
      </c>
    </row>
    <row r="24" spans="1:51" ht="15" customHeight="1" x14ac:dyDescent="0.4">
      <c r="A24" s="12">
        <v>1956</v>
      </c>
      <c r="B24" t="s">
        <v>314</v>
      </c>
      <c r="D24" t="s">
        <v>315</v>
      </c>
      <c r="E24" s="13"/>
      <c r="F24" s="41"/>
      <c r="G24" s="41"/>
      <c r="H24" s="41"/>
      <c r="I24" s="14" t="s">
        <v>49</v>
      </c>
      <c r="J24" s="15">
        <v>42922</v>
      </c>
      <c r="K24" t="s">
        <v>246</v>
      </c>
      <c r="L24" t="s">
        <v>51</v>
      </c>
      <c r="M24" t="s">
        <v>52</v>
      </c>
      <c r="N24" t="s">
        <v>247</v>
      </c>
      <c r="O24" t="s">
        <v>248</v>
      </c>
      <c r="R24" t="s">
        <v>249</v>
      </c>
      <c r="S24" s="16" t="s">
        <v>294</v>
      </c>
      <c r="T24" t="s">
        <v>250</v>
      </c>
      <c r="Y24" t="s">
        <v>60</v>
      </c>
      <c r="AA24" s="15"/>
      <c r="AC24" s="17">
        <v>49.711950000000002</v>
      </c>
      <c r="AD24" s="17">
        <v>-95.244919999999993</v>
      </c>
      <c r="AE24" t="s">
        <v>316</v>
      </c>
      <c r="AH24" t="s">
        <v>62</v>
      </c>
      <c r="AI24" t="s">
        <v>63</v>
      </c>
      <c r="AJ24" t="s">
        <v>317</v>
      </c>
      <c r="AK24">
        <v>184792</v>
      </c>
      <c r="AM24" t="s">
        <v>318</v>
      </c>
      <c r="AN24" t="s">
        <v>319</v>
      </c>
      <c r="AO24" t="s">
        <v>320</v>
      </c>
      <c r="AP24" t="s">
        <v>68</v>
      </c>
      <c r="AR24" t="s">
        <v>321</v>
      </c>
      <c r="AS24" t="s">
        <v>322</v>
      </c>
      <c r="AT24" t="s">
        <v>323</v>
      </c>
      <c r="AW24" s="14" t="s">
        <v>72</v>
      </c>
      <c r="AX24" s="14" t="s">
        <v>73</v>
      </c>
      <c r="AY24" s="14" t="s">
        <v>74</v>
      </c>
    </row>
    <row r="25" spans="1:51" ht="15" customHeight="1" x14ac:dyDescent="0.4">
      <c r="A25" s="12">
        <v>1957</v>
      </c>
      <c r="B25" t="s">
        <v>324</v>
      </c>
      <c r="D25" t="s">
        <v>325</v>
      </c>
      <c r="E25" s="13"/>
      <c r="F25" s="41"/>
      <c r="G25" s="41"/>
      <c r="H25" s="41"/>
      <c r="I25" s="14" t="s">
        <v>49</v>
      </c>
      <c r="J25" s="15">
        <v>42922</v>
      </c>
      <c r="K25" t="s">
        <v>246</v>
      </c>
      <c r="L25" t="s">
        <v>51</v>
      </c>
      <c r="M25" t="s">
        <v>52</v>
      </c>
      <c r="N25" t="s">
        <v>247</v>
      </c>
      <c r="O25" t="s">
        <v>248</v>
      </c>
      <c r="R25" t="s">
        <v>249</v>
      </c>
      <c r="S25" s="16" t="s">
        <v>294</v>
      </c>
      <c r="T25" t="s">
        <v>250</v>
      </c>
      <c r="Y25" t="s">
        <v>60</v>
      </c>
      <c r="AA25" s="15"/>
      <c r="AC25" s="17">
        <v>49.712090000000003</v>
      </c>
      <c r="AD25" s="17">
        <v>-95.244960000000006</v>
      </c>
      <c r="AE25" t="s">
        <v>326</v>
      </c>
      <c r="AH25" t="s">
        <v>62</v>
      </c>
      <c r="AI25" t="s">
        <v>63</v>
      </c>
      <c r="AJ25" t="s">
        <v>327</v>
      </c>
      <c r="AK25">
        <v>184793</v>
      </c>
      <c r="AM25" t="s">
        <v>328</v>
      </c>
      <c r="AN25" t="s">
        <v>329</v>
      </c>
      <c r="AO25" t="s">
        <v>330</v>
      </c>
      <c r="AP25" t="s">
        <v>68</v>
      </c>
      <c r="AR25" t="s">
        <v>331</v>
      </c>
      <c r="AS25" t="s">
        <v>332</v>
      </c>
      <c r="AT25" t="s">
        <v>333</v>
      </c>
      <c r="AW25" s="14" t="s">
        <v>72</v>
      </c>
      <c r="AX25" s="14" t="s">
        <v>73</v>
      </c>
      <c r="AY25" s="14" t="s">
        <v>74</v>
      </c>
    </row>
    <row r="26" spans="1:51" ht="15" customHeight="1" x14ac:dyDescent="0.4">
      <c r="A26" s="12">
        <v>1958</v>
      </c>
      <c r="B26" t="s">
        <v>334</v>
      </c>
      <c r="D26" t="s">
        <v>335</v>
      </c>
      <c r="E26" s="13"/>
      <c r="F26" s="41"/>
      <c r="G26" s="41"/>
      <c r="H26" s="41"/>
      <c r="I26" s="14" t="s">
        <v>49</v>
      </c>
      <c r="J26" s="15">
        <v>42922</v>
      </c>
      <c r="K26" t="s">
        <v>246</v>
      </c>
      <c r="L26" t="s">
        <v>51</v>
      </c>
      <c r="M26" t="s">
        <v>52</v>
      </c>
      <c r="N26" t="s">
        <v>247</v>
      </c>
      <c r="O26" t="s">
        <v>248</v>
      </c>
      <c r="R26" t="s">
        <v>249</v>
      </c>
      <c r="S26" s="16"/>
      <c r="T26" t="s">
        <v>250</v>
      </c>
      <c r="Y26" t="s">
        <v>60</v>
      </c>
      <c r="AA26" s="15"/>
      <c r="AC26" s="17">
        <v>49.711869999999998</v>
      </c>
      <c r="AD26" s="17">
        <v>-95.244720000000001</v>
      </c>
      <c r="AE26" t="s">
        <v>336</v>
      </c>
      <c r="AH26" t="s">
        <v>62</v>
      </c>
      <c r="AI26" t="s">
        <v>63</v>
      </c>
      <c r="AJ26" t="s">
        <v>337</v>
      </c>
      <c r="AK26">
        <v>184794</v>
      </c>
      <c r="AM26" t="s">
        <v>338</v>
      </c>
      <c r="AN26" t="s">
        <v>339</v>
      </c>
      <c r="AO26" t="s">
        <v>340</v>
      </c>
      <c r="AP26" t="s">
        <v>68</v>
      </c>
      <c r="AR26" t="s">
        <v>341</v>
      </c>
      <c r="AS26" t="s">
        <v>342</v>
      </c>
      <c r="AT26" t="s">
        <v>343</v>
      </c>
      <c r="AW26" s="14" t="s">
        <v>72</v>
      </c>
      <c r="AX26" s="14" t="s">
        <v>73</v>
      </c>
      <c r="AY26" s="14" t="s">
        <v>74</v>
      </c>
    </row>
    <row r="27" spans="1:51" ht="15" customHeight="1" x14ac:dyDescent="0.4">
      <c r="A27" s="12">
        <v>1959</v>
      </c>
      <c r="B27" t="s">
        <v>344</v>
      </c>
      <c r="D27" t="s">
        <v>345</v>
      </c>
      <c r="E27" s="13"/>
      <c r="F27" s="41"/>
      <c r="G27" s="41"/>
      <c r="H27" s="41"/>
      <c r="I27" s="14" t="s">
        <v>49</v>
      </c>
      <c r="J27" s="15">
        <v>42922</v>
      </c>
      <c r="K27" t="s">
        <v>246</v>
      </c>
      <c r="L27" t="s">
        <v>51</v>
      </c>
      <c r="M27" t="s">
        <v>52</v>
      </c>
      <c r="N27" t="s">
        <v>247</v>
      </c>
      <c r="O27" t="s">
        <v>248</v>
      </c>
      <c r="R27" t="s">
        <v>249</v>
      </c>
      <c r="S27" s="16"/>
      <c r="T27" t="s">
        <v>250</v>
      </c>
      <c r="Y27" t="s">
        <v>78</v>
      </c>
      <c r="Z27" t="s">
        <v>79</v>
      </c>
      <c r="AA27" s="15">
        <v>45597</v>
      </c>
      <c r="AB27" t="s">
        <v>48</v>
      </c>
      <c r="AC27" s="17">
        <v>49.711869999999998</v>
      </c>
      <c r="AD27" s="17">
        <v>-95.244560000000007</v>
      </c>
      <c r="AE27" t="s">
        <v>346</v>
      </c>
      <c r="AH27" t="s">
        <v>62</v>
      </c>
      <c r="AI27" t="s">
        <v>63</v>
      </c>
      <c r="AJ27" t="s">
        <v>347</v>
      </c>
      <c r="AK27">
        <v>184795</v>
      </c>
      <c r="AM27" t="s">
        <v>348</v>
      </c>
      <c r="AN27" t="s">
        <v>349</v>
      </c>
      <c r="AO27" t="s">
        <v>350</v>
      </c>
      <c r="AP27" t="s">
        <v>68</v>
      </c>
      <c r="AR27" t="s">
        <v>351</v>
      </c>
      <c r="AS27" t="s">
        <v>352</v>
      </c>
      <c r="AT27" t="s">
        <v>353</v>
      </c>
      <c r="AU27" s="31" t="s">
        <v>354</v>
      </c>
      <c r="AV27" s="31" t="s">
        <v>85</v>
      </c>
      <c r="AW27" s="14" t="s">
        <v>72</v>
      </c>
      <c r="AX27" s="14" t="s">
        <v>73</v>
      </c>
      <c r="AY27" s="14" t="s">
        <v>74</v>
      </c>
    </row>
    <row r="28" spans="1:51" ht="15" customHeight="1" x14ac:dyDescent="0.4">
      <c r="A28" s="12">
        <v>1960</v>
      </c>
      <c r="B28" t="s">
        <v>355</v>
      </c>
      <c r="D28" t="s">
        <v>356</v>
      </c>
      <c r="E28" s="13"/>
      <c r="F28" s="41"/>
      <c r="G28" s="41"/>
      <c r="H28" s="41"/>
      <c r="I28" s="14" t="s">
        <v>49</v>
      </c>
      <c r="J28" s="15">
        <v>42923</v>
      </c>
      <c r="K28" t="s">
        <v>174</v>
      </c>
      <c r="L28" t="s">
        <v>51</v>
      </c>
      <c r="M28" t="s">
        <v>52</v>
      </c>
      <c r="N28" t="s">
        <v>247</v>
      </c>
      <c r="O28" t="s">
        <v>248</v>
      </c>
      <c r="R28" s="16" t="s">
        <v>357</v>
      </c>
      <c r="S28" s="21"/>
      <c r="T28" t="s">
        <v>358</v>
      </c>
      <c r="Y28" t="s">
        <v>78</v>
      </c>
      <c r="Z28" t="s">
        <v>79</v>
      </c>
      <c r="AA28" s="15">
        <v>45597</v>
      </c>
      <c r="AB28" t="s">
        <v>48</v>
      </c>
      <c r="AC28" s="17">
        <v>49.761040000000001</v>
      </c>
      <c r="AD28" s="17">
        <v>-99.159710000000004</v>
      </c>
      <c r="AE28" t="s">
        <v>359</v>
      </c>
      <c r="AH28" t="s">
        <v>62</v>
      </c>
      <c r="AI28" t="s">
        <v>63</v>
      </c>
      <c r="AJ28" t="s">
        <v>360</v>
      </c>
      <c r="AK28">
        <v>184796</v>
      </c>
      <c r="AM28" t="s">
        <v>361</v>
      </c>
      <c r="AN28" t="s">
        <v>362</v>
      </c>
      <c r="AO28" t="s">
        <v>363</v>
      </c>
      <c r="AP28" t="s">
        <v>68</v>
      </c>
      <c r="AR28" t="s">
        <v>364</v>
      </c>
      <c r="AS28" t="s">
        <v>365</v>
      </c>
      <c r="AT28" t="s">
        <v>366</v>
      </c>
      <c r="AU28" s="31" t="s">
        <v>367</v>
      </c>
      <c r="AV28" s="31" t="s">
        <v>85</v>
      </c>
      <c r="AW28" s="14" t="s">
        <v>72</v>
      </c>
      <c r="AX28" s="14" t="s">
        <v>73</v>
      </c>
      <c r="AY28" s="14" t="s">
        <v>74</v>
      </c>
    </row>
    <row r="29" spans="1:51" ht="15" customHeight="1" x14ac:dyDescent="0.4">
      <c r="A29" s="12">
        <v>1961</v>
      </c>
      <c r="B29" t="s">
        <v>368</v>
      </c>
      <c r="D29" t="s">
        <v>369</v>
      </c>
      <c r="E29" s="13"/>
      <c r="F29" s="41"/>
      <c r="G29" s="41"/>
      <c r="H29" s="41"/>
      <c r="I29" s="14" t="s">
        <v>49</v>
      </c>
      <c r="J29" s="15">
        <v>42923</v>
      </c>
      <c r="K29" t="s">
        <v>174</v>
      </c>
      <c r="L29" t="s">
        <v>51</v>
      </c>
      <c r="M29" t="s">
        <v>52</v>
      </c>
      <c r="N29" t="s">
        <v>247</v>
      </c>
      <c r="O29" t="s">
        <v>248</v>
      </c>
      <c r="R29" s="16" t="s">
        <v>357</v>
      </c>
      <c r="S29" s="16"/>
      <c r="T29" t="s">
        <v>358</v>
      </c>
      <c r="Y29" t="s">
        <v>60</v>
      </c>
      <c r="AA29" s="15"/>
      <c r="AC29" s="17">
        <v>49.760950000000001</v>
      </c>
      <c r="AD29" s="17">
        <v>-99.159829999999999</v>
      </c>
      <c r="AE29" t="s">
        <v>370</v>
      </c>
      <c r="AH29" t="s">
        <v>62</v>
      </c>
      <c r="AI29" t="s">
        <v>63</v>
      </c>
      <c r="AJ29" t="s">
        <v>371</v>
      </c>
      <c r="AK29">
        <v>184797</v>
      </c>
      <c r="AM29" t="s">
        <v>372</v>
      </c>
      <c r="AN29" t="s">
        <v>373</v>
      </c>
      <c r="AO29" t="s">
        <v>374</v>
      </c>
      <c r="AP29" t="s">
        <v>68</v>
      </c>
      <c r="AR29" t="s">
        <v>375</v>
      </c>
      <c r="AS29" t="s">
        <v>376</v>
      </c>
      <c r="AT29" t="s">
        <v>377</v>
      </c>
      <c r="AW29" s="14" t="s">
        <v>72</v>
      </c>
      <c r="AX29" s="14" t="s">
        <v>73</v>
      </c>
      <c r="AY29" s="14" t="s">
        <v>74</v>
      </c>
    </row>
    <row r="30" spans="1:51" ht="15" customHeight="1" x14ac:dyDescent="0.4">
      <c r="A30" s="12">
        <v>1962</v>
      </c>
      <c r="B30" t="s">
        <v>378</v>
      </c>
      <c r="D30" t="s">
        <v>379</v>
      </c>
      <c r="E30" s="13"/>
      <c r="F30" s="41"/>
      <c r="G30" s="41"/>
      <c r="H30" s="41"/>
      <c r="I30" s="14" t="s">
        <v>49</v>
      </c>
      <c r="J30" s="15">
        <v>42923</v>
      </c>
      <c r="K30" t="s">
        <v>174</v>
      </c>
      <c r="L30" t="s">
        <v>51</v>
      </c>
      <c r="M30" t="s">
        <v>52</v>
      </c>
      <c r="N30" t="s">
        <v>247</v>
      </c>
      <c r="O30" t="s">
        <v>248</v>
      </c>
      <c r="R30" s="16" t="s">
        <v>357</v>
      </c>
      <c r="S30" s="16"/>
      <c r="T30" t="s">
        <v>358</v>
      </c>
      <c r="Y30" t="s">
        <v>60</v>
      </c>
      <c r="AA30" s="15"/>
      <c r="AC30" s="17">
        <v>49.76061</v>
      </c>
      <c r="AD30" s="17">
        <v>-99.159279999999995</v>
      </c>
      <c r="AE30" t="s">
        <v>359</v>
      </c>
      <c r="AH30" t="s">
        <v>62</v>
      </c>
      <c r="AI30" t="s">
        <v>63</v>
      </c>
      <c r="AJ30" t="s">
        <v>380</v>
      </c>
      <c r="AK30">
        <v>184798</v>
      </c>
      <c r="AM30" t="s">
        <v>381</v>
      </c>
      <c r="AN30" t="s">
        <v>382</v>
      </c>
      <c r="AO30" t="s">
        <v>383</v>
      </c>
      <c r="AP30" t="s">
        <v>68</v>
      </c>
      <c r="AR30" t="s">
        <v>384</v>
      </c>
      <c r="AS30" t="s">
        <v>385</v>
      </c>
      <c r="AT30" t="s">
        <v>386</v>
      </c>
      <c r="AW30" s="14" t="s">
        <v>72</v>
      </c>
      <c r="AX30" s="14" t="s">
        <v>73</v>
      </c>
      <c r="AY30" s="14" t="s">
        <v>74</v>
      </c>
    </row>
    <row r="31" spans="1:51" ht="15" customHeight="1" x14ac:dyDescent="0.4">
      <c r="A31" s="12">
        <v>1963</v>
      </c>
      <c r="B31" t="s">
        <v>387</v>
      </c>
      <c r="D31" t="s">
        <v>388</v>
      </c>
      <c r="E31" s="13"/>
      <c r="F31" s="41"/>
      <c r="G31" s="41"/>
      <c r="H31" s="41"/>
      <c r="I31" s="14" t="s">
        <v>49</v>
      </c>
      <c r="J31" s="15">
        <v>42923</v>
      </c>
      <c r="K31" t="s">
        <v>174</v>
      </c>
      <c r="L31" t="s">
        <v>51</v>
      </c>
      <c r="M31" t="s">
        <v>52</v>
      </c>
      <c r="N31" t="s">
        <v>247</v>
      </c>
      <c r="O31" t="s">
        <v>248</v>
      </c>
      <c r="R31" s="16" t="s">
        <v>357</v>
      </c>
      <c r="S31" s="16"/>
      <c r="T31" t="s">
        <v>389</v>
      </c>
      <c r="Y31" t="s">
        <v>78</v>
      </c>
      <c r="Z31" t="s">
        <v>79</v>
      </c>
      <c r="AA31" s="15">
        <v>45597</v>
      </c>
      <c r="AB31" t="s">
        <v>48</v>
      </c>
      <c r="AC31" s="17">
        <v>49.761369999999999</v>
      </c>
      <c r="AD31" s="17">
        <v>-99.160399999999996</v>
      </c>
      <c r="AE31" t="s">
        <v>390</v>
      </c>
      <c r="AH31" t="s">
        <v>62</v>
      </c>
      <c r="AI31" t="s">
        <v>63</v>
      </c>
      <c r="AJ31" t="s">
        <v>391</v>
      </c>
      <c r="AK31">
        <v>184799</v>
      </c>
      <c r="AM31" t="s">
        <v>392</v>
      </c>
      <c r="AN31" t="s">
        <v>393</v>
      </c>
      <c r="AO31" t="s">
        <v>394</v>
      </c>
      <c r="AP31" t="s">
        <v>68</v>
      </c>
      <c r="AR31" t="s">
        <v>395</v>
      </c>
      <c r="AS31" t="s">
        <v>396</v>
      </c>
      <c r="AT31" t="s">
        <v>397</v>
      </c>
      <c r="AU31" s="31" t="s">
        <v>398</v>
      </c>
      <c r="AV31" s="31" t="s">
        <v>85</v>
      </c>
      <c r="AW31" s="14" t="s">
        <v>72</v>
      </c>
      <c r="AX31" s="14" t="s">
        <v>73</v>
      </c>
      <c r="AY31" s="14" t="s">
        <v>74</v>
      </c>
    </row>
    <row r="32" spans="1:51" ht="15" customHeight="1" x14ac:dyDescent="0.4">
      <c r="A32" s="12">
        <v>1964</v>
      </c>
      <c r="B32" t="s">
        <v>399</v>
      </c>
      <c r="D32" t="s">
        <v>400</v>
      </c>
      <c r="E32" s="13"/>
      <c r="F32" s="41"/>
      <c r="G32" s="41"/>
      <c r="H32" s="41"/>
      <c r="I32" s="14" t="s">
        <v>49</v>
      </c>
      <c r="J32" s="15">
        <v>42923</v>
      </c>
      <c r="K32" t="s">
        <v>174</v>
      </c>
      <c r="L32" t="s">
        <v>51</v>
      </c>
      <c r="M32" t="s">
        <v>52</v>
      </c>
      <c r="N32" t="s">
        <v>247</v>
      </c>
      <c r="O32" t="s">
        <v>248</v>
      </c>
      <c r="R32" s="16" t="s">
        <v>357</v>
      </c>
      <c r="S32" s="16"/>
      <c r="T32" t="s">
        <v>358</v>
      </c>
      <c r="Y32" t="s">
        <v>401</v>
      </c>
      <c r="Z32" t="s">
        <v>402</v>
      </c>
      <c r="AA32" s="15">
        <v>44873</v>
      </c>
      <c r="AB32" t="s">
        <v>48</v>
      </c>
      <c r="AC32" s="17">
        <v>49.76117</v>
      </c>
      <c r="AD32" s="17">
        <v>-99.161420000000007</v>
      </c>
      <c r="AE32" t="s">
        <v>403</v>
      </c>
      <c r="AH32" t="s">
        <v>62</v>
      </c>
      <c r="AI32" t="s">
        <v>63</v>
      </c>
      <c r="AJ32" t="s">
        <v>404</v>
      </c>
      <c r="AK32">
        <v>184800</v>
      </c>
      <c r="AM32" t="s">
        <v>405</v>
      </c>
      <c r="AN32" t="s">
        <v>406</v>
      </c>
      <c r="AO32" t="s">
        <v>407</v>
      </c>
      <c r="AP32" t="s">
        <v>68</v>
      </c>
      <c r="AR32" t="s">
        <v>408</v>
      </c>
      <c r="AS32" t="s">
        <v>409</v>
      </c>
      <c r="AT32" t="s">
        <v>410</v>
      </c>
      <c r="AW32" s="14" t="s">
        <v>72</v>
      </c>
      <c r="AX32" s="14" t="s">
        <v>73</v>
      </c>
      <c r="AY32" s="14" t="s">
        <v>74</v>
      </c>
    </row>
    <row r="33" spans="1:51" ht="15" customHeight="1" x14ac:dyDescent="0.4">
      <c r="A33" s="12">
        <v>1965</v>
      </c>
      <c r="B33" t="s">
        <v>411</v>
      </c>
      <c r="D33" t="s">
        <v>412</v>
      </c>
      <c r="E33" s="13"/>
      <c r="F33" s="41"/>
      <c r="G33" s="41"/>
      <c r="H33" s="41"/>
      <c r="I33" s="14" t="s">
        <v>49</v>
      </c>
      <c r="J33" s="15">
        <v>42923</v>
      </c>
      <c r="K33" t="s">
        <v>174</v>
      </c>
      <c r="L33" t="s">
        <v>51</v>
      </c>
      <c r="M33" t="s">
        <v>52</v>
      </c>
      <c r="N33" t="s">
        <v>247</v>
      </c>
      <c r="O33" t="s">
        <v>248</v>
      </c>
      <c r="R33" s="16" t="s">
        <v>357</v>
      </c>
      <c r="S33" s="16"/>
      <c r="T33" t="s">
        <v>358</v>
      </c>
      <c r="Y33" t="s">
        <v>60</v>
      </c>
      <c r="AA33" s="15"/>
      <c r="AC33" s="17">
        <v>49.761470000000003</v>
      </c>
      <c r="AD33" s="17">
        <v>-99.158860000000004</v>
      </c>
      <c r="AE33" t="s">
        <v>413</v>
      </c>
      <c r="AH33" t="s">
        <v>62</v>
      </c>
      <c r="AI33" t="s">
        <v>63</v>
      </c>
      <c r="AJ33" t="s">
        <v>414</v>
      </c>
      <c r="AK33">
        <v>184801</v>
      </c>
      <c r="AM33" t="s">
        <v>415</v>
      </c>
      <c r="AN33" t="s">
        <v>416</v>
      </c>
      <c r="AO33" t="s">
        <v>417</v>
      </c>
      <c r="AP33" t="s">
        <v>68</v>
      </c>
      <c r="AR33" t="s">
        <v>418</v>
      </c>
      <c r="AS33" t="s">
        <v>419</v>
      </c>
      <c r="AT33" t="s">
        <v>420</v>
      </c>
      <c r="AW33" s="14" t="s">
        <v>72</v>
      </c>
      <c r="AX33" s="14" t="s">
        <v>73</v>
      </c>
      <c r="AY33" s="14" t="s">
        <v>74</v>
      </c>
    </row>
    <row r="34" spans="1:51" ht="15" customHeight="1" x14ac:dyDescent="0.4">
      <c r="A34" s="12">
        <v>1966</v>
      </c>
      <c r="B34" t="s">
        <v>421</v>
      </c>
      <c r="D34" t="s">
        <v>422</v>
      </c>
      <c r="E34" s="13"/>
      <c r="F34" s="41"/>
      <c r="G34" s="41"/>
      <c r="H34" s="41"/>
      <c r="I34" s="14" t="s">
        <v>49</v>
      </c>
      <c r="J34" s="15">
        <v>42923</v>
      </c>
      <c r="K34" t="s">
        <v>174</v>
      </c>
      <c r="L34" t="s">
        <v>51</v>
      </c>
      <c r="M34" t="s">
        <v>52</v>
      </c>
      <c r="N34" t="s">
        <v>247</v>
      </c>
      <c r="O34" t="s">
        <v>248</v>
      </c>
      <c r="R34" s="16" t="s">
        <v>357</v>
      </c>
      <c r="S34" s="16"/>
      <c r="T34" t="s">
        <v>358</v>
      </c>
      <c r="Y34" t="s">
        <v>60</v>
      </c>
      <c r="AA34" s="15"/>
      <c r="AC34" s="17">
        <v>49.761029999999998</v>
      </c>
      <c r="AD34" s="17">
        <v>-99.158479999999997</v>
      </c>
      <c r="AE34" t="s">
        <v>423</v>
      </c>
      <c r="AH34" t="s">
        <v>62</v>
      </c>
      <c r="AI34" t="s">
        <v>63</v>
      </c>
      <c r="AJ34" t="s">
        <v>424</v>
      </c>
      <c r="AK34">
        <v>184802</v>
      </c>
      <c r="AM34" t="s">
        <v>425</v>
      </c>
      <c r="AN34" t="s">
        <v>426</v>
      </c>
      <c r="AO34" t="s">
        <v>427</v>
      </c>
      <c r="AP34" t="s">
        <v>68</v>
      </c>
      <c r="AR34" t="s">
        <v>428</v>
      </c>
      <c r="AS34" t="s">
        <v>429</v>
      </c>
      <c r="AT34" t="s">
        <v>430</v>
      </c>
      <c r="AW34" s="14" t="s">
        <v>72</v>
      </c>
      <c r="AX34" s="14" t="s">
        <v>73</v>
      </c>
      <c r="AY34" s="14" t="s">
        <v>74</v>
      </c>
    </row>
    <row r="35" spans="1:51" ht="15" customHeight="1" x14ac:dyDescent="0.4">
      <c r="A35" s="12">
        <v>1967</v>
      </c>
      <c r="B35" t="s">
        <v>431</v>
      </c>
      <c r="D35" t="s">
        <v>432</v>
      </c>
      <c r="E35" s="13"/>
      <c r="F35" s="41"/>
      <c r="G35" s="41"/>
      <c r="H35" s="41"/>
      <c r="I35" s="14" t="s">
        <v>49</v>
      </c>
      <c r="J35" s="15">
        <v>42923</v>
      </c>
      <c r="K35" t="s">
        <v>174</v>
      </c>
      <c r="L35" t="s">
        <v>51</v>
      </c>
      <c r="M35" t="s">
        <v>52</v>
      </c>
      <c r="N35" t="s">
        <v>247</v>
      </c>
      <c r="O35" t="s">
        <v>248</v>
      </c>
      <c r="R35" s="16" t="s">
        <v>357</v>
      </c>
      <c r="S35" s="16"/>
      <c r="T35" t="s">
        <v>433</v>
      </c>
      <c r="Y35" t="s">
        <v>60</v>
      </c>
      <c r="AA35" s="15"/>
      <c r="AC35" s="17">
        <v>49.760429999999999</v>
      </c>
      <c r="AD35" s="17">
        <v>-99.158580000000001</v>
      </c>
      <c r="AE35" t="s">
        <v>413</v>
      </c>
      <c r="AH35" t="s">
        <v>62</v>
      </c>
      <c r="AI35" t="s">
        <v>63</v>
      </c>
      <c r="AJ35" t="s">
        <v>434</v>
      </c>
      <c r="AK35">
        <v>184803</v>
      </c>
      <c r="AM35" t="s">
        <v>435</v>
      </c>
      <c r="AN35" t="s">
        <v>436</v>
      </c>
      <c r="AO35" t="s">
        <v>437</v>
      </c>
      <c r="AP35" t="s">
        <v>68</v>
      </c>
      <c r="AR35" t="s">
        <v>438</v>
      </c>
      <c r="AS35" t="s">
        <v>439</v>
      </c>
      <c r="AT35" t="s">
        <v>440</v>
      </c>
      <c r="AW35" s="14" t="s">
        <v>72</v>
      </c>
      <c r="AX35" s="14" t="s">
        <v>73</v>
      </c>
      <c r="AY35" s="14" t="s">
        <v>74</v>
      </c>
    </row>
    <row r="36" spans="1:51" ht="15" customHeight="1" x14ac:dyDescent="0.4">
      <c r="A36" s="12">
        <v>1968</v>
      </c>
      <c r="B36" t="s">
        <v>441</v>
      </c>
      <c r="D36" t="s">
        <v>442</v>
      </c>
      <c r="E36" s="13"/>
      <c r="F36" s="41"/>
      <c r="G36" s="41"/>
      <c r="H36" s="41"/>
      <c r="I36" s="14" t="s">
        <v>49</v>
      </c>
      <c r="J36" s="15">
        <v>42923</v>
      </c>
      <c r="K36" t="s">
        <v>174</v>
      </c>
      <c r="L36" t="s">
        <v>51</v>
      </c>
      <c r="M36" t="s">
        <v>52</v>
      </c>
      <c r="N36" t="s">
        <v>247</v>
      </c>
      <c r="O36" t="s">
        <v>248</v>
      </c>
      <c r="R36" s="16" t="s">
        <v>357</v>
      </c>
      <c r="S36" s="16"/>
      <c r="T36" t="s">
        <v>358</v>
      </c>
      <c r="Y36" t="s">
        <v>60</v>
      </c>
      <c r="AA36" s="15"/>
      <c r="AC36" s="17">
        <v>49.760060000000003</v>
      </c>
      <c r="AD36" s="17">
        <v>-99.158259999999999</v>
      </c>
      <c r="AE36" t="s">
        <v>443</v>
      </c>
      <c r="AH36" t="s">
        <v>62</v>
      </c>
      <c r="AI36" t="s">
        <v>63</v>
      </c>
      <c r="AJ36" t="s">
        <v>444</v>
      </c>
      <c r="AK36">
        <v>184810</v>
      </c>
      <c r="AM36" t="s">
        <v>445</v>
      </c>
      <c r="AN36" t="s">
        <v>446</v>
      </c>
      <c r="AO36" t="s">
        <v>447</v>
      </c>
      <c r="AP36" t="s">
        <v>68</v>
      </c>
      <c r="AR36" t="s">
        <v>448</v>
      </c>
      <c r="AS36" t="s">
        <v>449</v>
      </c>
      <c r="AT36" t="s">
        <v>450</v>
      </c>
      <c r="AW36" s="14" t="s">
        <v>72</v>
      </c>
      <c r="AX36" s="14" t="s">
        <v>73</v>
      </c>
      <c r="AY36" s="14" t="s">
        <v>74</v>
      </c>
    </row>
    <row r="37" spans="1:51" ht="15" customHeight="1" x14ac:dyDescent="0.4">
      <c r="A37" s="12">
        <v>1969</v>
      </c>
      <c r="B37" t="s">
        <v>451</v>
      </c>
      <c r="D37" t="s">
        <v>452</v>
      </c>
      <c r="E37" s="13"/>
      <c r="F37" s="41"/>
      <c r="G37" s="41"/>
      <c r="H37" s="41"/>
      <c r="I37" s="14" t="s">
        <v>49</v>
      </c>
      <c r="J37" s="15">
        <v>42923</v>
      </c>
      <c r="K37" t="s">
        <v>174</v>
      </c>
      <c r="L37" t="s">
        <v>51</v>
      </c>
      <c r="M37" t="s">
        <v>52</v>
      </c>
      <c r="N37" t="s">
        <v>247</v>
      </c>
      <c r="O37" t="s">
        <v>248</v>
      </c>
      <c r="R37" s="16" t="s">
        <v>357</v>
      </c>
      <c r="S37" s="16"/>
      <c r="T37" t="s">
        <v>358</v>
      </c>
      <c r="Y37" t="s">
        <v>78</v>
      </c>
      <c r="Z37" t="s">
        <v>79</v>
      </c>
      <c r="AA37" s="15">
        <v>45597</v>
      </c>
      <c r="AB37" t="s">
        <v>48</v>
      </c>
      <c r="AC37" s="17">
        <v>49.760550000000002</v>
      </c>
      <c r="AD37" s="17">
        <v>-99.158439999999999</v>
      </c>
      <c r="AE37" t="s">
        <v>453</v>
      </c>
      <c r="AH37" t="s">
        <v>62</v>
      </c>
      <c r="AI37" t="s">
        <v>63</v>
      </c>
      <c r="AJ37" t="s">
        <v>454</v>
      </c>
      <c r="AK37">
        <v>184811</v>
      </c>
      <c r="AM37" t="s">
        <v>455</v>
      </c>
      <c r="AN37" t="s">
        <v>456</v>
      </c>
      <c r="AO37" t="s">
        <v>457</v>
      </c>
      <c r="AP37" t="s">
        <v>68</v>
      </c>
      <c r="AR37" t="s">
        <v>458</v>
      </c>
      <c r="AS37" t="s">
        <v>459</v>
      </c>
      <c r="AT37" t="s">
        <v>460</v>
      </c>
      <c r="AU37" s="31" t="s">
        <v>461</v>
      </c>
      <c r="AV37" s="31" t="s">
        <v>85</v>
      </c>
      <c r="AW37" s="14" t="s">
        <v>72</v>
      </c>
      <c r="AX37" s="14" t="s">
        <v>73</v>
      </c>
      <c r="AY37" s="14" t="s">
        <v>74</v>
      </c>
    </row>
    <row r="38" spans="1:51" ht="15" customHeight="1" x14ac:dyDescent="0.4">
      <c r="A38" s="12">
        <v>1970</v>
      </c>
      <c r="B38" t="s">
        <v>462</v>
      </c>
      <c r="D38" t="s">
        <v>463</v>
      </c>
      <c r="E38" s="13"/>
      <c r="F38" s="41"/>
      <c r="G38" s="41"/>
      <c r="H38" s="41"/>
      <c r="I38" s="14" t="s">
        <v>49</v>
      </c>
      <c r="J38" s="15">
        <v>42923</v>
      </c>
      <c r="K38" t="s">
        <v>174</v>
      </c>
      <c r="L38" t="s">
        <v>51</v>
      </c>
      <c r="M38" t="s">
        <v>52</v>
      </c>
      <c r="N38" t="s">
        <v>247</v>
      </c>
      <c r="O38" t="s">
        <v>248</v>
      </c>
      <c r="R38" s="16" t="s">
        <v>464</v>
      </c>
      <c r="S38" s="16" t="s">
        <v>465</v>
      </c>
      <c r="T38" t="s">
        <v>466</v>
      </c>
      <c r="Y38" t="s">
        <v>60</v>
      </c>
      <c r="AA38" s="15"/>
      <c r="AC38" s="17"/>
      <c r="AD38" s="17"/>
      <c r="AE38">
        <v>1255</v>
      </c>
      <c r="AG38" t="s">
        <v>467</v>
      </c>
      <c r="AH38" t="s">
        <v>62</v>
      </c>
      <c r="AI38" t="s">
        <v>63</v>
      </c>
      <c r="AJ38" t="s">
        <v>468</v>
      </c>
      <c r="AK38">
        <v>184812</v>
      </c>
      <c r="AM38" t="s">
        <v>469</v>
      </c>
      <c r="AN38" t="s">
        <v>470</v>
      </c>
      <c r="AO38" t="s">
        <v>471</v>
      </c>
      <c r="AP38" t="s">
        <v>68</v>
      </c>
      <c r="AR38" t="s">
        <v>472</v>
      </c>
      <c r="AS38" t="s">
        <v>473</v>
      </c>
      <c r="AT38" t="s">
        <v>474</v>
      </c>
      <c r="AW38" s="14" t="s">
        <v>72</v>
      </c>
      <c r="AX38" s="14" t="s">
        <v>73</v>
      </c>
      <c r="AY38" s="14" t="s">
        <v>74</v>
      </c>
    </row>
    <row r="39" spans="1:51" ht="15" customHeight="1" x14ac:dyDescent="0.4">
      <c r="A39" s="12">
        <v>1971</v>
      </c>
      <c r="B39" t="s">
        <v>475</v>
      </c>
      <c r="D39" t="s">
        <v>476</v>
      </c>
      <c r="E39" s="13"/>
      <c r="F39" s="41"/>
      <c r="G39" s="41"/>
      <c r="H39" s="41"/>
      <c r="I39" s="14" t="s">
        <v>49</v>
      </c>
      <c r="J39" s="15">
        <v>42923</v>
      </c>
      <c r="K39" t="s">
        <v>174</v>
      </c>
      <c r="L39" t="s">
        <v>51</v>
      </c>
      <c r="M39" t="s">
        <v>52</v>
      </c>
      <c r="N39" t="s">
        <v>247</v>
      </c>
      <c r="O39" t="s">
        <v>248</v>
      </c>
      <c r="R39" s="16" t="s">
        <v>464</v>
      </c>
      <c r="S39" s="16" t="s">
        <v>477</v>
      </c>
      <c r="T39" t="s">
        <v>466</v>
      </c>
      <c r="Y39" t="s">
        <v>78</v>
      </c>
      <c r="Z39" t="s">
        <v>79</v>
      </c>
      <c r="AA39" s="15">
        <v>45597</v>
      </c>
      <c r="AB39" t="s">
        <v>48</v>
      </c>
      <c r="AC39" s="17">
        <v>49.85783</v>
      </c>
      <c r="AD39" s="17">
        <v>-97.249110000000002</v>
      </c>
      <c r="AE39" t="s">
        <v>478</v>
      </c>
      <c r="AH39" t="s">
        <v>62</v>
      </c>
      <c r="AI39" t="s">
        <v>63</v>
      </c>
      <c r="AJ39" t="s">
        <v>479</v>
      </c>
      <c r="AK39">
        <v>184813</v>
      </c>
      <c r="AM39" t="s">
        <v>480</v>
      </c>
      <c r="AN39" t="s">
        <v>481</v>
      </c>
      <c r="AO39" t="s">
        <v>482</v>
      </c>
      <c r="AP39" t="s">
        <v>68</v>
      </c>
      <c r="AR39" t="s">
        <v>483</v>
      </c>
      <c r="AS39" t="s">
        <v>484</v>
      </c>
      <c r="AT39" t="s">
        <v>485</v>
      </c>
      <c r="AU39" s="31" t="s">
        <v>486</v>
      </c>
      <c r="AV39" s="31" t="s">
        <v>85</v>
      </c>
      <c r="AW39" s="14" t="s">
        <v>72</v>
      </c>
      <c r="AX39" s="14" t="s">
        <v>73</v>
      </c>
      <c r="AY39" s="14" t="s">
        <v>74</v>
      </c>
    </row>
    <row r="40" spans="1:51" ht="15" customHeight="1" x14ac:dyDescent="0.4">
      <c r="A40" s="12">
        <v>1972</v>
      </c>
      <c r="B40" t="s">
        <v>487</v>
      </c>
      <c r="D40" t="s">
        <v>488</v>
      </c>
      <c r="E40" s="13"/>
      <c r="F40" s="41"/>
      <c r="G40" s="41"/>
      <c r="H40" s="41"/>
      <c r="I40" s="14" t="s">
        <v>49</v>
      </c>
      <c r="J40" s="15">
        <v>42923</v>
      </c>
      <c r="K40" t="s">
        <v>174</v>
      </c>
      <c r="L40" t="s">
        <v>51</v>
      </c>
      <c r="M40" t="s">
        <v>52</v>
      </c>
      <c r="N40" t="s">
        <v>247</v>
      </c>
      <c r="O40" t="s">
        <v>248</v>
      </c>
      <c r="R40" s="16" t="s">
        <v>464</v>
      </c>
      <c r="S40" s="16" t="s">
        <v>489</v>
      </c>
      <c r="T40" t="s">
        <v>490</v>
      </c>
      <c r="Y40" t="s">
        <v>60</v>
      </c>
      <c r="AA40" s="15"/>
      <c r="AC40" s="17">
        <v>49.857779999999998</v>
      </c>
      <c r="AD40" s="17">
        <v>-97.248480000000001</v>
      </c>
      <c r="AE40" t="s">
        <v>491</v>
      </c>
      <c r="AH40" t="s">
        <v>62</v>
      </c>
      <c r="AI40" t="s">
        <v>63</v>
      </c>
      <c r="AJ40" t="s">
        <v>492</v>
      </c>
      <c r="AK40">
        <v>184814</v>
      </c>
      <c r="AM40" t="s">
        <v>493</v>
      </c>
      <c r="AN40" t="s">
        <v>494</v>
      </c>
      <c r="AO40" t="s">
        <v>495</v>
      </c>
      <c r="AP40" t="s">
        <v>68</v>
      </c>
      <c r="AR40" t="s">
        <v>496</v>
      </c>
      <c r="AS40" t="s">
        <v>497</v>
      </c>
      <c r="AT40" t="s">
        <v>498</v>
      </c>
      <c r="AW40" s="14" t="s">
        <v>72</v>
      </c>
      <c r="AX40" s="14" t="s">
        <v>73</v>
      </c>
      <c r="AY40" s="14" t="s">
        <v>74</v>
      </c>
    </row>
    <row r="41" spans="1:51" ht="15" customHeight="1" x14ac:dyDescent="0.4">
      <c r="A41" s="12">
        <v>1973</v>
      </c>
      <c r="B41" t="s">
        <v>499</v>
      </c>
      <c r="D41" t="s">
        <v>500</v>
      </c>
      <c r="E41" s="13"/>
      <c r="F41" s="41"/>
      <c r="G41" s="41"/>
      <c r="H41" s="41"/>
      <c r="I41" s="14" t="s">
        <v>49</v>
      </c>
      <c r="J41" s="15">
        <v>42923</v>
      </c>
      <c r="K41" t="s">
        <v>174</v>
      </c>
      <c r="L41" t="s">
        <v>51</v>
      </c>
      <c r="M41" t="s">
        <v>52</v>
      </c>
      <c r="N41" t="s">
        <v>247</v>
      </c>
      <c r="O41" t="s">
        <v>248</v>
      </c>
      <c r="R41" s="16" t="s">
        <v>464</v>
      </c>
      <c r="S41" s="21"/>
      <c r="T41" t="s">
        <v>466</v>
      </c>
      <c r="Y41" t="s">
        <v>60</v>
      </c>
      <c r="AA41" s="15"/>
      <c r="AC41" s="17">
        <v>49.854230000000001</v>
      </c>
      <c r="AD41" s="17">
        <v>-97.248199999999997</v>
      </c>
      <c r="AE41" t="s">
        <v>501</v>
      </c>
      <c r="AH41" t="s">
        <v>62</v>
      </c>
      <c r="AI41" t="s">
        <v>63</v>
      </c>
      <c r="AJ41" t="s">
        <v>502</v>
      </c>
      <c r="AK41">
        <v>184804</v>
      </c>
      <c r="AM41" t="s">
        <v>503</v>
      </c>
      <c r="AN41" t="s">
        <v>504</v>
      </c>
      <c r="AO41" t="s">
        <v>505</v>
      </c>
      <c r="AP41" t="s">
        <v>68</v>
      </c>
      <c r="AR41" t="s">
        <v>506</v>
      </c>
      <c r="AS41" t="s">
        <v>507</v>
      </c>
      <c r="AT41" t="s">
        <v>508</v>
      </c>
      <c r="AW41" s="14" t="s">
        <v>72</v>
      </c>
      <c r="AX41" s="14" t="s">
        <v>73</v>
      </c>
      <c r="AY41" s="14" t="s">
        <v>74</v>
      </c>
    </row>
    <row r="42" spans="1:51" ht="15" customHeight="1" x14ac:dyDescent="0.4">
      <c r="A42" s="12">
        <v>1974</v>
      </c>
      <c r="B42" t="s">
        <v>509</v>
      </c>
      <c r="D42" t="s">
        <v>510</v>
      </c>
      <c r="E42" s="13"/>
      <c r="F42" s="41"/>
      <c r="G42" s="41"/>
      <c r="H42" s="41"/>
      <c r="I42" s="14" t="s">
        <v>49</v>
      </c>
      <c r="J42" s="15">
        <v>42923</v>
      </c>
      <c r="K42" t="s">
        <v>174</v>
      </c>
      <c r="L42" t="s">
        <v>51</v>
      </c>
      <c r="M42" t="s">
        <v>52</v>
      </c>
      <c r="N42" t="s">
        <v>247</v>
      </c>
      <c r="O42" t="s">
        <v>248</v>
      </c>
      <c r="R42" s="16" t="s">
        <v>464</v>
      </c>
      <c r="S42" s="21"/>
      <c r="T42" t="s">
        <v>466</v>
      </c>
      <c r="Y42" t="s">
        <v>78</v>
      </c>
      <c r="Z42" t="s">
        <v>79</v>
      </c>
      <c r="AA42" s="15">
        <v>45597</v>
      </c>
      <c r="AB42" t="s">
        <v>48</v>
      </c>
      <c r="AC42" s="17">
        <v>49.853920000000002</v>
      </c>
      <c r="AD42" s="17">
        <v>-97.248279999999994</v>
      </c>
      <c r="AE42" t="s">
        <v>511</v>
      </c>
      <c r="AH42" t="s">
        <v>62</v>
      </c>
      <c r="AI42" t="s">
        <v>63</v>
      </c>
      <c r="AJ42" t="s">
        <v>512</v>
      </c>
      <c r="AK42">
        <v>184805</v>
      </c>
      <c r="AM42" t="s">
        <v>513</v>
      </c>
      <c r="AN42" t="s">
        <v>514</v>
      </c>
      <c r="AO42" t="s">
        <v>515</v>
      </c>
      <c r="AP42" t="s">
        <v>68</v>
      </c>
      <c r="AR42" t="s">
        <v>516</v>
      </c>
      <c r="AS42" t="s">
        <v>517</v>
      </c>
      <c r="AT42" t="s">
        <v>518</v>
      </c>
      <c r="AU42" s="31" t="s">
        <v>519</v>
      </c>
      <c r="AV42" s="31" t="s">
        <v>85</v>
      </c>
      <c r="AW42" s="14" t="s">
        <v>72</v>
      </c>
      <c r="AX42" s="14" t="s">
        <v>73</v>
      </c>
      <c r="AY42" s="14" t="s">
        <v>74</v>
      </c>
    </row>
    <row r="43" spans="1:51" ht="15" customHeight="1" x14ac:dyDescent="0.4">
      <c r="A43" s="12">
        <v>1975</v>
      </c>
      <c r="B43" t="s">
        <v>520</v>
      </c>
      <c r="D43" t="s">
        <v>521</v>
      </c>
      <c r="E43" s="13"/>
      <c r="F43" s="41"/>
      <c r="G43" s="41"/>
      <c r="H43" s="41"/>
      <c r="I43" s="14" t="s">
        <v>49</v>
      </c>
      <c r="J43" s="15">
        <v>42923</v>
      </c>
      <c r="K43" t="s">
        <v>174</v>
      </c>
      <c r="L43" t="s">
        <v>51</v>
      </c>
      <c r="M43" t="s">
        <v>52</v>
      </c>
      <c r="N43" t="s">
        <v>247</v>
      </c>
      <c r="O43" t="s">
        <v>248</v>
      </c>
      <c r="R43" s="16" t="s">
        <v>464</v>
      </c>
      <c r="S43" s="16" t="s">
        <v>477</v>
      </c>
      <c r="T43" t="s">
        <v>466</v>
      </c>
      <c r="Y43" t="s">
        <v>60</v>
      </c>
      <c r="AA43" s="15"/>
      <c r="AC43" s="17">
        <v>49.853990000000003</v>
      </c>
      <c r="AD43" s="17">
        <v>-97.247439999999997</v>
      </c>
      <c r="AE43" t="s">
        <v>522</v>
      </c>
      <c r="AH43" t="s">
        <v>62</v>
      </c>
      <c r="AI43" t="s">
        <v>63</v>
      </c>
      <c r="AJ43" t="s">
        <v>523</v>
      </c>
      <c r="AK43">
        <v>184806</v>
      </c>
      <c r="AM43" t="s">
        <v>524</v>
      </c>
      <c r="AN43" t="s">
        <v>525</v>
      </c>
      <c r="AO43" t="s">
        <v>526</v>
      </c>
      <c r="AP43" t="s">
        <v>68</v>
      </c>
      <c r="AR43" t="s">
        <v>527</v>
      </c>
      <c r="AS43" t="s">
        <v>528</v>
      </c>
      <c r="AT43" t="s">
        <v>529</v>
      </c>
      <c r="AW43" s="14" t="s">
        <v>72</v>
      </c>
      <c r="AX43" s="14" t="s">
        <v>73</v>
      </c>
      <c r="AY43" s="14" t="s">
        <v>74</v>
      </c>
    </row>
    <row r="44" spans="1:51" ht="15" customHeight="1" x14ac:dyDescent="0.4">
      <c r="A44" s="12">
        <v>1976</v>
      </c>
      <c r="B44" t="s">
        <v>530</v>
      </c>
      <c r="D44" t="s">
        <v>531</v>
      </c>
      <c r="E44" s="13"/>
      <c r="F44" s="41"/>
      <c r="G44" s="41"/>
      <c r="H44" s="41"/>
      <c r="I44" s="14" t="s">
        <v>49</v>
      </c>
      <c r="J44" s="15">
        <v>42923</v>
      </c>
      <c r="K44" t="s">
        <v>174</v>
      </c>
      <c r="L44" t="s">
        <v>51</v>
      </c>
      <c r="M44" t="s">
        <v>52</v>
      </c>
      <c r="N44" t="s">
        <v>247</v>
      </c>
      <c r="O44" t="s">
        <v>248</v>
      </c>
      <c r="R44" s="16" t="s">
        <v>464</v>
      </c>
      <c r="S44" s="16" t="s">
        <v>477</v>
      </c>
      <c r="T44" t="s">
        <v>466</v>
      </c>
      <c r="Y44" t="s">
        <v>60</v>
      </c>
      <c r="AA44" s="15"/>
      <c r="AC44" s="17">
        <v>49.854170000000003</v>
      </c>
      <c r="AD44" s="17">
        <v>-97.246889999999993</v>
      </c>
      <c r="AE44" t="s">
        <v>532</v>
      </c>
      <c r="AH44" t="s">
        <v>62</v>
      </c>
      <c r="AI44" t="s">
        <v>63</v>
      </c>
      <c r="AJ44" t="s">
        <v>533</v>
      </c>
      <c r="AK44">
        <v>184815</v>
      </c>
      <c r="AM44" t="s">
        <v>534</v>
      </c>
      <c r="AN44" t="s">
        <v>535</v>
      </c>
      <c r="AO44" t="s">
        <v>536</v>
      </c>
      <c r="AP44" t="s">
        <v>68</v>
      </c>
      <c r="AR44" t="s">
        <v>537</v>
      </c>
      <c r="AS44" t="s">
        <v>538</v>
      </c>
      <c r="AT44" t="s">
        <v>539</v>
      </c>
      <c r="AW44" s="14" t="s">
        <v>72</v>
      </c>
      <c r="AX44" s="14" t="s">
        <v>73</v>
      </c>
      <c r="AY44" s="14" t="s">
        <v>74</v>
      </c>
    </row>
    <row r="45" spans="1:51" ht="15" customHeight="1" x14ac:dyDescent="0.4">
      <c r="A45" s="12">
        <v>1977</v>
      </c>
      <c r="B45" t="s">
        <v>540</v>
      </c>
      <c r="D45" t="s">
        <v>541</v>
      </c>
      <c r="E45" s="13"/>
      <c r="F45" s="41"/>
      <c r="G45" s="41"/>
      <c r="H45" s="41"/>
      <c r="I45" s="14" t="s">
        <v>49</v>
      </c>
      <c r="J45" s="15">
        <v>42923</v>
      </c>
      <c r="K45" t="s">
        <v>174</v>
      </c>
      <c r="L45" t="s">
        <v>51</v>
      </c>
      <c r="M45" t="s">
        <v>52</v>
      </c>
      <c r="N45" t="s">
        <v>247</v>
      </c>
      <c r="O45" t="s">
        <v>248</v>
      </c>
      <c r="R45" s="16" t="s">
        <v>464</v>
      </c>
      <c r="S45" s="16" t="s">
        <v>477</v>
      </c>
      <c r="T45" t="s">
        <v>466</v>
      </c>
      <c r="Y45" t="s">
        <v>60</v>
      </c>
      <c r="AA45" s="15"/>
      <c r="AC45" s="17">
        <v>49.854210000000002</v>
      </c>
      <c r="AD45" s="17">
        <v>-97.246210000000005</v>
      </c>
      <c r="AE45" t="s">
        <v>542</v>
      </c>
      <c r="AH45" t="s">
        <v>62</v>
      </c>
      <c r="AI45" t="s">
        <v>63</v>
      </c>
      <c r="AJ45" t="s">
        <v>543</v>
      </c>
      <c r="AK45">
        <v>184807</v>
      </c>
      <c r="AM45" t="s">
        <v>544</v>
      </c>
      <c r="AN45" t="s">
        <v>545</v>
      </c>
      <c r="AO45" t="s">
        <v>546</v>
      </c>
      <c r="AP45" t="s">
        <v>68</v>
      </c>
      <c r="AR45" t="s">
        <v>547</v>
      </c>
      <c r="AS45" t="s">
        <v>548</v>
      </c>
      <c r="AT45" t="s">
        <v>549</v>
      </c>
      <c r="AW45" s="14" t="s">
        <v>72</v>
      </c>
      <c r="AX45" s="14" t="s">
        <v>73</v>
      </c>
      <c r="AY45" s="14" t="s">
        <v>74</v>
      </c>
    </row>
    <row r="46" spans="1:51" ht="15" customHeight="1" x14ac:dyDescent="0.4">
      <c r="A46" s="12">
        <v>1978</v>
      </c>
      <c r="B46" t="s">
        <v>550</v>
      </c>
      <c r="D46" t="s">
        <v>551</v>
      </c>
      <c r="E46" s="13"/>
      <c r="F46" s="41"/>
      <c r="G46" s="41"/>
      <c r="H46" s="41"/>
      <c r="I46" s="14" t="s">
        <v>49</v>
      </c>
      <c r="J46" s="15">
        <v>42923</v>
      </c>
      <c r="K46" t="s">
        <v>174</v>
      </c>
      <c r="L46" t="s">
        <v>51</v>
      </c>
      <c r="M46" t="s">
        <v>52</v>
      </c>
      <c r="N46" t="s">
        <v>247</v>
      </c>
      <c r="O46" t="s">
        <v>248</v>
      </c>
      <c r="R46" s="16" t="s">
        <v>464</v>
      </c>
      <c r="S46" s="16" t="s">
        <v>477</v>
      </c>
      <c r="T46" t="s">
        <v>466</v>
      </c>
      <c r="Y46" t="s">
        <v>60</v>
      </c>
      <c r="AA46" s="15"/>
      <c r="AC46" s="17">
        <v>49.853740000000002</v>
      </c>
      <c r="AD46" s="17">
        <v>-97.247389999999996</v>
      </c>
      <c r="AE46" t="s">
        <v>552</v>
      </c>
      <c r="AH46" t="s">
        <v>62</v>
      </c>
      <c r="AI46" t="s">
        <v>63</v>
      </c>
      <c r="AJ46" t="s">
        <v>553</v>
      </c>
      <c r="AK46">
        <v>184808</v>
      </c>
      <c r="AM46" t="s">
        <v>554</v>
      </c>
      <c r="AN46" t="s">
        <v>555</v>
      </c>
      <c r="AO46" t="s">
        <v>556</v>
      </c>
      <c r="AP46" t="s">
        <v>68</v>
      </c>
      <c r="AR46" t="s">
        <v>557</v>
      </c>
      <c r="AS46" t="s">
        <v>558</v>
      </c>
      <c r="AT46" t="s">
        <v>559</v>
      </c>
      <c r="AW46" s="14" t="s">
        <v>72</v>
      </c>
      <c r="AX46" s="14" t="s">
        <v>73</v>
      </c>
      <c r="AY46" s="14" t="s">
        <v>74</v>
      </c>
    </row>
    <row r="47" spans="1:51" ht="15" customHeight="1" x14ac:dyDescent="0.4">
      <c r="A47" s="12">
        <v>1979</v>
      </c>
      <c r="B47" t="s">
        <v>560</v>
      </c>
      <c r="D47" t="s">
        <v>561</v>
      </c>
      <c r="E47" s="13"/>
      <c r="F47" s="41"/>
      <c r="G47" s="41"/>
      <c r="H47" s="41"/>
      <c r="I47" s="14" t="s">
        <v>49</v>
      </c>
      <c r="J47" s="15">
        <v>42923</v>
      </c>
      <c r="K47" t="s">
        <v>174</v>
      </c>
      <c r="L47" t="s">
        <v>51</v>
      </c>
      <c r="M47" t="s">
        <v>52</v>
      </c>
      <c r="N47" t="s">
        <v>247</v>
      </c>
      <c r="O47" t="s">
        <v>248</v>
      </c>
      <c r="R47" s="16" t="s">
        <v>464</v>
      </c>
      <c r="S47" s="16" t="s">
        <v>477</v>
      </c>
      <c r="T47" t="s">
        <v>466</v>
      </c>
      <c r="Y47" t="s">
        <v>78</v>
      </c>
      <c r="Z47" t="s">
        <v>562</v>
      </c>
      <c r="AA47" s="15">
        <v>45597</v>
      </c>
      <c r="AB47" t="s">
        <v>48</v>
      </c>
      <c r="AC47" s="17">
        <v>49.853439999999999</v>
      </c>
      <c r="AD47" s="17">
        <v>-97.246610000000004</v>
      </c>
      <c r="AE47" t="s">
        <v>563</v>
      </c>
      <c r="AH47" t="s">
        <v>62</v>
      </c>
      <c r="AI47" t="s">
        <v>63</v>
      </c>
      <c r="AJ47" t="s">
        <v>564</v>
      </c>
      <c r="AK47">
        <v>184809</v>
      </c>
      <c r="AM47" t="s">
        <v>565</v>
      </c>
      <c r="AN47" t="s">
        <v>566</v>
      </c>
      <c r="AO47" t="s">
        <v>567</v>
      </c>
      <c r="AP47" t="s">
        <v>68</v>
      </c>
      <c r="AR47" t="s">
        <v>568</v>
      </c>
      <c r="AS47" t="s">
        <v>569</v>
      </c>
      <c r="AT47" t="s">
        <v>570</v>
      </c>
      <c r="AU47" s="31" t="s">
        <v>571</v>
      </c>
      <c r="AV47" s="31" t="s">
        <v>85</v>
      </c>
      <c r="AW47" s="14" t="s">
        <v>72</v>
      </c>
      <c r="AX47" s="14" t="s">
        <v>73</v>
      </c>
      <c r="AY47" s="14" t="s">
        <v>74</v>
      </c>
    </row>
    <row r="48" spans="1:51" ht="15" customHeight="1" x14ac:dyDescent="0.4">
      <c r="A48" s="12">
        <v>1980</v>
      </c>
      <c r="B48" t="s">
        <v>572</v>
      </c>
      <c r="D48" t="s">
        <v>573</v>
      </c>
      <c r="E48" s="13"/>
      <c r="F48" s="41"/>
      <c r="G48" s="41"/>
      <c r="H48" s="41"/>
      <c r="I48" s="14" t="s">
        <v>49</v>
      </c>
      <c r="J48" s="15">
        <v>42925</v>
      </c>
      <c r="K48" t="s">
        <v>174</v>
      </c>
      <c r="L48" t="s">
        <v>51</v>
      </c>
      <c r="M48" t="s">
        <v>52</v>
      </c>
      <c r="N48" t="s">
        <v>53</v>
      </c>
      <c r="O48" t="s">
        <v>574</v>
      </c>
      <c r="P48" t="s">
        <v>575</v>
      </c>
      <c r="Q48" t="s">
        <v>56</v>
      </c>
      <c r="R48" t="s">
        <v>576</v>
      </c>
      <c r="S48" s="16" t="s">
        <v>577</v>
      </c>
      <c r="T48" t="s">
        <v>578</v>
      </c>
      <c r="Y48" t="s">
        <v>78</v>
      </c>
      <c r="Z48" t="s">
        <v>79</v>
      </c>
      <c r="AA48" s="15">
        <v>45597</v>
      </c>
      <c r="AB48" t="s">
        <v>48</v>
      </c>
      <c r="AC48" s="17">
        <v>46.023829999999997</v>
      </c>
      <c r="AD48" s="17">
        <v>-91.145570000000006</v>
      </c>
      <c r="AE48" t="s">
        <v>579</v>
      </c>
      <c r="AH48" t="s">
        <v>62</v>
      </c>
      <c r="AI48" t="s">
        <v>63</v>
      </c>
      <c r="AJ48" t="s">
        <v>580</v>
      </c>
      <c r="AK48">
        <v>184816</v>
      </c>
      <c r="AM48" t="s">
        <v>581</v>
      </c>
      <c r="AN48" t="s">
        <v>582</v>
      </c>
      <c r="AO48" t="s">
        <v>583</v>
      </c>
      <c r="AP48" t="s">
        <v>68</v>
      </c>
      <c r="AR48" t="s">
        <v>584</v>
      </c>
      <c r="AS48" t="s">
        <v>585</v>
      </c>
      <c r="AT48" t="s">
        <v>586</v>
      </c>
      <c r="AU48" s="31" t="s">
        <v>587</v>
      </c>
      <c r="AV48" s="31" t="s">
        <v>85</v>
      </c>
      <c r="AW48" s="14" t="s">
        <v>72</v>
      </c>
      <c r="AX48" s="14" t="s">
        <v>73</v>
      </c>
      <c r="AY48" s="14" t="s">
        <v>74</v>
      </c>
    </row>
    <row r="49" spans="1:51" ht="15" customHeight="1" x14ac:dyDescent="0.4">
      <c r="A49" s="12">
        <v>1981</v>
      </c>
      <c r="B49" t="s">
        <v>588</v>
      </c>
      <c r="D49" t="s">
        <v>589</v>
      </c>
      <c r="E49" s="13"/>
      <c r="F49" s="41"/>
      <c r="G49" s="41"/>
      <c r="H49" s="41"/>
      <c r="I49" s="14" t="s">
        <v>49</v>
      </c>
      <c r="J49" s="15">
        <v>42925</v>
      </c>
      <c r="K49" t="s">
        <v>174</v>
      </c>
      <c r="L49" t="s">
        <v>51</v>
      </c>
      <c r="M49" t="s">
        <v>52</v>
      </c>
      <c r="N49" t="s">
        <v>53</v>
      </c>
      <c r="O49" t="s">
        <v>574</v>
      </c>
      <c r="P49" t="s">
        <v>575</v>
      </c>
      <c r="Q49" t="s">
        <v>56</v>
      </c>
      <c r="R49" t="s">
        <v>576</v>
      </c>
      <c r="S49" s="16" t="s">
        <v>577</v>
      </c>
      <c r="T49" t="s">
        <v>590</v>
      </c>
      <c r="U49" t="s">
        <v>591</v>
      </c>
      <c r="Y49" t="s">
        <v>60</v>
      </c>
      <c r="AA49" s="15"/>
      <c r="AC49" s="17">
        <v>46.021949999999997</v>
      </c>
      <c r="AD49" s="17">
        <v>-91.145589999999999</v>
      </c>
      <c r="AE49" t="s">
        <v>592</v>
      </c>
      <c r="AH49" t="s">
        <v>62</v>
      </c>
      <c r="AI49" t="s">
        <v>63</v>
      </c>
      <c r="AJ49" t="s">
        <v>593</v>
      </c>
      <c r="AK49">
        <v>184817</v>
      </c>
      <c r="AM49" t="s">
        <v>594</v>
      </c>
      <c r="AN49" t="s">
        <v>595</v>
      </c>
      <c r="AO49" t="s">
        <v>596</v>
      </c>
      <c r="AP49" t="s">
        <v>68</v>
      </c>
      <c r="AR49" t="s">
        <v>597</v>
      </c>
      <c r="AS49" t="s">
        <v>598</v>
      </c>
      <c r="AT49" t="s">
        <v>599</v>
      </c>
      <c r="AW49" s="14" t="s">
        <v>72</v>
      </c>
      <c r="AX49" s="14" t="s">
        <v>73</v>
      </c>
      <c r="AY49" s="14" t="s">
        <v>74</v>
      </c>
    </row>
    <row r="50" spans="1:51" ht="15" customHeight="1" x14ac:dyDescent="0.4">
      <c r="A50" s="12">
        <v>1982</v>
      </c>
      <c r="B50" t="s">
        <v>600</v>
      </c>
      <c r="D50" t="s">
        <v>601</v>
      </c>
      <c r="E50" s="13"/>
      <c r="F50" s="41"/>
      <c r="G50" s="41"/>
      <c r="H50" s="41"/>
      <c r="I50" s="14" t="s">
        <v>49</v>
      </c>
      <c r="J50" s="15">
        <v>42925</v>
      </c>
      <c r="K50" t="s">
        <v>174</v>
      </c>
      <c r="L50" t="s">
        <v>51</v>
      </c>
      <c r="M50" t="s">
        <v>52</v>
      </c>
      <c r="N50" t="s">
        <v>53</v>
      </c>
      <c r="O50" t="s">
        <v>574</v>
      </c>
      <c r="P50" t="s">
        <v>575</v>
      </c>
      <c r="Q50" t="s">
        <v>56</v>
      </c>
      <c r="R50" t="s">
        <v>576</v>
      </c>
      <c r="S50" s="16" t="s">
        <v>577</v>
      </c>
      <c r="T50" t="s">
        <v>602</v>
      </c>
      <c r="U50" t="s">
        <v>603</v>
      </c>
      <c r="Y50" t="s">
        <v>78</v>
      </c>
      <c r="Z50" t="s">
        <v>79</v>
      </c>
      <c r="AA50" s="15">
        <v>45597</v>
      </c>
      <c r="AB50" t="s">
        <v>48</v>
      </c>
      <c r="AC50" s="17">
        <v>46.0259</v>
      </c>
      <c r="AD50" s="17">
        <v>-91.142880000000005</v>
      </c>
      <c r="AE50" t="s">
        <v>604</v>
      </c>
      <c r="AH50" t="s">
        <v>62</v>
      </c>
      <c r="AI50" t="s">
        <v>63</v>
      </c>
      <c r="AJ50" t="s">
        <v>605</v>
      </c>
      <c r="AK50">
        <v>184818</v>
      </c>
      <c r="AM50" t="s">
        <v>606</v>
      </c>
      <c r="AN50" t="s">
        <v>607</v>
      </c>
      <c r="AO50" t="s">
        <v>608</v>
      </c>
      <c r="AP50" t="s">
        <v>68</v>
      </c>
      <c r="AR50" t="s">
        <v>609</v>
      </c>
      <c r="AS50" t="s">
        <v>610</v>
      </c>
      <c r="AT50" t="s">
        <v>611</v>
      </c>
      <c r="AU50" s="31" t="s">
        <v>612</v>
      </c>
      <c r="AV50" s="31" t="s">
        <v>85</v>
      </c>
      <c r="AW50" s="14" t="s">
        <v>72</v>
      </c>
      <c r="AX50" s="14" t="s">
        <v>73</v>
      </c>
      <c r="AY50" s="14" t="s">
        <v>74</v>
      </c>
    </row>
    <row r="51" spans="1:51" ht="15" customHeight="1" x14ac:dyDescent="0.4">
      <c r="A51" s="12">
        <v>1983</v>
      </c>
      <c r="B51" t="s">
        <v>613</v>
      </c>
      <c r="D51" t="s">
        <v>614</v>
      </c>
      <c r="E51" s="13"/>
      <c r="F51" s="41"/>
      <c r="G51" s="41"/>
      <c r="H51" s="41"/>
      <c r="I51" s="14" t="s">
        <v>49</v>
      </c>
      <c r="J51" s="15">
        <v>42925</v>
      </c>
      <c r="K51" t="s">
        <v>174</v>
      </c>
      <c r="L51" t="s">
        <v>51</v>
      </c>
      <c r="M51" t="s">
        <v>52</v>
      </c>
      <c r="N51" t="s">
        <v>53</v>
      </c>
      <c r="O51" t="s">
        <v>574</v>
      </c>
      <c r="P51" t="s">
        <v>575</v>
      </c>
      <c r="Q51" t="s">
        <v>56</v>
      </c>
      <c r="R51" t="s">
        <v>576</v>
      </c>
      <c r="S51" s="16" t="s">
        <v>577</v>
      </c>
      <c r="T51" t="s">
        <v>602</v>
      </c>
      <c r="Y51" t="s">
        <v>60</v>
      </c>
      <c r="AA51" s="15"/>
      <c r="AC51" s="17">
        <v>46.026310000000002</v>
      </c>
      <c r="AD51" s="17">
        <v>-91.141679999999994</v>
      </c>
      <c r="AE51" t="s">
        <v>615</v>
      </c>
      <c r="AH51" t="s">
        <v>62</v>
      </c>
      <c r="AI51" t="s">
        <v>63</v>
      </c>
      <c r="AJ51" t="s">
        <v>616</v>
      </c>
      <c r="AK51">
        <v>184819</v>
      </c>
      <c r="AM51" t="s">
        <v>617</v>
      </c>
      <c r="AN51" t="s">
        <v>618</v>
      </c>
      <c r="AO51" t="s">
        <v>619</v>
      </c>
      <c r="AP51" t="s">
        <v>68</v>
      </c>
      <c r="AR51" t="s">
        <v>620</v>
      </c>
      <c r="AS51" t="s">
        <v>621</v>
      </c>
      <c r="AT51" t="s">
        <v>622</v>
      </c>
      <c r="AW51" s="14" t="s">
        <v>72</v>
      </c>
      <c r="AX51" s="14" t="s">
        <v>73</v>
      </c>
      <c r="AY51" s="14" t="s">
        <v>74</v>
      </c>
    </row>
    <row r="52" spans="1:51" ht="15" customHeight="1" x14ac:dyDescent="0.4">
      <c r="A52" s="12">
        <v>1984</v>
      </c>
      <c r="B52" t="s">
        <v>623</v>
      </c>
      <c r="D52" t="s">
        <v>624</v>
      </c>
      <c r="E52" s="13"/>
      <c r="F52" s="41"/>
      <c r="G52" s="41"/>
      <c r="H52" s="41"/>
      <c r="I52" s="14" t="s">
        <v>49</v>
      </c>
      <c r="J52" s="15">
        <v>42925</v>
      </c>
      <c r="K52" t="s">
        <v>174</v>
      </c>
      <c r="L52" t="s">
        <v>51</v>
      </c>
      <c r="M52" t="s">
        <v>52</v>
      </c>
      <c r="N52" t="s">
        <v>53</v>
      </c>
      <c r="O52" t="s">
        <v>574</v>
      </c>
      <c r="P52" t="s">
        <v>575</v>
      </c>
      <c r="Q52" t="s">
        <v>56</v>
      </c>
      <c r="R52" t="s">
        <v>576</v>
      </c>
      <c r="S52" s="16" t="s">
        <v>577</v>
      </c>
      <c r="T52" t="s">
        <v>625</v>
      </c>
      <c r="U52" t="s">
        <v>626</v>
      </c>
      <c r="Y52" t="s">
        <v>60</v>
      </c>
      <c r="AA52" s="15"/>
      <c r="AC52" s="17">
        <v>46.024509999999999</v>
      </c>
      <c r="AD52" s="17">
        <v>-91.128280000000004</v>
      </c>
      <c r="AE52" t="s">
        <v>627</v>
      </c>
      <c r="AH52" t="s">
        <v>62</v>
      </c>
      <c r="AI52" t="s">
        <v>63</v>
      </c>
      <c r="AJ52" t="s">
        <v>628</v>
      </c>
      <c r="AK52">
        <v>184820</v>
      </c>
      <c r="AM52" t="s">
        <v>629</v>
      </c>
      <c r="AN52" t="s">
        <v>630</v>
      </c>
      <c r="AO52" t="s">
        <v>631</v>
      </c>
      <c r="AP52" t="s">
        <v>68</v>
      </c>
      <c r="AR52" t="s">
        <v>632</v>
      </c>
      <c r="AS52" t="s">
        <v>633</v>
      </c>
      <c r="AT52" t="s">
        <v>634</v>
      </c>
      <c r="AW52" s="14" t="s">
        <v>72</v>
      </c>
      <c r="AX52" s="14" t="s">
        <v>73</v>
      </c>
      <c r="AY52" s="14" t="s">
        <v>74</v>
      </c>
    </row>
    <row r="53" spans="1:51" ht="15" customHeight="1" x14ac:dyDescent="0.4">
      <c r="A53" s="12">
        <v>1985</v>
      </c>
      <c r="B53" t="s">
        <v>635</v>
      </c>
      <c r="D53" t="s">
        <v>636</v>
      </c>
      <c r="E53" s="13"/>
      <c r="F53" s="41"/>
      <c r="G53" s="41"/>
      <c r="H53" s="41"/>
      <c r="I53" s="14" t="s">
        <v>49</v>
      </c>
      <c r="J53" s="15">
        <v>42925</v>
      </c>
      <c r="K53" t="s">
        <v>174</v>
      </c>
      <c r="L53" t="s">
        <v>51</v>
      </c>
      <c r="M53" t="s">
        <v>52</v>
      </c>
      <c r="N53" t="s">
        <v>53</v>
      </c>
      <c r="O53" t="s">
        <v>574</v>
      </c>
      <c r="P53" t="s">
        <v>575</v>
      </c>
      <c r="Q53" t="s">
        <v>56</v>
      </c>
      <c r="R53" t="s">
        <v>576</v>
      </c>
      <c r="S53" s="16" t="s">
        <v>577</v>
      </c>
      <c r="T53" t="s">
        <v>637</v>
      </c>
      <c r="Y53" t="s">
        <v>78</v>
      </c>
      <c r="Z53" t="s">
        <v>79</v>
      </c>
      <c r="AA53" s="15">
        <v>45597</v>
      </c>
      <c r="AB53" t="s">
        <v>48</v>
      </c>
      <c r="AC53" s="17">
        <v>46.0244</v>
      </c>
      <c r="AD53" s="17">
        <v>-91.129450000000006</v>
      </c>
      <c r="AE53" t="s">
        <v>638</v>
      </c>
      <c r="AH53" t="s">
        <v>62</v>
      </c>
      <c r="AI53" t="s">
        <v>63</v>
      </c>
      <c r="AJ53" t="s">
        <v>639</v>
      </c>
      <c r="AK53">
        <v>184821</v>
      </c>
      <c r="AM53" t="s">
        <v>640</v>
      </c>
      <c r="AN53" t="s">
        <v>641</v>
      </c>
      <c r="AO53" t="s">
        <v>642</v>
      </c>
      <c r="AP53" t="s">
        <v>68</v>
      </c>
      <c r="AR53" t="s">
        <v>643</v>
      </c>
      <c r="AS53" t="s">
        <v>644</v>
      </c>
      <c r="AT53" t="s">
        <v>645</v>
      </c>
      <c r="AU53" s="31" t="s">
        <v>646</v>
      </c>
      <c r="AV53" s="31" t="s">
        <v>85</v>
      </c>
      <c r="AW53" s="14" t="s">
        <v>72</v>
      </c>
      <c r="AX53" s="14" t="s">
        <v>73</v>
      </c>
      <c r="AY53" s="14" t="s">
        <v>74</v>
      </c>
    </row>
    <row r="54" spans="1:51" ht="15" customHeight="1" x14ac:dyDescent="0.4">
      <c r="A54" s="12">
        <v>2056</v>
      </c>
      <c r="B54" t="s">
        <v>647</v>
      </c>
      <c r="D54" t="s">
        <v>648</v>
      </c>
      <c r="E54" s="13"/>
      <c r="F54" s="41"/>
      <c r="G54" s="41"/>
      <c r="H54" s="41"/>
      <c r="I54" s="14" t="s">
        <v>49</v>
      </c>
      <c r="J54" s="15"/>
      <c r="K54" t="s">
        <v>649</v>
      </c>
      <c r="L54" t="s">
        <v>51</v>
      </c>
      <c r="M54" s="15" t="s">
        <v>650</v>
      </c>
      <c r="N54" t="s">
        <v>53</v>
      </c>
      <c r="O54" t="s">
        <v>651</v>
      </c>
      <c r="P54" t="s">
        <v>652</v>
      </c>
      <c r="Q54" t="s">
        <v>56</v>
      </c>
      <c r="R54" s="21" t="s">
        <v>653</v>
      </c>
      <c r="T54" t="s">
        <v>654</v>
      </c>
      <c r="U54" t="s">
        <v>655</v>
      </c>
      <c r="Y54" t="s">
        <v>49</v>
      </c>
      <c r="AA54" s="15"/>
      <c r="AB54" t="s">
        <v>656</v>
      </c>
      <c r="AC54">
        <v>38.963585999999999</v>
      </c>
      <c r="AD54">
        <v>-98.589060000000003</v>
      </c>
      <c r="AH54" t="s">
        <v>62</v>
      </c>
      <c r="AI54" t="s">
        <v>63</v>
      </c>
      <c r="AJ54" s="18" t="s">
        <v>657</v>
      </c>
      <c r="AK54" t="s">
        <v>658</v>
      </c>
      <c r="AL54" t="s">
        <v>659</v>
      </c>
      <c r="AM54" t="s">
        <v>660</v>
      </c>
      <c r="AN54" t="s">
        <v>661</v>
      </c>
      <c r="AP54" t="s">
        <v>68</v>
      </c>
      <c r="AR54" t="s">
        <v>662</v>
      </c>
      <c r="AS54" t="s">
        <v>663</v>
      </c>
      <c r="AT54" t="s">
        <v>664</v>
      </c>
      <c r="AW54" s="14" t="s">
        <v>72</v>
      </c>
      <c r="AX54" s="14" t="s">
        <v>73</v>
      </c>
      <c r="AY54" s="14" t="s">
        <v>74</v>
      </c>
    </row>
    <row r="55" spans="1:51" ht="15" customHeight="1" x14ac:dyDescent="0.4">
      <c r="A55" s="12">
        <v>2057</v>
      </c>
      <c r="B55" t="s">
        <v>665</v>
      </c>
      <c r="D55" t="s">
        <v>666</v>
      </c>
      <c r="E55" s="13"/>
      <c r="F55" s="41"/>
      <c r="G55" s="41"/>
      <c r="H55" s="41"/>
      <c r="I55" s="14" t="s">
        <v>49</v>
      </c>
      <c r="J55" s="15"/>
      <c r="K55" t="s">
        <v>649</v>
      </c>
      <c r="L55" t="s">
        <v>51</v>
      </c>
      <c r="M55" s="15" t="s">
        <v>650</v>
      </c>
      <c r="N55" t="s">
        <v>53</v>
      </c>
      <c r="O55" t="s">
        <v>651</v>
      </c>
      <c r="P55" t="s">
        <v>652</v>
      </c>
      <c r="Q55" t="s">
        <v>56</v>
      </c>
      <c r="R55" s="21" t="s">
        <v>653</v>
      </c>
      <c r="T55" t="s">
        <v>654</v>
      </c>
      <c r="U55" t="s">
        <v>655</v>
      </c>
      <c r="Y55" t="s">
        <v>49</v>
      </c>
      <c r="AA55" s="15"/>
      <c r="AB55" t="s">
        <v>656</v>
      </c>
      <c r="AC55">
        <v>38.963585999999999</v>
      </c>
      <c r="AD55">
        <v>-98.589060000000003</v>
      </c>
      <c r="AH55" t="s">
        <v>62</v>
      </c>
      <c r="AI55" t="s">
        <v>63</v>
      </c>
      <c r="AJ55" s="18" t="s">
        <v>657</v>
      </c>
      <c r="AK55" t="s">
        <v>658</v>
      </c>
      <c r="AL55" t="s">
        <v>659</v>
      </c>
      <c r="AM55" t="s">
        <v>660</v>
      </c>
      <c r="AN55" t="s">
        <v>661</v>
      </c>
      <c r="AP55" t="s">
        <v>68</v>
      </c>
      <c r="AR55" t="s">
        <v>667</v>
      </c>
      <c r="AS55" t="s">
        <v>668</v>
      </c>
      <c r="AT55" t="s">
        <v>669</v>
      </c>
      <c r="AU55" s="31" t="s">
        <v>670</v>
      </c>
      <c r="AV55" s="31" t="s">
        <v>85</v>
      </c>
      <c r="AW55" s="14" t="s">
        <v>72</v>
      </c>
      <c r="AX55" s="14" t="s">
        <v>73</v>
      </c>
      <c r="AY55" s="14" t="s">
        <v>74</v>
      </c>
    </row>
    <row r="56" spans="1:51" ht="15" customHeight="1" x14ac:dyDescent="0.4">
      <c r="A56" s="12">
        <v>2058</v>
      </c>
      <c r="B56" t="s">
        <v>671</v>
      </c>
      <c r="D56" t="s">
        <v>672</v>
      </c>
      <c r="E56" s="13"/>
      <c r="F56" s="41"/>
      <c r="G56" s="41"/>
      <c r="H56" s="41"/>
      <c r="I56" s="14" t="s">
        <v>49</v>
      </c>
      <c r="J56" s="15"/>
      <c r="K56" t="s">
        <v>649</v>
      </c>
      <c r="L56" t="s">
        <v>51</v>
      </c>
      <c r="M56" s="15" t="s">
        <v>650</v>
      </c>
      <c r="N56" t="s">
        <v>53</v>
      </c>
      <c r="O56" t="s">
        <v>651</v>
      </c>
      <c r="P56" t="s">
        <v>652</v>
      </c>
      <c r="Q56" t="s">
        <v>56</v>
      </c>
      <c r="R56" s="21" t="s">
        <v>653</v>
      </c>
      <c r="T56" t="s">
        <v>654</v>
      </c>
      <c r="U56" t="s">
        <v>655</v>
      </c>
      <c r="Y56" t="s">
        <v>49</v>
      </c>
      <c r="AA56" s="15"/>
      <c r="AB56" t="s">
        <v>656</v>
      </c>
      <c r="AC56">
        <v>38.963585999999999</v>
      </c>
      <c r="AD56">
        <v>-98.589060000000003</v>
      </c>
      <c r="AH56" t="s">
        <v>62</v>
      </c>
      <c r="AI56" t="s">
        <v>63</v>
      </c>
      <c r="AJ56" s="18" t="s">
        <v>657</v>
      </c>
      <c r="AK56" t="s">
        <v>658</v>
      </c>
      <c r="AL56" t="s">
        <v>659</v>
      </c>
      <c r="AM56" t="s">
        <v>660</v>
      </c>
      <c r="AN56" t="s">
        <v>661</v>
      </c>
      <c r="AP56" t="s">
        <v>68</v>
      </c>
      <c r="AR56" t="s">
        <v>673</v>
      </c>
      <c r="AS56" t="s">
        <v>674</v>
      </c>
      <c r="AT56" t="s">
        <v>675</v>
      </c>
      <c r="AU56" s="31" t="s">
        <v>676</v>
      </c>
      <c r="AV56" s="31" t="s">
        <v>85</v>
      </c>
      <c r="AW56" s="14" t="s">
        <v>72</v>
      </c>
      <c r="AX56" s="14" t="s">
        <v>73</v>
      </c>
      <c r="AY56" s="14" t="s">
        <v>74</v>
      </c>
    </row>
    <row r="57" spans="1:51" ht="15" customHeight="1" x14ac:dyDescent="0.4">
      <c r="A57" s="12">
        <v>2059</v>
      </c>
      <c r="B57" t="s">
        <v>677</v>
      </c>
      <c r="D57" t="s">
        <v>678</v>
      </c>
      <c r="E57" s="13"/>
      <c r="F57" s="41"/>
      <c r="G57" s="41"/>
      <c r="H57" s="41"/>
      <c r="I57" s="14" t="s">
        <v>49</v>
      </c>
      <c r="J57" s="15"/>
      <c r="K57" t="s">
        <v>649</v>
      </c>
      <c r="L57" t="s">
        <v>51</v>
      </c>
      <c r="M57" s="15" t="s">
        <v>650</v>
      </c>
      <c r="N57" t="s">
        <v>53</v>
      </c>
      <c r="O57" t="s">
        <v>651</v>
      </c>
      <c r="P57" t="s">
        <v>652</v>
      </c>
      <c r="Q57" t="s">
        <v>56</v>
      </c>
      <c r="R57" s="21" t="s">
        <v>653</v>
      </c>
      <c r="T57" t="s">
        <v>654</v>
      </c>
      <c r="U57" t="s">
        <v>655</v>
      </c>
      <c r="Y57" t="s">
        <v>49</v>
      </c>
      <c r="AA57" s="15"/>
      <c r="AB57" t="s">
        <v>656</v>
      </c>
      <c r="AC57">
        <v>38.963585999999999</v>
      </c>
      <c r="AD57">
        <v>-98.589060000000003</v>
      </c>
      <c r="AH57" t="s">
        <v>62</v>
      </c>
      <c r="AI57" t="s">
        <v>63</v>
      </c>
      <c r="AJ57" s="18" t="s">
        <v>657</v>
      </c>
      <c r="AK57" t="s">
        <v>658</v>
      </c>
      <c r="AL57" t="s">
        <v>659</v>
      </c>
      <c r="AM57" t="s">
        <v>660</v>
      </c>
      <c r="AN57" t="s">
        <v>661</v>
      </c>
      <c r="AP57" t="s">
        <v>68</v>
      </c>
      <c r="AR57" t="s">
        <v>679</v>
      </c>
      <c r="AS57" t="s">
        <v>680</v>
      </c>
      <c r="AT57" t="s">
        <v>681</v>
      </c>
      <c r="AU57" s="31" t="s">
        <v>682</v>
      </c>
      <c r="AV57" s="31" t="s">
        <v>85</v>
      </c>
      <c r="AW57" s="14" t="s">
        <v>72</v>
      </c>
      <c r="AX57" s="14" t="s">
        <v>73</v>
      </c>
      <c r="AY57" s="14" t="s">
        <v>74</v>
      </c>
    </row>
    <row r="58" spans="1:51" ht="15" customHeight="1" x14ac:dyDescent="0.4">
      <c r="A58" s="12">
        <v>2060</v>
      </c>
      <c r="B58" t="s">
        <v>683</v>
      </c>
      <c r="D58" t="s">
        <v>684</v>
      </c>
      <c r="E58" s="13"/>
      <c r="F58" s="41"/>
      <c r="G58" s="41"/>
      <c r="H58" s="41"/>
      <c r="I58" s="14" t="s">
        <v>49</v>
      </c>
      <c r="J58" s="15"/>
      <c r="K58" t="s">
        <v>649</v>
      </c>
      <c r="L58" t="s">
        <v>51</v>
      </c>
      <c r="M58" s="15" t="s">
        <v>650</v>
      </c>
      <c r="N58" t="s">
        <v>53</v>
      </c>
      <c r="O58" t="s">
        <v>651</v>
      </c>
      <c r="P58" t="s">
        <v>652</v>
      </c>
      <c r="Q58" t="s">
        <v>56</v>
      </c>
      <c r="R58" s="21" t="s">
        <v>653</v>
      </c>
      <c r="T58" t="s">
        <v>654</v>
      </c>
      <c r="U58" t="s">
        <v>655</v>
      </c>
      <c r="Y58" t="s">
        <v>49</v>
      </c>
      <c r="AA58" s="15"/>
      <c r="AB58" t="s">
        <v>656</v>
      </c>
      <c r="AC58">
        <v>38.963585999999999</v>
      </c>
      <c r="AD58">
        <v>-98.589060000000003</v>
      </c>
      <c r="AH58" t="s">
        <v>62</v>
      </c>
      <c r="AI58" t="s">
        <v>63</v>
      </c>
      <c r="AJ58" s="18" t="s">
        <v>657</v>
      </c>
      <c r="AK58" t="s">
        <v>658</v>
      </c>
      <c r="AL58" t="s">
        <v>659</v>
      </c>
      <c r="AM58" t="s">
        <v>660</v>
      </c>
      <c r="AN58" t="s">
        <v>661</v>
      </c>
      <c r="AP58" t="s">
        <v>68</v>
      </c>
      <c r="AR58" t="s">
        <v>685</v>
      </c>
      <c r="AS58" t="s">
        <v>686</v>
      </c>
      <c r="AT58" t="s">
        <v>687</v>
      </c>
      <c r="AW58" s="14" t="s">
        <v>72</v>
      </c>
      <c r="AX58" s="14" t="s">
        <v>73</v>
      </c>
      <c r="AY58" s="14" t="s">
        <v>74</v>
      </c>
    </row>
    <row r="59" spans="1:51" ht="15" customHeight="1" x14ac:dyDescent="0.4">
      <c r="A59" s="12">
        <v>2061</v>
      </c>
      <c r="B59" t="s">
        <v>688</v>
      </c>
      <c r="D59" t="s">
        <v>689</v>
      </c>
      <c r="E59" s="13"/>
      <c r="F59" s="41"/>
      <c r="G59" s="41"/>
      <c r="H59" s="41"/>
      <c r="I59" s="14" t="s">
        <v>49</v>
      </c>
      <c r="J59" s="15"/>
      <c r="K59" t="s">
        <v>649</v>
      </c>
      <c r="L59" t="s">
        <v>51</v>
      </c>
      <c r="M59" s="15" t="s">
        <v>650</v>
      </c>
      <c r="N59" t="s">
        <v>53</v>
      </c>
      <c r="O59" t="s">
        <v>651</v>
      </c>
      <c r="P59" t="s">
        <v>652</v>
      </c>
      <c r="Q59" t="s">
        <v>56</v>
      </c>
      <c r="R59" s="21" t="s">
        <v>653</v>
      </c>
      <c r="T59" t="s">
        <v>654</v>
      </c>
      <c r="U59" t="s">
        <v>655</v>
      </c>
      <c r="Y59" t="s">
        <v>49</v>
      </c>
      <c r="AA59" s="15"/>
      <c r="AB59" t="s">
        <v>656</v>
      </c>
      <c r="AC59">
        <v>38.963585999999999</v>
      </c>
      <c r="AD59">
        <v>-98.589060000000003</v>
      </c>
      <c r="AH59" t="s">
        <v>62</v>
      </c>
      <c r="AI59" t="s">
        <v>63</v>
      </c>
      <c r="AJ59" s="18" t="s">
        <v>657</v>
      </c>
      <c r="AK59" t="s">
        <v>658</v>
      </c>
      <c r="AL59" t="s">
        <v>659</v>
      </c>
      <c r="AM59" t="s">
        <v>660</v>
      </c>
      <c r="AN59" t="s">
        <v>661</v>
      </c>
      <c r="AP59" t="s">
        <v>68</v>
      </c>
      <c r="AR59" t="s">
        <v>690</v>
      </c>
      <c r="AS59" t="s">
        <v>691</v>
      </c>
      <c r="AT59" t="s">
        <v>692</v>
      </c>
      <c r="AW59" s="14" t="s">
        <v>72</v>
      </c>
      <c r="AX59" s="14" t="s">
        <v>73</v>
      </c>
      <c r="AY59" s="14" t="s">
        <v>74</v>
      </c>
    </row>
    <row r="60" spans="1:51" ht="15" customHeight="1" x14ac:dyDescent="0.4">
      <c r="A60" s="12">
        <v>2062</v>
      </c>
      <c r="B60" t="s">
        <v>693</v>
      </c>
      <c r="D60" t="s">
        <v>694</v>
      </c>
      <c r="E60" s="13"/>
      <c r="F60" s="41"/>
      <c r="G60" s="41"/>
      <c r="H60" s="41"/>
      <c r="I60" s="14" t="s">
        <v>49</v>
      </c>
      <c r="J60" s="15"/>
      <c r="K60" t="s">
        <v>649</v>
      </c>
      <c r="L60" t="s">
        <v>51</v>
      </c>
      <c r="M60" s="15" t="s">
        <v>650</v>
      </c>
      <c r="N60" t="s">
        <v>53</v>
      </c>
      <c r="O60" t="s">
        <v>651</v>
      </c>
      <c r="P60" t="s">
        <v>652</v>
      </c>
      <c r="Q60" t="s">
        <v>56</v>
      </c>
      <c r="R60" s="21" t="s">
        <v>653</v>
      </c>
      <c r="T60" t="s">
        <v>654</v>
      </c>
      <c r="U60" t="s">
        <v>655</v>
      </c>
      <c r="Y60" t="s">
        <v>49</v>
      </c>
      <c r="AA60" s="15"/>
      <c r="AB60" t="s">
        <v>656</v>
      </c>
      <c r="AC60">
        <v>38.963585999999999</v>
      </c>
      <c r="AD60">
        <v>-98.589060000000003</v>
      </c>
      <c r="AH60" t="s">
        <v>62</v>
      </c>
      <c r="AI60" t="s">
        <v>63</v>
      </c>
      <c r="AJ60" s="18" t="s">
        <v>657</v>
      </c>
      <c r="AK60" t="s">
        <v>658</v>
      </c>
      <c r="AL60" t="s">
        <v>659</v>
      </c>
      <c r="AM60" t="s">
        <v>660</v>
      </c>
      <c r="AN60" t="s">
        <v>661</v>
      </c>
      <c r="AP60" t="s">
        <v>68</v>
      </c>
      <c r="AR60" t="s">
        <v>695</v>
      </c>
      <c r="AS60" t="s">
        <v>696</v>
      </c>
      <c r="AT60" t="s">
        <v>697</v>
      </c>
      <c r="AW60" s="14" t="s">
        <v>72</v>
      </c>
      <c r="AX60" s="14" t="s">
        <v>73</v>
      </c>
      <c r="AY60" s="14" t="s">
        <v>74</v>
      </c>
    </row>
    <row r="61" spans="1:51" ht="15" customHeight="1" x14ac:dyDescent="0.4">
      <c r="A61" s="12">
        <v>2063</v>
      </c>
      <c r="B61" t="s">
        <v>698</v>
      </c>
      <c r="D61" t="s">
        <v>699</v>
      </c>
      <c r="E61" s="13"/>
      <c r="F61" s="41"/>
      <c r="G61" s="41"/>
      <c r="H61" s="41"/>
      <c r="I61" s="14" t="s">
        <v>49</v>
      </c>
      <c r="J61" s="15"/>
      <c r="K61" t="s">
        <v>649</v>
      </c>
      <c r="L61" t="s">
        <v>51</v>
      </c>
      <c r="M61" s="15" t="s">
        <v>650</v>
      </c>
      <c r="N61" t="s">
        <v>53</v>
      </c>
      <c r="O61" t="s">
        <v>651</v>
      </c>
      <c r="P61" t="s">
        <v>652</v>
      </c>
      <c r="Q61" t="s">
        <v>56</v>
      </c>
      <c r="R61" s="21" t="s">
        <v>653</v>
      </c>
      <c r="T61" t="s">
        <v>654</v>
      </c>
      <c r="U61" t="s">
        <v>655</v>
      </c>
      <c r="Y61" t="s">
        <v>49</v>
      </c>
      <c r="AA61" s="15"/>
      <c r="AB61" t="s">
        <v>656</v>
      </c>
      <c r="AC61">
        <v>38.963585999999999</v>
      </c>
      <c r="AD61">
        <v>-98.589060000000003</v>
      </c>
      <c r="AH61" t="s">
        <v>62</v>
      </c>
      <c r="AI61" t="s">
        <v>63</v>
      </c>
      <c r="AJ61" s="18" t="s">
        <v>657</v>
      </c>
      <c r="AK61" t="s">
        <v>658</v>
      </c>
      <c r="AL61" t="s">
        <v>659</v>
      </c>
      <c r="AM61" t="s">
        <v>660</v>
      </c>
      <c r="AN61" t="s">
        <v>661</v>
      </c>
      <c r="AP61" t="s">
        <v>68</v>
      </c>
      <c r="AR61" t="s">
        <v>700</v>
      </c>
      <c r="AS61" t="s">
        <v>701</v>
      </c>
      <c r="AT61" t="s">
        <v>702</v>
      </c>
      <c r="AW61" s="14" t="s">
        <v>72</v>
      </c>
      <c r="AX61" s="14" t="s">
        <v>73</v>
      </c>
      <c r="AY61" s="14" t="s">
        <v>74</v>
      </c>
    </row>
    <row r="62" spans="1:51" ht="15" customHeight="1" x14ac:dyDescent="0.4">
      <c r="A62" s="12">
        <v>2064</v>
      </c>
      <c r="B62" t="s">
        <v>703</v>
      </c>
      <c r="D62" t="s">
        <v>704</v>
      </c>
      <c r="E62" s="13"/>
      <c r="F62" s="41"/>
      <c r="G62" s="41"/>
      <c r="H62" s="41"/>
      <c r="I62" s="14" t="s">
        <v>49</v>
      </c>
      <c r="J62" s="15"/>
      <c r="K62" t="s">
        <v>649</v>
      </c>
      <c r="L62" t="s">
        <v>51</v>
      </c>
      <c r="M62" s="15" t="s">
        <v>650</v>
      </c>
      <c r="N62" t="s">
        <v>53</v>
      </c>
      <c r="O62" t="s">
        <v>651</v>
      </c>
      <c r="P62" t="s">
        <v>652</v>
      </c>
      <c r="Q62" t="s">
        <v>56</v>
      </c>
      <c r="R62" s="21" t="s">
        <v>653</v>
      </c>
      <c r="T62" t="s">
        <v>654</v>
      </c>
      <c r="U62" t="s">
        <v>655</v>
      </c>
      <c r="Y62" t="s">
        <v>49</v>
      </c>
      <c r="AA62" s="15"/>
      <c r="AB62" t="s">
        <v>656</v>
      </c>
      <c r="AC62">
        <v>38.963585999999999</v>
      </c>
      <c r="AD62">
        <v>-98.589060000000003</v>
      </c>
      <c r="AH62" t="s">
        <v>62</v>
      </c>
      <c r="AI62" t="s">
        <v>63</v>
      </c>
      <c r="AJ62" s="18" t="s">
        <v>657</v>
      </c>
      <c r="AK62" t="s">
        <v>658</v>
      </c>
      <c r="AL62" t="s">
        <v>659</v>
      </c>
      <c r="AM62" t="s">
        <v>660</v>
      </c>
      <c r="AN62" t="s">
        <v>661</v>
      </c>
      <c r="AP62" t="s">
        <v>68</v>
      </c>
      <c r="AR62" t="s">
        <v>705</v>
      </c>
      <c r="AS62" t="s">
        <v>706</v>
      </c>
      <c r="AT62" t="s">
        <v>707</v>
      </c>
      <c r="AW62" s="14" t="s">
        <v>72</v>
      </c>
      <c r="AX62" s="14" t="s">
        <v>73</v>
      </c>
      <c r="AY62" s="14" t="s">
        <v>74</v>
      </c>
    </row>
    <row r="63" spans="1:51" ht="15" customHeight="1" x14ac:dyDescent="0.4">
      <c r="A63" s="12">
        <v>2065</v>
      </c>
      <c r="B63" t="s">
        <v>708</v>
      </c>
      <c r="D63" t="s">
        <v>709</v>
      </c>
      <c r="E63" s="13"/>
      <c r="F63" s="41"/>
      <c r="G63" s="41"/>
      <c r="H63" s="41"/>
      <c r="I63" s="14" t="s">
        <v>49</v>
      </c>
      <c r="J63" s="15"/>
      <c r="K63" t="s">
        <v>649</v>
      </c>
      <c r="L63" t="s">
        <v>51</v>
      </c>
      <c r="M63" s="15" t="s">
        <v>650</v>
      </c>
      <c r="N63" t="s">
        <v>53</v>
      </c>
      <c r="O63" t="s">
        <v>651</v>
      </c>
      <c r="P63" t="s">
        <v>652</v>
      </c>
      <c r="Q63" t="s">
        <v>56</v>
      </c>
      <c r="R63" s="21" t="s">
        <v>653</v>
      </c>
      <c r="T63" t="s">
        <v>654</v>
      </c>
      <c r="U63" t="s">
        <v>655</v>
      </c>
      <c r="Y63" t="s">
        <v>49</v>
      </c>
      <c r="AA63" s="15"/>
      <c r="AB63" t="s">
        <v>656</v>
      </c>
      <c r="AC63">
        <v>38.963585999999999</v>
      </c>
      <c r="AD63">
        <v>-98.589060000000003</v>
      </c>
      <c r="AH63" t="s">
        <v>62</v>
      </c>
      <c r="AI63" t="s">
        <v>63</v>
      </c>
      <c r="AJ63" s="18" t="s">
        <v>657</v>
      </c>
      <c r="AK63" t="s">
        <v>658</v>
      </c>
      <c r="AL63" t="s">
        <v>659</v>
      </c>
      <c r="AM63" t="s">
        <v>660</v>
      </c>
      <c r="AN63" t="s">
        <v>661</v>
      </c>
      <c r="AP63" t="s">
        <v>68</v>
      </c>
      <c r="AR63" t="s">
        <v>710</v>
      </c>
      <c r="AS63" t="s">
        <v>711</v>
      </c>
      <c r="AT63" t="s">
        <v>712</v>
      </c>
      <c r="AW63" s="14" t="s">
        <v>72</v>
      </c>
      <c r="AX63" s="14" t="s">
        <v>73</v>
      </c>
      <c r="AY63" s="14" t="s">
        <v>74</v>
      </c>
    </row>
    <row r="64" spans="1:51" s="34" customFormat="1" ht="15" customHeight="1" x14ac:dyDescent="0.4">
      <c r="A64" s="33">
        <v>2066</v>
      </c>
      <c r="B64" s="34" t="s">
        <v>713</v>
      </c>
      <c r="D64" s="34" t="s">
        <v>714</v>
      </c>
      <c r="E64" s="35"/>
      <c r="F64" s="42"/>
      <c r="G64" s="42"/>
      <c r="H64" s="42"/>
      <c r="I64" s="34" t="s">
        <v>49</v>
      </c>
      <c r="J64" s="36"/>
      <c r="K64" s="34" t="s">
        <v>649</v>
      </c>
      <c r="L64" s="34" t="s">
        <v>51</v>
      </c>
      <c r="M64" s="36" t="s">
        <v>650</v>
      </c>
      <c r="N64" s="34" t="s">
        <v>53</v>
      </c>
      <c r="O64" s="34" t="s">
        <v>651</v>
      </c>
      <c r="P64" s="34" t="s">
        <v>715</v>
      </c>
      <c r="Q64" s="34" t="s">
        <v>56</v>
      </c>
      <c r="R64" s="37" t="s">
        <v>716</v>
      </c>
      <c r="T64" s="34" t="s">
        <v>717</v>
      </c>
      <c r="U64" s="34" t="s">
        <v>655</v>
      </c>
      <c r="Y64" s="34" t="s">
        <v>49</v>
      </c>
      <c r="AA64" s="36"/>
      <c r="AC64" s="34">
        <v>38.842944000000003</v>
      </c>
      <c r="AD64" s="34">
        <v>-97.588909000000001</v>
      </c>
      <c r="AH64" s="34" t="s">
        <v>62</v>
      </c>
      <c r="AI64" s="34" t="s">
        <v>63</v>
      </c>
      <c r="AJ64" s="38" t="s">
        <v>718</v>
      </c>
      <c r="AK64" s="34">
        <v>185356</v>
      </c>
      <c r="AL64" s="34" t="s">
        <v>719</v>
      </c>
      <c r="AM64" s="34" t="s">
        <v>720</v>
      </c>
      <c r="AN64" s="34" t="s">
        <v>721</v>
      </c>
      <c r="AO64" s="39" t="s">
        <v>722</v>
      </c>
      <c r="AP64" s="34" t="s">
        <v>68</v>
      </c>
      <c r="AR64" s="34" t="s">
        <v>723</v>
      </c>
      <c r="AS64" s="34" t="s">
        <v>724</v>
      </c>
      <c r="AT64" s="34" t="s">
        <v>725</v>
      </c>
      <c r="AU64" s="31"/>
      <c r="AV64" s="31"/>
      <c r="AW64" s="34" t="s">
        <v>72</v>
      </c>
      <c r="AX64" s="34" t="s">
        <v>73</v>
      </c>
      <c r="AY64" s="34" t="s">
        <v>74</v>
      </c>
    </row>
    <row r="65" spans="1:51" s="34" customFormat="1" ht="15" customHeight="1" x14ac:dyDescent="0.4">
      <c r="A65" s="33">
        <v>2067</v>
      </c>
      <c r="B65" s="34" t="s">
        <v>726</v>
      </c>
      <c r="D65" s="34" t="s">
        <v>727</v>
      </c>
      <c r="E65" s="35"/>
      <c r="F65" s="42"/>
      <c r="G65" s="42"/>
      <c r="H65" s="42"/>
      <c r="I65" s="34" t="s">
        <v>49</v>
      </c>
      <c r="J65" s="36"/>
      <c r="K65" s="34" t="s">
        <v>649</v>
      </c>
      <c r="L65" s="34" t="s">
        <v>51</v>
      </c>
      <c r="M65" s="36" t="s">
        <v>650</v>
      </c>
      <c r="N65" s="34" t="s">
        <v>53</v>
      </c>
      <c r="O65" s="34" t="s">
        <v>651</v>
      </c>
      <c r="P65" s="34" t="s">
        <v>715</v>
      </c>
      <c r="Q65" s="34" t="s">
        <v>56</v>
      </c>
      <c r="R65" s="37" t="s">
        <v>716</v>
      </c>
      <c r="T65" s="34" t="s">
        <v>717</v>
      </c>
      <c r="U65" s="34" t="s">
        <v>655</v>
      </c>
      <c r="Y65" s="34" t="s">
        <v>49</v>
      </c>
      <c r="AA65" s="36"/>
      <c r="AC65" s="34">
        <v>38.842944000000003</v>
      </c>
      <c r="AD65" s="34">
        <v>-97.588909000000001</v>
      </c>
      <c r="AH65" s="34" t="s">
        <v>62</v>
      </c>
      <c r="AI65" s="34" t="s">
        <v>63</v>
      </c>
      <c r="AJ65" s="38" t="s">
        <v>718</v>
      </c>
      <c r="AK65" s="34">
        <v>185356</v>
      </c>
      <c r="AL65" s="34" t="s">
        <v>719</v>
      </c>
      <c r="AM65" s="34" t="s">
        <v>720</v>
      </c>
      <c r="AN65" s="34" t="s">
        <v>721</v>
      </c>
      <c r="AO65" s="34" t="s">
        <v>722</v>
      </c>
      <c r="AP65" s="34" t="s">
        <v>68</v>
      </c>
      <c r="AR65" s="34" t="s">
        <v>728</v>
      </c>
      <c r="AS65" s="34" t="s">
        <v>729</v>
      </c>
      <c r="AT65" s="34" t="s">
        <v>730</v>
      </c>
      <c r="AU65" s="31"/>
      <c r="AV65" s="31"/>
      <c r="AW65" s="34" t="s">
        <v>72</v>
      </c>
      <c r="AX65" s="34" t="s">
        <v>73</v>
      </c>
      <c r="AY65" s="34" t="s">
        <v>74</v>
      </c>
    </row>
    <row r="66" spans="1:51" s="34" customFormat="1" ht="15" customHeight="1" x14ac:dyDescent="0.4">
      <c r="A66" s="33">
        <v>2068</v>
      </c>
      <c r="B66" s="34" t="s">
        <v>731</v>
      </c>
      <c r="D66" s="34" t="s">
        <v>732</v>
      </c>
      <c r="E66" s="35"/>
      <c r="F66" s="42"/>
      <c r="G66" s="42"/>
      <c r="H66" s="42"/>
      <c r="I66" s="34" t="s">
        <v>49</v>
      </c>
      <c r="J66" s="36"/>
      <c r="K66" s="34" t="s">
        <v>649</v>
      </c>
      <c r="L66" s="34" t="s">
        <v>51</v>
      </c>
      <c r="M66" s="36" t="s">
        <v>650</v>
      </c>
      <c r="N66" s="34" t="s">
        <v>53</v>
      </c>
      <c r="O66" s="34" t="s">
        <v>651</v>
      </c>
      <c r="P66" s="34" t="s">
        <v>715</v>
      </c>
      <c r="Q66" s="34" t="s">
        <v>56</v>
      </c>
      <c r="R66" s="37" t="s">
        <v>716</v>
      </c>
      <c r="T66" s="34" t="s">
        <v>717</v>
      </c>
      <c r="U66" s="34" t="s">
        <v>655</v>
      </c>
      <c r="Y66" s="34" t="s">
        <v>49</v>
      </c>
      <c r="AA66" s="36"/>
      <c r="AC66" s="34">
        <v>38.842944000000003</v>
      </c>
      <c r="AD66" s="34">
        <v>-97.588909000000001</v>
      </c>
      <c r="AH66" s="34" t="s">
        <v>62</v>
      </c>
      <c r="AI66" s="34" t="s">
        <v>63</v>
      </c>
      <c r="AJ66" s="38" t="s">
        <v>718</v>
      </c>
      <c r="AK66" s="34">
        <v>185356</v>
      </c>
      <c r="AL66" s="34" t="s">
        <v>719</v>
      </c>
      <c r="AM66" s="34" t="s">
        <v>720</v>
      </c>
      <c r="AN66" s="34" t="s">
        <v>721</v>
      </c>
      <c r="AO66" s="34" t="s">
        <v>722</v>
      </c>
      <c r="AP66" s="34" t="s">
        <v>68</v>
      </c>
      <c r="AR66" s="34" t="s">
        <v>733</v>
      </c>
      <c r="AS66" s="34" t="s">
        <v>734</v>
      </c>
      <c r="AT66" s="34" t="s">
        <v>735</v>
      </c>
      <c r="AU66" s="31" t="s">
        <v>736</v>
      </c>
      <c r="AV66" s="31" t="s">
        <v>85</v>
      </c>
      <c r="AW66" s="34" t="s">
        <v>72</v>
      </c>
      <c r="AX66" s="34" t="s">
        <v>73</v>
      </c>
      <c r="AY66" s="34" t="s">
        <v>74</v>
      </c>
    </row>
    <row r="67" spans="1:51" s="34" customFormat="1" ht="15" customHeight="1" x14ac:dyDescent="0.4">
      <c r="A67" s="33">
        <v>2069</v>
      </c>
      <c r="B67" s="34" t="s">
        <v>737</v>
      </c>
      <c r="D67" s="34" t="s">
        <v>738</v>
      </c>
      <c r="E67" s="35"/>
      <c r="F67" s="42"/>
      <c r="G67" s="42"/>
      <c r="H67" s="42"/>
      <c r="I67" s="34" t="s">
        <v>49</v>
      </c>
      <c r="J67" s="36"/>
      <c r="K67" s="34" t="s">
        <v>649</v>
      </c>
      <c r="L67" s="34" t="s">
        <v>51</v>
      </c>
      <c r="M67" s="36" t="s">
        <v>650</v>
      </c>
      <c r="N67" s="34" t="s">
        <v>53</v>
      </c>
      <c r="O67" s="34" t="s">
        <v>651</v>
      </c>
      <c r="P67" s="34" t="s">
        <v>715</v>
      </c>
      <c r="Q67" s="34" t="s">
        <v>56</v>
      </c>
      <c r="R67" s="37" t="s">
        <v>716</v>
      </c>
      <c r="T67" s="34" t="s">
        <v>717</v>
      </c>
      <c r="U67" s="34" t="s">
        <v>655</v>
      </c>
      <c r="Y67" s="34" t="s">
        <v>49</v>
      </c>
      <c r="AA67" s="36"/>
      <c r="AC67" s="34">
        <v>38.842944000000003</v>
      </c>
      <c r="AD67" s="34">
        <v>-97.588909000000001</v>
      </c>
      <c r="AH67" s="34" t="s">
        <v>62</v>
      </c>
      <c r="AI67" s="34" t="s">
        <v>63</v>
      </c>
      <c r="AJ67" s="38" t="s">
        <v>718</v>
      </c>
      <c r="AK67" s="34">
        <v>185356</v>
      </c>
      <c r="AL67" s="34" t="s">
        <v>719</v>
      </c>
      <c r="AM67" s="34" t="s">
        <v>720</v>
      </c>
      <c r="AN67" s="34" t="s">
        <v>721</v>
      </c>
      <c r="AO67" s="34" t="s">
        <v>722</v>
      </c>
      <c r="AP67" s="34" t="s">
        <v>68</v>
      </c>
      <c r="AR67" s="34" t="s">
        <v>739</v>
      </c>
      <c r="AS67" s="34" t="s">
        <v>740</v>
      </c>
      <c r="AT67" s="34" t="s">
        <v>741</v>
      </c>
      <c r="AU67" s="31" t="s">
        <v>742</v>
      </c>
      <c r="AV67" s="31" t="s">
        <v>85</v>
      </c>
      <c r="AW67" s="34" t="s">
        <v>72</v>
      </c>
      <c r="AX67" s="34" t="s">
        <v>73</v>
      </c>
      <c r="AY67" s="34" t="s">
        <v>74</v>
      </c>
    </row>
    <row r="68" spans="1:51" s="34" customFormat="1" ht="15" customHeight="1" x14ac:dyDescent="0.4">
      <c r="A68" s="33">
        <v>2070</v>
      </c>
      <c r="B68" s="34" t="s">
        <v>743</v>
      </c>
      <c r="D68" s="34" t="s">
        <v>744</v>
      </c>
      <c r="E68" s="35"/>
      <c r="F68" s="42"/>
      <c r="G68" s="42"/>
      <c r="H68" s="42"/>
      <c r="I68" s="34" t="s">
        <v>49</v>
      </c>
      <c r="J68" s="36"/>
      <c r="K68" s="34" t="s">
        <v>649</v>
      </c>
      <c r="L68" s="34" t="s">
        <v>51</v>
      </c>
      <c r="M68" s="36" t="s">
        <v>650</v>
      </c>
      <c r="N68" s="34" t="s">
        <v>53</v>
      </c>
      <c r="O68" s="34" t="s">
        <v>651</v>
      </c>
      <c r="P68" s="34" t="s">
        <v>715</v>
      </c>
      <c r="Q68" s="34" t="s">
        <v>56</v>
      </c>
      <c r="R68" s="37" t="s">
        <v>716</v>
      </c>
      <c r="T68" s="34" t="s">
        <v>717</v>
      </c>
      <c r="U68" s="34" t="s">
        <v>655</v>
      </c>
      <c r="Y68" s="34" t="s">
        <v>49</v>
      </c>
      <c r="AA68" s="36"/>
      <c r="AC68" s="34">
        <v>38.842944000000003</v>
      </c>
      <c r="AD68" s="34">
        <v>-97.588909000000001</v>
      </c>
      <c r="AH68" s="34" t="s">
        <v>62</v>
      </c>
      <c r="AI68" s="34" t="s">
        <v>63</v>
      </c>
      <c r="AJ68" s="38" t="s">
        <v>718</v>
      </c>
      <c r="AK68" s="34">
        <v>185356</v>
      </c>
      <c r="AL68" s="34" t="s">
        <v>719</v>
      </c>
      <c r="AM68" s="34" t="s">
        <v>720</v>
      </c>
      <c r="AN68" s="34" t="s">
        <v>721</v>
      </c>
      <c r="AO68" s="34" t="s">
        <v>722</v>
      </c>
      <c r="AP68" s="34" t="s">
        <v>68</v>
      </c>
      <c r="AR68" s="34" t="s">
        <v>745</v>
      </c>
      <c r="AS68" s="34" t="s">
        <v>746</v>
      </c>
      <c r="AT68" s="34" t="s">
        <v>747</v>
      </c>
      <c r="AU68" s="31"/>
      <c r="AV68" s="31"/>
      <c r="AW68" s="34" t="s">
        <v>72</v>
      </c>
      <c r="AX68" s="34" t="s">
        <v>73</v>
      </c>
      <c r="AY68" s="34" t="s">
        <v>74</v>
      </c>
    </row>
    <row r="69" spans="1:51" s="34" customFormat="1" ht="15" customHeight="1" x14ac:dyDescent="0.4">
      <c r="A69" s="33">
        <v>2071</v>
      </c>
      <c r="B69" s="34" t="s">
        <v>748</v>
      </c>
      <c r="D69" s="34" t="s">
        <v>749</v>
      </c>
      <c r="E69" s="35"/>
      <c r="F69" s="42"/>
      <c r="G69" s="42"/>
      <c r="H69" s="42"/>
      <c r="I69" s="34" t="s">
        <v>49</v>
      </c>
      <c r="J69" s="36"/>
      <c r="K69" s="34" t="s">
        <v>649</v>
      </c>
      <c r="L69" s="34" t="s">
        <v>51</v>
      </c>
      <c r="M69" s="36" t="s">
        <v>650</v>
      </c>
      <c r="N69" s="34" t="s">
        <v>53</v>
      </c>
      <c r="O69" s="34" t="s">
        <v>651</v>
      </c>
      <c r="P69" s="34" t="s">
        <v>715</v>
      </c>
      <c r="Q69" s="34" t="s">
        <v>56</v>
      </c>
      <c r="R69" s="37" t="s">
        <v>716</v>
      </c>
      <c r="T69" s="34" t="s">
        <v>717</v>
      </c>
      <c r="U69" s="34" t="s">
        <v>655</v>
      </c>
      <c r="Y69" s="34" t="s">
        <v>49</v>
      </c>
      <c r="AA69" s="36"/>
      <c r="AC69" s="34">
        <v>38.842944000000003</v>
      </c>
      <c r="AD69" s="34">
        <v>-97.588909000000001</v>
      </c>
      <c r="AH69" s="34" t="s">
        <v>62</v>
      </c>
      <c r="AI69" s="34" t="s">
        <v>63</v>
      </c>
      <c r="AJ69" s="38" t="s">
        <v>718</v>
      </c>
      <c r="AK69" s="34">
        <v>185356</v>
      </c>
      <c r="AL69" s="34" t="s">
        <v>719</v>
      </c>
      <c r="AM69" s="34" t="s">
        <v>720</v>
      </c>
      <c r="AN69" s="34" t="s">
        <v>721</v>
      </c>
      <c r="AO69" s="34" t="s">
        <v>722</v>
      </c>
      <c r="AP69" s="34" t="s">
        <v>68</v>
      </c>
      <c r="AR69" s="34" t="s">
        <v>750</v>
      </c>
      <c r="AS69" s="34" t="s">
        <v>751</v>
      </c>
      <c r="AT69" s="34" t="s">
        <v>752</v>
      </c>
      <c r="AU69" s="31"/>
      <c r="AV69" s="31"/>
      <c r="AW69" s="34" t="s">
        <v>72</v>
      </c>
      <c r="AX69" s="34" t="s">
        <v>73</v>
      </c>
      <c r="AY69" s="34" t="s">
        <v>74</v>
      </c>
    </row>
    <row r="70" spans="1:51" ht="15" customHeight="1" x14ac:dyDescent="0.4">
      <c r="A70" s="12">
        <v>2110</v>
      </c>
      <c r="B70" t="s">
        <v>753</v>
      </c>
      <c r="D70" t="s">
        <v>754</v>
      </c>
      <c r="E70" s="13"/>
      <c r="F70" s="41"/>
      <c r="G70" s="41"/>
      <c r="H70" s="41"/>
      <c r="I70" s="14" t="s">
        <v>49</v>
      </c>
      <c r="J70" s="15">
        <v>42949</v>
      </c>
      <c r="K70" t="s">
        <v>174</v>
      </c>
      <c r="L70" t="s">
        <v>51</v>
      </c>
      <c r="M70" s="15" t="s">
        <v>52</v>
      </c>
      <c r="N70" t="s">
        <v>53</v>
      </c>
      <c r="O70" t="s">
        <v>755</v>
      </c>
      <c r="P70" t="s">
        <v>756</v>
      </c>
      <c r="Q70" t="s">
        <v>56</v>
      </c>
      <c r="R70" t="s">
        <v>757</v>
      </c>
      <c r="S70" s="21" t="s">
        <v>758</v>
      </c>
      <c r="T70" t="s">
        <v>759</v>
      </c>
      <c r="U70" t="s">
        <v>760</v>
      </c>
      <c r="Y70" t="s">
        <v>78</v>
      </c>
      <c r="Z70" t="s">
        <v>79</v>
      </c>
      <c r="AA70" s="15">
        <v>45597</v>
      </c>
      <c r="AB70" t="s">
        <v>48</v>
      </c>
      <c r="AC70">
        <v>41.532730000000001</v>
      </c>
      <c r="AD70">
        <v>-87.294799999999995</v>
      </c>
      <c r="AE70" t="s">
        <v>761</v>
      </c>
      <c r="AH70" t="s">
        <v>62</v>
      </c>
      <c r="AI70" t="s">
        <v>63</v>
      </c>
      <c r="AJ70" t="s">
        <v>762</v>
      </c>
      <c r="AK70">
        <v>185844</v>
      </c>
      <c r="AM70" t="s">
        <v>763</v>
      </c>
      <c r="AN70" t="s">
        <v>764</v>
      </c>
      <c r="AO70" t="s">
        <v>765</v>
      </c>
      <c r="AP70" t="s">
        <v>68</v>
      </c>
      <c r="AR70" t="s">
        <v>766</v>
      </c>
      <c r="AS70" t="s">
        <v>767</v>
      </c>
      <c r="AT70" t="s">
        <v>768</v>
      </c>
      <c r="AU70" s="31" t="s">
        <v>769</v>
      </c>
      <c r="AV70" s="31" t="s">
        <v>85</v>
      </c>
      <c r="AW70" s="14" t="s">
        <v>72</v>
      </c>
      <c r="AX70" s="14" t="s">
        <v>73</v>
      </c>
      <c r="AY70" s="14" t="s">
        <v>74</v>
      </c>
    </row>
    <row r="71" spans="1:51" ht="15" customHeight="1" x14ac:dyDescent="0.4">
      <c r="A71" s="12">
        <v>2111</v>
      </c>
      <c r="B71" t="s">
        <v>770</v>
      </c>
      <c r="D71" t="s">
        <v>771</v>
      </c>
      <c r="E71" s="13"/>
      <c r="F71" s="41"/>
      <c r="G71" s="41"/>
      <c r="H71" s="41"/>
      <c r="I71" s="14" t="s">
        <v>49</v>
      </c>
      <c r="J71" s="15">
        <v>42949</v>
      </c>
      <c r="K71" t="s">
        <v>174</v>
      </c>
      <c r="L71" t="s">
        <v>51</v>
      </c>
      <c r="M71" s="15" t="s">
        <v>52</v>
      </c>
      <c r="N71" t="s">
        <v>53</v>
      </c>
      <c r="O71" t="s">
        <v>755</v>
      </c>
      <c r="P71" t="s">
        <v>756</v>
      </c>
      <c r="Q71" t="s">
        <v>56</v>
      </c>
      <c r="R71" t="s">
        <v>757</v>
      </c>
      <c r="S71" s="21" t="s">
        <v>758</v>
      </c>
      <c r="T71" t="s">
        <v>759</v>
      </c>
      <c r="U71" t="s">
        <v>760</v>
      </c>
      <c r="Y71" t="s">
        <v>60</v>
      </c>
      <c r="AA71" s="15"/>
      <c r="AC71">
        <v>41.532809999999998</v>
      </c>
      <c r="AD71">
        <v>-87.293769999999995</v>
      </c>
      <c r="AE71" t="s">
        <v>772</v>
      </c>
      <c r="AH71" t="s">
        <v>62</v>
      </c>
      <c r="AI71" t="s">
        <v>63</v>
      </c>
      <c r="AJ71" t="s">
        <v>773</v>
      </c>
      <c r="AK71">
        <v>185845</v>
      </c>
      <c r="AM71" t="s">
        <v>774</v>
      </c>
      <c r="AN71" t="s">
        <v>775</v>
      </c>
      <c r="AO71" t="s">
        <v>776</v>
      </c>
      <c r="AP71" t="s">
        <v>68</v>
      </c>
      <c r="AR71" t="s">
        <v>777</v>
      </c>
      <c r="AS71" t="s">
        <v>778</v>
      </c>
      <c r="AT71" t="s">
        <v>779</v>
      </c>
      <c r="AW71" s="14" t="s">
        <v>72</v>
      </c>
      <c r="AX71" s="14" t="s">
        <v>73</v>
      </c>
      <c r="AY71" s="14" t="s">
        <v>74</v>
      </c>
    </row>
    <row r="72" spans="1:51" ht="15" customHeight="1" x14ac:dyDescent="0.4">
      <c r="A72" s="12">
        <v>2112</v>
      </c>
      <c r="B72" t="s">
        <v>780</v>
      </c>
      <c r="D72" t="s">
        <v>781</v>
      </c>
      <c r="E72" s="13"/>
      <c r="F72" s="41"/>
      <c r="G72" s="41"/>
      <c r="H72" s="41"/>
      <c r="I72" s="14" t="s">
        <v>49</v>
      </c>
      <c r="J72" s="15">
        <v>42949</v>
      </c>
      <c r="K72" t="s">
        <v>174</v>
      </c>
      <c r="L72" t="s">
        <v>51</v>
      </c>
      <c r="M72" s="15" t="s">
        <v>52</v>
      </c>
      <c r="N72" t="s">
        <v>53</v>
      </c>
      <c r="O72" t="s">
        <v>755</v>
      </c>
      <c r="P72" t="s">
        <v>756</v>
      </c>
      <c r="Q72" t="s">
        <v>56</v>
      </c>
      <c r="R72" t="s">
        <v>757</v>
      </c>
      <c r="S72" s="21" t="s">
        <v>758</v>
      </c>
      <c r="T72" t="s">
        <v>759</v>
      </c>
      <c r="U72" t="s">
        <v>760</v>
      </c>
      <c r="Y72" t="s">
        <v>60</v>
      </c>
      <c r="AA72" s="15"/>
      <c r="AC72">
        <v>41.533209999999997</v>
      </c>
      <c r="AD72">
        <v>-87.293360000000007</v>
      </c>
      <c r="AE72" t="s">
        <v>782</v>
      </c>
      <c r="AH72" t="s">
        <v>62</v>
      </c>
      <c r="AI72" t="s">
        <v>63</v>
      </c>
      <c r="AJ72" t="s">
        <v>783</v>
      </c>
      <c r="AK72" t="s">
        <v>784</v>
      </c>
      <c r="AM72" t="s">
        <v>785</v>
      </c>
      <c r="AN72" t="s">
        <v>786</v>
      </c>
      <c r="AO72" t="s">
        <v>787</v>
      </c>
      <c r="AP72" t="s">
        <v>68</v>
      </c>
      <c r="AR72" t="s">
        <v>788</v>
      </c>
      <c r="AS72" t="s">
        <v>789</v>
      </c>
      <c r="AT72" t="s">
        <v>790</v>
      </c>
      <c r="AW72" s="14" t="s">
        <v>72</v>
      </c>
      <c r="AX72" s="14" t="s">
        <v>73</v>
      </c>
      <c r="AY72" s="14" t="s">
        <v>74</v>
      </c>
    </row>
    <row r="73" spans="1:51" ht="15" customHeight="1" x14ac:dyDescent="0.4">
      <c r="A73" s="12">
        <v>2113</v>
      </c>
      <c r="B73" t="s">
        <v>791</v>
      </c>
      <c r="D73" t="s">
        <v>792</v>
      </c>
      <c r="E73" s="13"/>
      <c r="F73" s="41"/>
      <c r="G73" s="41"/>
      <c r="H73" s="41"/>
      <c r="I73" s="14" t="s">
        <v>49</v>
      </c>
      <c r="J73" s="15">
        <v>42949</v>
      </c>
      <c r="K73" t="s">
        <v>174</v>
      </c>
      <c r="L73" t="s">
        <v>51</v>
      </c>
      <c r="M73" s="15" t="s">
        <v>52</v>
      </c>
      <c r="N73" t="s">
        <v>53</v>
      </c>
      <c r="O73" t="s">
        <v>755</v>
      </c>
      <c r="P73" t="s">
        <v>756</v>
      </c>
      <c r="Q73" t="s">
        <v>56</v>
      </c>
      <c r="R73" t="s">
        <v>757</v>
      </c>
      <c r="S73" s="21" t="s">
        <v>758</v>
      </c>
      <c r="T73" t="s">
        <v>759</v>
      </c>
      <c r="U73" t="s">
        <v>760</v>
      </c>
      <c r="Y73" t="s">
        <v>60</v>
      </c>
      <c r="AA73" s="15"/>
      <c r="AC73">
        <v>41.533479999999997</v>
      </c>
      <c r="AD73">
        <v>-87.292310000000001</v>
      </c>
      <c r="AE73" t="s">
        <v>793</v>
      </c>
      <c r="AH73" t="s">
        <v>62</v>
      </c>
      <c r="AI73" t="s">
        <v>63</v>
      </c>
      <c r="AJ73" t="s">
        <v>794</v>
      </c>
      <c r="AK73" t="s">
        <v>795</v>
      </c>
      <c r="AM73" t="s">
        <v>796</v>
      </c>
      <c r="AN73" t="s">
        <v>797</v>
      </c>
      <c r="AO73" t="s">
        <v>798</v>
      </c>
      <c r="AP73" t="s">
        <v>68</v>
      </c>
      <c r="AR73" t="s">
        <v>799</v>
      </c>
      <c r="AS73" t="s">
        <v>800</v>
      </c>
      <c r="AT73" t="s">
        <v>801</v>
      </c>
      <c r="AW73" s="14" t="s">
        <v>72</v>
      </c>
      <c r="AX73" s="14" t="s">
        <v>73</v>
      </c>
      <c r="AY73" s="14" t="s">
        <v>74</v>
      </c>
    </row>
    <row r="74" spans="1:51" ht="15" customHeight="1" x14ac:dyDescent="0.4">
      <c r="A74" s="12">
        <v>2114</v>
      </c>
      <c r="B74" t="s">
        <v>802</v>
      </c>
      <c r="D74" t="s">
        <v>803</v>
      </c>
      <c r="E74" s="13"/>
      <c r="F74" s="41"/>
      <c r="G74" s="41"/>
      <c r="H74" s="41"/>
      <c r="I74" s="14" t="s">
        <v>49</v>
      </c>
      <c r="J74" s="15">
        <v>42949</v>
      </c>
      <c r="K74" t="s">
        <v>174</v>
      </c>
      <c r="L74" t="s">
        <v>51</v>
      </c>
      <c r="M74" s="15" t="s">
        <v>52</v>
      </c>
      <c r="N74" t="s">
        <v>53</v>
      </c>
      <c r="O74" t="s">
        <v>755</v>
      </c>
      <c r="P74" t="s">
        <v>756</v>
      </c>
      <c r="Q74" t="s">
        <v>56</v>
      </c>
      <c r="R74" t="s">
        <v>757</v>
      </c>
      <c r="S74" s="21" t="s">
        <v>758</v>
      </c>
      <c r="T74" t="s">
        <v>759</v>
      </c>
      <c r="U74" t="s">
        <v>760</v>
      </c>
      <c r="Y74" t="s">
        <v>78</v>
      </c>
      <c r="Z74" t="s">
        <v>79</v>
      </c>
      <c r="AA74" s="15">
        <v>45597</v>
      </c>
      <c r="AB74" t="s">
        <v>48</v>
      </c>
      <c r="AC74">
        <v>41.534030000000001</v>
      </c>
      <c r="AD74">
        <v>-87.291460000000001</v>
      </c>
      <c r="AE74" t="s">
        <v>804</v>
      </c>
      <c r="AH74" t="s">
        <v>62</v>
      </c>
      <c r="AI74" t="s">
        <v>63</v>
      </c>
      <c r="AJ74" t="s">
        <v>805</v>
      </c>
      <c r="AK74">
        <v>186781</v>
      </c>
      <c r="AM74" t="s">
        <v>806</v>
      </c>
      <c r="AN74" t="s">
        <v>807</v>
      </c>
      <c r="AO74" t="s">
        <v>808</v>
      </c>
      <c r="AP74" t="s">
        <v>68</v>
      </c>
      <c r="AR74" t="s">
        <v>809</v>
      </c>
      <c r="AS74" t="s">
        <v>810</v>
      </c>
      <c r="AT74" t="s">
        <v>811</v>
      </c>
      <c r="AU74" s="31" t="s">
        <v>812</v>
      </c>
      <c r="AV74" s="31" t="s">
        <v>85</v>
      </c>
      <c r="AW74" s="14" t="s">
        <v>72</v>
      </c>
      <c r="AX74" s="14" t="s">
        <v>73</v>
      </c>
      <c r="AY74" s="14" t="s">
        <v>74</v>
      </c>
    </row>
    <row r="75" spans="1:51" ht="15" customHeight="1" x14ac:dyDescent="0.4">
      <c r="A75" s="12">
        <v>2115</v>
      </c>
      <c r="B75" t="s">
        <v>813</v>
      </c>
      <c r="D75" t="s">
        <v>814</v>
      </c>
      <c r="E75" s="13"/>
      <c r="F75" s="41"/>
      <c r="G75" s="41"/>
      <c r="H75" s="41"/>
      <c r="I75" s="14" t="s">
        <v>49</v>
      </c>
      <c r="J75" s="15">
        <v>42949</v>
      </c>
      <c r="K75" t="s">
        <v>174</v>
      </c>
      <c r="L75" t="s">
        <v>51</v>
      </c>
      <c r="M75" s="15" t="s">
        <v>52</v>
      </c>
      <c r="N75" t="s">
        <v>53</v>
      </c>
      <c r="O75" t="s">
        <v>755</v>
      </c>
      <c r="P75" t="s">
        <v>756</v>
      </c>
      <c r="Q75" t="s">
        <v>56</v>
      </c>
      <c r="R75" t="s">
        <v>757</v>
      </c>
      <c r="S75" s="21" t="s">
        <v>758</v>
      </c>
      <c r="T75" t="s">
        <v>759</v>
      </c>
      <c r="U75" t="s">
        <v>760</v>
      </c>
      <c r="Y75" t="s">
        <v>60</v>
      </c>
      <c r="AA75" s="15"/>
      <c r="AC75">
        <v>41.534500000000001</v>
      </c>
      <c r="AD75">
        <v>-87.292789999999997</v>
      </c>
      <c r="AE75" t="s">
        <v>815</v>
      </c>
      <c r="AH75" t="s">
        <v>62</v>
      </c>
      <c r="AI75" t="s">
        <v>63</v>
      </c>
      <c r="AJ75" t="s">
        <v>816</v>
      </c>
      <c r="AK75" t="s">
        <v>817</v>
      </c>
      <c r="AM75" t="s">
        <v>818</v>
      </c>
      <c r="AN75" t="s">
        <v>819</v>
      </c>
      <c r="AO75" t="s">
        <v>820</v>
      </c>
      <c r="AP75" t="s">
        <v>68</v>
      </c>
      <c r="AR75" t="s">
        <v>821</v>
      </c>
      <c r="AS75" t="s">
        <v>822</v>
      </c>
      <c r="AT75" t="s">
        <v>823</v>
      </c>
      <c r="AW75" s="14" t="s">
        <v>72</v>
      </c>
      <c r="AX75" s="14" t="s">
        <v>73</v>
      </c>
      <c r="AY75" s="14" t="s">
        <v>74</v>
      </c>
    </row>
    <row r="76" spans="1:51" ht="15" customHeight="1" x14ac:dyDescent="0.4">
      <c r="A76" s="12">
        <v>2116</v>
      </c>
      <c r="B76" t="s">
        <v>824</v>
      </c>
      <c r="D76" t="s">
        <v>825</v>
      </c>
      <c r="E76" s="13"/>
      <c r="F76" s="41"/>
      <c r="G76" s="41"/>
      <c r="H76" s="41"/>
      <c r="I76" s="14" t="s">
        <v>49</v>
      </c>
      <c r="J76" s="15">
        <v>42949</v>
      </c>
      <c r="K76" t="s">
        <v>174</v>
      </c>
      <c r="L76" t="s">
        <v>51</v>
      </c>
      <c r="M76" s="15" t="s">
        <v>52</v>
      </c>
      <c r="N76" t="s">
        <v>53</v>
      </c>
      <c r="O76" t="s">
        <v>755</v>
      </c>
      <c r="P76" t="s">
        <v>756</v>
      </c>
      <c r="Q76" t="s">
        <v>56</v>
      </c>
      <c r="R76" t="s">
        <v>757</v>
      </c>
      <c r="S76" s="21" t="s">
        <v>758</v>
      </c>
      <c r="T76" t="s">
        <v>759</v>
      </c>
      <c r="U76" t="s">
        <v>760</v>
      </c>
      <c r="Y76" t="s">
        <v>60</v>
      </c>
      <c r="AA76" s="15"/>
      <c r="AC76">
        <v>41.534570000000002</v>
      </c>
      <c r="AD76">
        <v>-87.294030000000006</v>
      </c>
      <c r="AE76" t="s">
        <v>826</v>
      </c>
      <c r="AH76" t="s">
        <v>62</v>
      </c>
      <c r="AI76" t="s">
        <v>63</v>
      </c>
      <c r="AJ76" t="s">
        <v>827</v>
      </c>
      <c r="AK76" t="s">
        <v>828</v>
      </c>
      <c r="AM76" t="s">
        <v>829</v>
      </c>
      <c r="AN76" t="s">
        <v>830</v>
      </c>
      <c r="AO76" t="s">
        <v>831</v>
      </c>
      <c r="AP76" t="s">
        <v>68</v>
      </c>
      <c r="AR76" t="s">
        <v>832</v>
      </c>
      <c r="AS76" t="s">
        <v>833</v>
      </c>
      <c r="AT76" t="s">
        <v>834</v>
      </c>
      <c r="AW76" s="14" t="s">
        <v>72</v>
      </c>
      <c r="AX76" s="14" t="s">
        <v>73</v>
      </c>
      <c r="AY76" s="14" t="s">
        <v>74</v>
      </c>
    </row>
    <row r="77" spans="1:51" ht="15" customHeight="1" x14ac:dyDescent="0.4">
      <c r="A77" s="12">
        <v>2117</v>
      </c>
      <c r="B77" t="s">
        <v>835</v>
      </c>
      <c r="D77" t="s">
        <v>836</v>
      </c>
      <c r="E77" s="13"/>
      <c r="F77" s="41"/>
      <c r="G77" s="41"/>
      <c r="H77" s="41"/>
      <c r="I77" s="14" t="s">
        <v>49</v>
      </c>
      <c r="J77" s="15">
        <v>42949</v>
      </c>
      <c r="K77" t="s">
        <v>174</v>
      </c>
      <c r="L77" t="s">
        <v>51</v>
      </c>
      <c r="M77" s="15" t="s">
        <v>52</v>
      </c>
      <c r="N77" t="s">
        <v>53</v>
      </c>
      <c r="O77" t="s">
        <v>755</v>
      </c>
      <c r="P77" t="s">
        <v>756</v>
      </c>
      <c r="Q77" t="s">
        <v>56</v>
      </c>
      <c r="R77" t="s">
        <v>757</v>
      </c>
      <c r="S77" s="21" t="s">
        <v>758</v>
      </c>
      <c r="T77" t="s">
        <v>759</v>
      </c>
      <c r="U77" t="s">
        <v>760</v>
      </c>
      <c r="Y77" t="s">
        <v>60</v>
      </c>
      <c r="AA77" s="15"/>
      <c r="AC77">
        <v>41.532530000000001</v>
      </c>
      <c r="AD77">
        <v>-87.296610000000001</v>
      </c>
      <c r="AE77" t="s">
        <v>837</v>
      </c>
      <c r="AH77" t="s">
        <v>62</v>
      </c>
      <c r="AI77" t="s">
        <v>63</v>
      </c>
      <c r="AJ77" t="s">
        <v>838</v>
      </c>
      <c r="AK77" t="s">
        <v>839</v>
      </c>
      <c r="AM77" t="s">
        <v>840</v>
      </c>
      <c r="AN77" t="s">
        <v>841</v>
      </c>
      <c r="AO77" t="s">
        <v>842</v>
      </c>
      <c r="AP77" t="s">
        <v>68</v>
      </c>
      <c r="AR77" t="s">
        <v>843</v>
      </c>
      <c r="AS77" t="s">
        <v>844</v>
      </c>
      <c r="AT77" t="s">
        <v>845</v>
      </c>
      <c r="AW77" s="14" t="s">
        <v>72</v>
      </c>
      <c r="AX77" s="14" t="s">
        <v>73</v>
      </c>
      <c r="AY77" s="14" t="s">
        <v>74</v>
      </c>
    </row>
    <row r="78" spans="1:51" ht="15" customHeight="1" x14ac:dyDescent="0.4">
      <c r="A78" s="12">
        <v>2118</v>
      </c>
      <c r="B78" t="s">
        <v>846</v>
      </c>
      <c r="D78" t="s">
        <v>847</v>
      </c>
      <c r="E78" s="13"/>
      <c r="F78" s="41"/>
      <c r="G78" s="41"/>
      <c r="H78" s="41"/>
      <c r="I78" s="14" t="s">
        <v>49</v>
      </c>
      <c r="J78" s="15">
        <v>42949</v>
      </c>
      <c r="K78" t="s">
        <v>174</v>
      </c>
      <c r="L78" t="s">
        <v>51</v>
      </c>
      <c r="M78" s="15" t="s">
        <v>52</v>
      </c>
      <c r="N78" t="s">
        <v>53</v>
      </c>
      <c r="O78" t="s">
        <v>755</v>
      </c>
      <c r="P78" t="s">
        <v>756</v>
      </c>
      <c r="Q78" t="s">
        <v>56</v>
      </c>
      <c r="R78" t="s">
        <v>757</v>
      </c>
      <c r="S78" s="21" t="s">
        <v>758</v>
      </c>
      <c r="T78" t="s">
        <v>759</v>
      </c>
      <c r="U78" t="s">
        <v>760</v>
      </c>
      <c r="Y78" t="s">
        <v>60</v>
      </c>
      <c r="AA78" s="15"/>
      <c r="AC78">
        <v>41.53246</v>
      </c>
      <c r="AD78">
        <v>-87.296840000000003</v>
      </c>
      <c r="AE78" t="s">
        <v>848</v>
      </c>
      <c r="AH78" t="s">
        <v>62</v>
      </c>
      <c r="AI78" t="s">
        <v>63</v>
      </c>
      <c r="AJ78" t="s">
        <v>849</v>
      </c>
      <c r="AK78" t="s">
        <v>850</v>
      </c>
      <c r="AM78" t="s">
        <v>851</v>
      </c>
      <c r="AN78" t="s">
        <v>852</v>
      </c>
      <c r="AO78" t="s">
        <v>853</v>
      </c>
      <c r="AP78" t="s">
        <v>68</v>
      </c>
      <c r="AR78" t="s">
        <v>854</v>
      </c>
      <c r="AS78" t="s">
        <v>855</v>
      </c>
      <c r="AT78" t="s">
        <v>856</v>
      </c>
      <c r="AW78" s="14" t="s">
        <v>72</v>
      </c>
      <c r="AX78" s="14" t="s">
        <v>73</v>
      </c>
      <c r="AY78" s="14" t="s">
        <v>74</v>
      </c>
    </row>
    <row r="79" spans="1:51" ht="15" customHeight="1" x14ac:dyDescent="0.4">
      <c r="A79" s="12">
        <v>2119</v>
      </c>
      <c r="B79" t="s">
        <v>857</v>
      </c>
      <c r="D79" t="s">
        <v>858</v>
      </c>
      <c r="E79" s="13"/>
      <c r="F79" s="41"/>
      <c r="G79" s="41"/>
      <c r="H79" s="41"/>
      <c r="I79" s="14" t="s">
        <v>49</v>
      </c>
      <c r="J79" s="15">
        <v>42949</v>
      </c>
      <c r="K79" t="s">
        <v>174</v>
      </c>
      <c r="L79" t="s">
        <v>51</v>
      </c>
      <c r="M79" s="15" t="s">
        <v>52</v>
      </c>
      <c r="N79" t="s">
        <v>53</v>
      </c>
      <c r="O79" t="s">
        <v>755</v>
      </c>
      <c r="P79" t="s">
        <v>756</v>
      </c>
      <c r="Q79" t="s">
        <v>56</v>
      </c>
      <c r="R79" t="s">
        <v>757</v>
      </c>
      <c r="S79" s="21" t="s">
        <v>758</v>
      </c>
      <c r="T79" t="s">
        <v>759</v>
      </c>
      <c r="U79" t="s">
        <v>760</v>
      </c>
      <c r="Y79" t="s">
        <v>78</v>
      </c>
      <c r="Z79" t="s">
        <v>79</v>
      </c>
      <c r="AA79" s="15">
        <v>45597</v>
      </c>
      <c r="AB79" t="s">
        <v>48</v>
      </c>
      <c r="AC79">
        <v>41.532389999999999</v>
      </c>
      <c r="AD79">
        <v>-87.297079999999994</v>
      </c>
      <c r="AE79" t="s">
        <v>859</v>
      </c>
      <c r="AH79" t="s">
        <v>62</v>
      </c>
      <c r="AI79" t="s">
        <v>63</v>
      </c>
      <c r="AJ79" t="s">
        <v>860</v>
      </c>
      <c r="AK79">
        <v>185834</v>
      </c>
      <c r="AM79" t="s">
        <v>861</v>
      </c>
      <c r="AN79" t="s">
        <v>862</v>
      </c>
      <c r="AO79" t="s">
        <v>863</v>
      </c>
      <c r="AP79" t="s">
        <v>68</v>
      </c>
      <c r="AR79" t="s">
        <v>864</v>
      </c>
      <c r="AS79" t="s">
        <v>865</v>
      </c>
      <c r="AT79" t="s">
        <v>866</v>
      </c>
      <c r="AU79" s="31" t="s">
        <v>867</v>
      </c>
      <c r="AV79" s="31" t="s">
        <v>85</v>
      </c>
      <c r="AW79" s="14" t="s">
        <v>72</v>
      </c>
      <c r="AX79" s="14" t="s">
        <v>73</v>
      </c>
      <c r="AY79" s="14" t="s">
        <v>74</v>
      </c>
    </row>
    <row r="80" spans="1:51" ht="15" customHeight="1" x14ac:dyDescent="0.4">
      <c r="A80" s="12">
        <v>2325</v>
      </c>
      <c r="B80" t="s">
        <v>868</v>
      </c>
      <c r="D80" t="s">
        <v>869</v>
      </c>
      <c r="E80" s="13"/>
      <c r="F80" s="45" t="s">
        <v>8104</v>
      </c>
      <c r="G80" s="45" t="s">
        <v>8105</v>
      </c>
      <c r="H80" s="45"/>
      <c r="I80" s="14" t="s">
        <v>49</v>
      </c>
      <c r="J80" s="15">
        <v>42963</v>
      </c>
      <c r="K80" t="s">
        <v>870</v>
      </c>
      <c r="L80" t="s">
        <v>51</v>
      </c>
      <c r="M80" s="15" t="s">
        <v>52</v>
      </c>
      <c r="N80" t="s">
        <v>53</v>
      </c>
      <c r="O80" t="s">
        <v>871</v>
      </c>
      <c r="P80" t="s">
        <v>872</v>
      </c>
      <c r="Q80" t="s">
        <v>56</v>
      </c>
      <c r="R80" t="s">
        <v>873</v>
      </c>
      <c r="S80" s="16" t="s">
        <v>874</v>
      </c>
      <c r="T80" t="s">
        <v>875</v>
      </c>
      <c r="Y80" t="s">
        <v>60</v>
      </c>
      <c r="AA80" s="15"/>
      <c r="AC80" s="17">
        <v>43.85351</v>
      </c>
      <c r="AD80" s="17">
        <v>-83.924679999999995</v>
      </c>
      <c r="AE80" t="s">
        <v>876</v>
      </c>
      <c r="AH80" t="s">
        <v>62</v>
      </c>
      <c r="AI80" t="s">
        <v>63</v>
      </c>
      <c r="AJ80" t="s">
        <v>877</v>
      </c>
      <c r="AK80">
        <v>185909</v>
      </c>
      <c r="AM80" t="s">
        <v>878</v>
      </c>
      <c r="AN80" t="s">
        <v>879</v>
      </c>
      <c r="AO80" t="s">
        <v>880</v>
      </c>
      <c r="AP80" t="s">
        <v>68</v>
      </c>
      <c r="AR80" t="s">
        <v>881</v>
      </c>
      <c r="AS80" t="s">
        <v>882</v>
      </c>
      <c r="AT80" t="s">
        <v>883</v>
      </c>
      <c r="AW80" s="14" t="s">
        <v>72</v>
      </c>
      <c r="AX80" s="14" t="s">
        <v>73</v>
      </c>
      <c r="AY80" s="14" t="s">
        <v>74</v>
      </c>
    </row>
    <row r="81" spans="1:51" ht="15" customHeight="1" x14ac:dyDescent="0.4">
      <c r="A81" s="12">
        <v>2326</v>
      </c>
      <c r="B81" t="s">
        <v>884</v>
      </c>
      <c r="D81" t="s">
        <v>885</v>
      </c>
      <c r="E81" s="13"/>
      <c r="F81" s="41" t="s">
        <v>8106</v>
      </c>
      <c r="G81" s="41"/>
      <c r="H81" s="41"/>
      <c r="I81" s="14" t="s">
        <v>886</v>
      </c>
      <c r="J81" s="15">
        <v>42963</v>
      </c>
      <c r="K81" t="s">
        <v>870</v>
      </c>
      <c r="L81" t="s">
        <v>51</v>
      </c>
      <c r="M81" s="15" t="s">
        <v>52</v>
      </c>
      <c r="N81" t="s">
        <v>53</v>
      </c>
      <c r="O81" t="s">
        <v>871</v>
      </c>
      <c r="P81" t="s">
        <v>872</v>
      </c>
      <c r="Q81" t="s">
        <v>56</v>
      </c>
      <c r="R81" t="s">
        <v>873</v>
      </c>
      <c r="S81" s="16" t="s">
        <v>874</v>
      </c>
      <c r="T81" t="s">
        <v>875</v>
      </c>
      <c r="Y81" t="s">
        <v>887</v>
      </c>
      <c r="Z81" t="s">
        <v>888</v>
      </c>
      <c r="AA81" s="15" t="s">
        <v>889</v>
      </c>
      <c r="AB81" t="s">
        <v>890</v>
      </c>
      <c r="AC81" s="17">
        <v>43.853230000000003</v>
      </c>
      <c r="AD81" s="17">
        <v>-83.923000000000002</v>
      </c>
      <c r="AE81" t="s">
        <v>891</v>
      </c>
      <c r="AH81" t="s">
        <v>62</v>
      </c>
      <c r="AI81" t="s">
        <v>63</v>
      </c>
      <c r="AJ81" t="s">
        <v>892</v>
      </c>
      <c r="AK81">
        <v>185760</v>
      </c>
      <c r="AM81" t="s">
        <v>893</v>
      </c>
      <c r="AN81" t="s">
        <v>894</v>
      </c>
      <c r="AO81" t="s">
        <v>895</v>
      </c>
      <c r="AP81" t="s">
        <v>68</v>
      </c>
      <c r="AR81" t="s">
        <v>896</v>
      </c>
      <c r="AS81" t="s">
        <v>897</v>
      </c>
      <c r="AT81" t="s">
        <v>898</v>
      </c>
      <c r="AU81" s="31" t="s">
        <v>899</v>
      </c>
      <c r="AV81" s="31" t="s">
        <v>85</v>
      </c>
      <c r="AW81" s="14" t="e">
        <v>#N/A</v>
      </c>
      <c r="AX81" s="14" t="e">
        <v>#N/A</v>
      </c>
      <c r="AY81" s="14" t="e">
        <v>#N/A</v>
      </c>
    </row>
    <row r="82" spans="1:51" ht="15" customHeight="1" x14ac:dyDescent="0.4">
      <c r="A82" s="12">
        <v>2327</v>
      </c>
      <c r="B82" t="s">
        <v>900</v>
      </c>
      <c r="D82" t="s">
        <v>901</v>
      </c>
      <c r="E82" s="13"/>
      <c r="I82" s="14" t="s">
        <v>49</v>
      </c>
      <c r="J82" s="15">
        <v>42963</v>
      </c>
      <c r="K82" t="s">
        <v>870</v>
      </c>
      <c r="L82" t="s">
        <v>51</v>
      </c>
      <c r="M82" s="15" t="s">
        <v>52</v>
      </c>
      <c r="N82" t="s">
        <v>53</v>
      </c>
      <c r="O82" t="s">
        <v>871</v>
      </c>
      <c r="P82" t="s">
        <v>872</v>
      </c>
      <c r="Q82" t="s">
        <v>56</v>
      </c>
      <c r="R82" t="s">
        <v>873</v>
      </c>
      <c r="S82" s="16" t="s">
        <v>874</v>
      </c>
      <c r="T82" t="s">
        <v>875</v>
      </c>
      <c r="X82" t="s">
        <v>902</v>
      </c>
      <c r="Y82" t="s">
        <v>60</v>
      </c>
      <c r="AA82" s="15"/>
      <c r="AC82" s="17">
        <v>43.853259999999999</v>
      </c>
      <c r="AD82" s="17">
        <v>-83.924940000000007</v>
      </c>
      <c r="AE82" t="s">
        <v>903</v>
      </c>
      <c r="AH82" t="s">
        <v>62</v>
      </c>
      <c r="AI82" t="s">
        <v>63</v>
      </c>
      <c r="AJ82" t="s">
        <v>904</v>
      </c>
      <c r="AK82">
        <v>185910</v>
      </c>
      <c r="AM82" t="s">
        <v>905</v>
      </c>
      <c r="AN82" t="s">
        <v>906</v>
      </c>
      <c r="AO82" t="s">
        <v>907</v>
      </c>
      <c r="AP82" t="s">
        <v>68</v>
      </c>
      <c r="AR82" t="s">
        <v>908</v>
      </c>
      <c r="AS82" t="s">
        <v>909</v>
      </c>
      <c r="AT82" t="s">
        <v>910</v>
      </c>
      <c r="AW82" s="14" t="s">
        <v>72</v>
      </c>
      <c r="AX82" s="14" t="s">
        <v>73</v>
      </c>
      <c r="AY82" s="14" t="s">
        <v>74</v>
      </c>
    </row>
    <row r="83" spans="1:51" ht="15" customHeight="1" x14ac:dyDescent="0.4">
      <c r="A83" s="12">
        <v>2328</v>
      </c>
      <c r="B83" t="s">
        <v>911</v>
      </c>
      <c r="D83" t="s">
        <v>912</v>
      </c>
      <c r="E83" s="13"/>
      <c r="F83" s="43" t="s">
        <v>49</v>
      </c>
      <c r="G83" s="43" t="s">
        <v>8107</v>
      </c>
      <c r="H83" s="43"/>
      <c r="I83" s="14" t="s">
        <v>49</v>
      </c>
      <c r="J83" s="15">
        <v>42963</v>
      </c>
      <c r="K83" t="s">
        <v>870</v>
      </c>
      <c r="L83" t="s">
        <v>51</v>
      </c>
      <c r="M83" s="15" t="s">
        <v>52</v>
      </c>
      <c r="N83" t="s">
        <v>53</v>
      </c>
      <c r="O83" t="s">
        <v>871</v>
      </c>
      <c r="P83" t="s">
        <v>872</v>
      </c>
      <c r="Q83" t="s">
        <v>56</v>
      </c>
      <c r="R83" t="s">
        <v>873</v>
      </c>
      <c r="S83" s="16" t="s">
        <v>913</v>
      </c>
      <c r="T83" t="s">
        <v>875</v>
      </c>
      <c r="Y83" t="s">
        <v>60</v>
      </c>
      <c r="AA83" s="15"/>
      <c r="AC83" s="17">
        <v>43.852580000000003</v>
      </c>
      <c r="AD83" s="17">
        <v>-83.924629999999993</v>
      </c>
      <c r="AE83" t="s">
        <v>914</v>
      </c>
      <c r="AH83" t="s">
        <v>62</v>
      </c>
      <c r="AI83" t="s">
        <v>63</v>
      </c>
      <c r="AJ83" t="s">
        <v>915</v>
      </c>
      <c r="AK83">
        <v>185911</v>
      </c>
      <c r="AM83" t="s">
        <v>916</v>
      </c>
      <c r="AN83" t="s">
        <v>917</v>
      </c>
      <c r="AO83" t="s">
        <v>918</v>
      </c>
      <c r="AP83" t="s">
        <v>68</v>
      </c>
      <c r="AR83" t="s">
        <v>919</v>
      </c>
      <c r="AS83" t="s">
        <v>920</v>
      </c>
      <c r="AT83" t="s">
        <v>921</v>
      </c>
      <c r="AW83" s="14" t="s">
        <v>72</v>
      </c>
      <c r="AX83" s="14" t="s">
        <v>73</v>
      </c>
      <c r="AY83" s="14" t="s">
        <v>74</v>
      </c>
    </row>
    <row r="84" spans="1:51" ht="15" customHeight="1" x14ac:dyDescent="0.4">
      <c r="A84" s="12">
        <v>2329</v>
      </c>
      <c r="B84" t="s">
        <v>922</v>
      </c>
      <c r="D84" t="s">
        <v>923</v>
      </c>
      <c r="E84" s="13"/>
      <c r="F84" s="41" t="s">
        <v>8106</v>
      </c>
      <c r="G84" s="41"/>
      <c r="H84" s="41"/>
      <c r="I84" s="14" t="s">
        <v>49</v>
      </c>
      <c r="J84" s="15">
        <v>42963</v>
      </c>
      <c r="K84" t="s">
        <v>870</v>
      </c>
      <c r="L84" t="s">
        <v>51</v>
      </c>
      <c r="M84" s="15" t="s">
        <v>52</v>
      </c>
      <c r="N84" t="s">
        <v>53</v>
      </c>
      <c r="O84" t="s">
        <v>871</v>
      </c>
      <c r="P84" t="s">
        <v>872</v>
      </c>
      <c r="Q84" t="s">
        <v>56</v>
      </c>
      <c r="R84" t="s">
        <v>873</v>
      </c>
      <c r="S84" s="16" t="s">
        <v>924</v>
      </c>
      <c r="T84" t="s">
        <v>875</v>
      </c>
      <c r="Y84" t="s">
        <v>60</v>
      </c>
      <c r="AA84" s="15"/>
      <c r="AC84" s="17">
        <v>43.850090000000002</v>
      </c>
      <c r="AD84" s="17">
        <v>-83.923749999999998</v>
      </c>
      <c r="AE84" t="s">
        <v>925</v>
      </c>
      <c r="AH84" t="s">
        <v>62</v>
      </c>
      <c r="AI84" t="s">
        <v>63</v>
      </c>
      <c r="AJ84" t="s">
        <v>926</v>
      </c>
      <c r="AK84">
        <v>185912</v>
      </c>
      <c r="AM84" t="s">
        <v>927</v>
      </c>
      <c r="AN84" t="s">
        <v>928</v>
      </c>
      <c r="AO84" t="s">
        <v>929</v>
      </c>
      <c r="AP84" t="s">
        <v>68</v>
      </c>
      <c r="AR84" t="s">
        <v>930</v>
      </c>
      <c r="AS84" t="s">
        <v>931</v>
      </c>
      <c r="AT84" t="s">
        <v>932</v>
      </c>
      <c r="AW84" s="14" t="s">
        <v>72</v>
      </c>
      <c r="AX84" s="14" t="s">
        <v>73</v>
      </c>
      <c r="AY84" s="14" t="s">
        <v>74</v>
      </c>
    </row>
    <row r="85" spans="1:51" ht="15" customHeight="1" x14ac:dyDescent="0.4">
      <c r="A85" s="12">
        <v>2330</v>
      </c>
      <c r="B85" t="s">
        <v>933</v>
      </c>
      <c r="D85" t="s">
        <v>934</v>
      </c>
      <c r="E85" s="13"/>
      <c r="F85" s="41"/>
      <c r="G85" s="41"/>
      <c r="H85" s="41"/>
      <c r="I85" s="14" t="s">
        <v>49</v>
      </c>
      <c r="J85" s="15">
        <v>42963</v>
      </c>
      <c r="K85" t="s">
        <v>870</v>
      </c>
      <c r="L85" t="s">
        <v>51</v>
      </c>
      <c r="M85" s="15" t="s">
        <v>52</v>
      </c>
      <c r="N85" t="s">
        <v>53</v>
      </c>
      <c r="O85" t="s">
        <v>871</v>
      </c>
      <c r="P85" t="s">
        <v>872</v>
      </c>
      <c r="Q85" t="s">
        <v>56</v>
      </c>
      <c r="R85" t="s">
        <v>873</v>
      </c>
      <c r="S85" s="16" t="s">
        <v>924</v>
      </c>
      <c r="T85" t="s">
        <v>875</v>
      </c>
      <c r="Y85" t="s">
        <v>60</v>
      </c>
      <c r="AA85" s="15"/>
      <c r="AC85" s="17">
        <v>43.849609999999998</v>
      </c>
      <c r="AD85" s="17">
        <v>-83.923469999999995</v>
      </c>
      <c r="AE85" t="s">
        <v>935</v>
      </c>
      <c r="AH85" t="s">
        <v>62</v>
      </c>
      <c r="AI85" t="s">
        <v>63</v>
      </c>
      <c r="AJ85" t="s">
        <v>936</v>
      </c>
      <c r="AK85">
        <v>185913</v>
      </c>
      <c r="AM85" t="s">
        <v>937</v>
      </c>
      <c r="AN85" t="s">
        <v>938</v>
      </c>
      <c r="AO85" t="s">
        <v>939</v>
      </c>
      <c r="AP85" t="s">
        <v>68</v>
      </c>
      <c r="AR85" t="s">
        <v>940</v>
      </c>
      <c r="AS85" t="s">
        <v>941</v>
      </c>
      <c r="AT85" t="s">
        <v>942</v>
      </c>
      <c r="AW85" s="14" t="s">
        <v>72</v>
      </c>
      <c r="AX85" s="14" t="s">
        <v>73</v>
      </c>
      <c r="AY85" s="14" t="s">
        <v>74</v>
      </c>
    </row>
    <row r="86" spans="1:51" ht="15" customHeight="1" x14ac:dyDescent="0.4">
      <c r="A86" s="12">
        <v>2331</v>
      </c>
      <c r="B86" t="s">
        <v>943</v>
      </c>
      <c r="D86" t="s">
        <v>944</v>
      </c>
      <c r="E86" s="13"/>
      <c r="I86" s="14" t="s">
        <v>49</v>
      </c>
      <c r="J86" s="15">
        <v>42963</v>
      </c>
      <c r="K86" t="s">
        <v>870</v>
      </c>
      <c r="L86" t="s">
        <v>51</v>
      </c>
      <c r="M86" s="15" t="s">
        <v>52</v>
      </c>
      <c r="N86" t="s">
        <v>53</v>
      </c>
      <c r="O86" t="s">
        <v>871</v>
      </c>
      <c r="P86" t="s">
        <v>872</v>
      </c>
      <c r="Q86" t="s">
        <v>56</v>
      </c>
      <c r="R86" t="s">
        <v>873</v>
      </c>
      <c r="S86" s="16" t="s">
        <v>924</v>
      </c>
      <c r="T86" t="s">
        <v>875</v>
      </c>
      <c r="Y86" t="s">
        <v>78</v>
      </c>
      <c r="Z86" t="s">
        <v>79</v>
      </c>
      <c r="AA86" s="15">
        <v>45597</v>
      </c>
      <c r="AB86" t="s">
        <v>48</v>
      </c>
      <c r="AC86" s="17">
        <v>43.848219999999998</v>
      </c>
      <c r="AD86" s="17">
        <v>-83.923850000000002</v>
      </c>
      <c r="AE86" t="s">
        <v>945</v>
      </c>
      <c r="AH86" t="s">
        <v>62</v>
      </c>
      <c r="AI86" t="s">
        <v>63</v>
      </c>
      <c r="AJ86" t="s">
        <v>946</v>
      </c>
      <c r="AK86">
        <v>185914</v>
      </c>
      <c r="AM86" t="s">
        <v>947</v>
      </c>
      <c r="AN86" t="s">
        <v>948</v>
      </c>
      <c r="AO86" t="s">
        <v>949</v>
      </c>
      <c r="AP86" t="s">
        <v>68</v>
      </c>
      <c r="AR86" t="s">
        <v>950</v>
      </c>
      <c r="AS86" t="s">
        <v>951</v>
      </c>
      <c r="AT86" t="s">
        <v>952</v>
      </c>
      <c r="AU86" s="31" t="s">
        <v>953</v>
      </c>
      <c r="AV86" s="31" t="s">
        <v>85</v>
      </c>
      <c r="AW86" s="14" t="s">
        <v>72</v>
      </c>
      <c r="AX86" s="14" t="s">
        <v>73</v>
      </c>
      <c r="AY86" s="14" t="s">
        <v>74</v>
      </c>
    </row>
    <row r="87" spans="1:51" ht="15" customHeight="1" x14ac:dyDescent="0.4">
      <c r="A87" s="12">
        <v>2332</v>
      </c>
      <c r="B87" t="s">
        <v>954</v>
      </c>
      <c r="D87" t="s">
        <v>955</v>
      </c>
      <c r="E87" s="13"/>
      <c r="F87" s="45" t="s">
        <v>49</v>
      </c>
      <c r="G87" s="58" t="s">
        <v>8108</v>
      </c>
      <c r="H87" s="45"/>
      <c r="I87" s="14" t="s">
        <v>49</v>
      </c>
      <c r="J87" s="15">
        <v>42963</v>
      </c>
      <c r="K87" t="s">
        <v>870</v>
      </c>
      <c r="L87" t="s">
        <v>51</v>
      </c>
      <c r="M87" s="15" t="s">
        <v>52</v>
      </c>
      <c r="N87" t="s">
        <v>53</v>
      </c>
      <c r="O87" t="s">
        <v>871</v>
      </c>
      <c r="P87" t="s">
        <v>872</v>
      </c>
      <c r="Q87" t="s">
        <v>56</v>
      </c>
      <c r="R87" t="s">
        <v>873</v>
      </c>
      <c r="S87" s="16" t="s">
        <v>874</v>
      </c>
      <c r="T87" t="s">
        <v>875</v>
      </c>
      <c r="Y87" t="s">
        <v>60</v>
      </c>
      <c r="AA87" s="15"/>
      <c r="AC87" s="17">
        <v>43.854259999999996</v>
      </c>
      <c r="AD87" s="17">
        <v>-83.924679999999995</v>
      </c>
      <c r="AE87" t="s">
        <v>956</v>
      </c>
      <c r="AH87" t="s">
        <v>62</v>
      </c>
      <c r="AI87" t="s">
        <v>63</v>
      </c>
      <c r="AJ87" t="s">
        <v>957</v>
      </c>
      <c r="AK87">
        <v>185915</v>
      </c>
      <c r="AM87" t="s">
        <v>958</v>
      </c>
      <c r="AN87" t="s">
        <v>959</v>
      </c>
      <c r="AO87" t="s">
        <v>960</v>
      </c>
      <c r="AP87" t="s">
        <v>68</v>
      </c>
      <c r="AR87" t="s">
        <v>961</v>
      </c>
      <c r="AS87" t="s">
        <v>962</v>
      </c>
      <c r="AT87" t="s">
        <v>963</v>
      </c>
      <c r="AW87" s="14" t="s">
        <v>72</v>
      </c>
      <c r="AX87" s="14" t="s">
        <v>73</v>
      </c>
      <c r="AY87" s="14" t="s">
        <v>74</v>
      </c>
    </row>
    <row r="88" spans="1:51" ht="15" customHeight="1" x14ac:dyDescent="0.4">
      <c r="A88" s="12">
        <v>2333</v>
      </c>
      <c r="B88" t="s">
        <v>964</v>
      </c>
      <c r="D88" t="s">
        <v>965</v>
      </c>
      <c r="E88" s="13"/>
      <c r="F88" s="45" t="s">
        <v>49</v>
      </c>
      <c r="G88" s="58" t="s">
        <v>8109</v>
      </c>
      <c r="H88" s="45"/>
      <c r="I88" s="14" t="s">
        <v>49</v>
      </c>
      <c r="J88" s="15">
        <v>42963</v>
      </c>
      <c r="K88" t="s">
        <v>870</v>
      </c>
      <c r="L88" t="s">
        <v>51</v>
      </c>
      <c r="M88" s="15" t="s">
        <v>52</v>
      </c>
      <c r="N88" t="s">
        <v>53</v>
      </c>
      <c r="O88" t="s">
        <v>871</v>
      </c>
      <c r="P88" t="s">
        <v>872</v>
      </c>
      <c r="Q88" t="s">
        <v>56</v>
      </c>
      <c r="R88" t="s">
        <v>873</v>
      </c>
      <c r="S88" s="16" t="s">
        <v>966</v>
      </c>
      <c r="T88" t="s">
        <v>875</v>
      </c>
      <c r="Y88" t="s">
        <v>60</v>
      </c>
      <c r="AA88" s="15"/>
      <c r="AC88" s="17">
        <v>43.855049999999999</v>
      </c>
      <c r="AD88" s="17">
        <v>-83.925020000000004</v>
      </c>
      <c r="AE88" t="s">
        <v>967</v>
      </c>
      <c r="AH88" t="s">
        <v>62</v>
      </c>
      <c r="AI88" t="s">
        <v>63</v>
      </c>
      <c r="AJ88" t="s">
        <v>968</v>
      </c>
      <c r="AK88">
        <v>185916</v>
      </c>
      <c r="AM88" t="s">
        <v>969</v>
      </c>
      <c r="AN88" t="s">
        <v>970</v>
      </c>
      <c r="AO88" t="s">
        <v>971</v>
      </c>
      <c r="AP88" t="s">
        <v>68</v>
      </c>
      <c r="AR88" t="s">
        <v>972</v>
      </c>
      <c r="AS88" t="s">
        <v>973</v>
      </c>
      <c r="AT88" t="s">
        <v>974</v>
      </c>
      <c r="AW88" s="14" t="s">
        <v>72</v>
      </c>
      <c r="AX88" s="14" t="s">
        <v>73</v>
      </c>
      <c r="AY88" s="14" t="s">
        <v>74</v>
      </c>
    </row>
    <row r="89" spans="1:51" ht="15" customHeight="1" x14ac:dyDescent="0.4">
      <c r="A89" s="12">
        <v>2334</v>
      </c>
      <c r="B89" t="s">
        <v>975</v>
      </c>
      <c r="D89" t="s">
        <v>976</v>
      </c>
      <c r="E89" s="13"/>
      <c r="F89" s="41"/>
      <c r="G89" s="41"/>
      <c r="H89" s="41"/>
      <c r="I89" s="14" t="s">
        <v>49</v>
      </c>
      <c r="J89" s="15">
        <v>42963</v>
      </c>
      <c r="K89" t="s">
        <v>870</v>
      </c>
      <c r="L89" t="s">
        <v>51</v>
      </c>
      <c r="M89" s="15" t="s">
        <v>52</v>
      </c>
      <c r="N89" t="s">
        <v>53</v>
      </c>
      <c r="O89" t="s">
        <v>871</v>
      </c>
      <c r="P89" t="s">
        <v>872</v>
      </c>
      <c r="Q89" t="s">
        <v>56</v>
      </c>
      <c r="R89" t="s">
        <v>873</v>
      </c>
      <c r="S89" s="16" t="s">
        <v>874</v>
      </c>
      <c r="T89" t="s">
        <v>875</v>
      </c>
      <c r="Y89" t="s">
        <v>60</v>
      </c>
      <c r="AA89" s="15"/>
      <c r="AC89" s="17">
        <v>43.856029999999997</v>
      </c>
      <c r="AD89" s="17">
        <v>-83.924869999999999</v>
      </c>
      <c r="AE89" t="s">
        <v>977</v>
      </c>
      <c r="AH89" t="s">
        <v>62</v>
      </c>
      <c r="AI89" t="s">
        <v>63</v>
      </c>
      <c r="AJ89" t="s">
        <v>978</v>
      </c>
      <c r="AK89">
        <v>185917</v>
      </c>
      <c r="AM89" t="s">
        <v>979</v>
      </c>
      <c r="AN89" t="s">
        <v>980</v>
      </c>
      <c r="AO89" t="s">
        <v>981</v>
      </c>
      <c r="AP89" t="s">
        <v>68</v>
      </c>
      <c r="AR89" t="s">
        <v>982</v>
      </c>
      <c r="AS89" t="s">
        <v>983</v>
      </c>
      <c r="AT89" t="s">
        <v>984</v>
      </c>
      <c r="AW89" s="14" t="s">
        <v>72</v>
      </c>
      <c r="AX89" s="14" t="s">
        <v>73</v>
      </c>
      <c r="AY89" s="14" t="s">
        <v>74</v>
      </c>
    </row>
    <row r="90" spans="1:51" ht="15" customHeight="1" x14ac:dyDescent="0.4">
      <c r="A90" s="12">
        <v>2335</v>
      </c>
      <c r="B90" t="s">
        <v>985</v>
      </c>
      <c r="D90" t="s">
        <v>986</v>
      </c>
      <c r="E90" s="13"/>
      <c r="F90" s="43" t="s">
        <v>49</v>
      </c>
      <c r="G90" s="43" t="s">
        <v>8110</v>
      </c>
      <c r="H90" s="43"/>
      <c r="I90" s="14" t="s">
        <v>49</v>
      </c>
      <c r="J90" s="15">
        <v>42963</v>
      </c>
      <c r="K90" t="s">
        <v>870</v>
      </c>
      <c r="L90" t="s">
        <v>51</v>
      </c>
      <c r="M90" s="15" t="s">
        <v>52</v>
      </c>
      <c r="N90" t="s">
        <v>53</v>
      </c>
      <c r="O90" t="s">
        <v>871</v>
      </c>
      <c r="P90" t="s">
        <v>872</v>
      </c>
      <c r="Q90" t="s">
        <v>56</v>
      </c>
      <c r="R90" t="s">
        <v>873</v>
      </c>
      <c r="S90" s="16" t="s">
        <v>874</v>
      </c>
      <c r="T90" t="s">
        <v>875</v>
      </c>
      <c r="Y90" t="s">
        <v>78</v>
      </c>
      <c r="Z90" t="s">
        <v>79</v>
      </c>
      <c r="AA90" s="15">
        <v>45597</v>
      </c>
      <c r="AB90" t="s">
        <v>48</v>
      </c>
      <c r="AC90" s="17">
        <v>43.857140000000001</v>
      </c>
      <c r="AD90" s="17">
        <v>-83.925240000000002</v>
      </c>
      <c r="AE90" t="s">
        <v>987</v>
      </c>
      <c r="AH90" t="s">
        <v>62</v>
      </c>
      <c r="AI90" t="s">
        <v>63</v>
      </c>
      <c r="AJ90" t="s">
        <v>988</v>
      </c>
      <c r="AK90">
        <v>185918</v>
      </c>
      <c r="AM90" t="s">
        <v>989</v>
      </c>
      <c r="AN90" t="s">
        <v>990</v>
      </c>
      <c r="AO90" t="s">
        <v>991</v>
      </c>
      <c r="AP90" t="s">
        <v>68</v>
      </c>
      <c r="AR90" t="s">
        <v>992</v>
      </c>
      <c r="AS90" t="s">
        <v>993</v>
      </c>
      <c r="AT90" t="s">
        <v>994</v>
      </c>
      <c r="AU90" s="31" t="s">
        <v>995</v>
      </c>
      <c r="AV90" s="31" t="s">
        <v>85</v>
      </c>
      <c r="AW90" s="14" t="s">
        <v>72</v>
      </c>
      <c r="AX90" s="14" t="s">
        <v>73</v>
      </c>
      <c r="AY90" s="14" t="s">
        <v>74</v>
      </c>
    </row>
    <row r="91" spans="1:51" ht="15" customHeight="1" x14ac:dyDescent="0.4">
      <c r="A91" s="12">
        <v>2424</v>
      </c>
      <c r="B91" t="s">
        <v>996</v>
      </c>
      <c r="D91" t="s">
        <v>997</v>
      </c>
      <c r="E91" s="13"/>
      <c r="F91" s="41"/>
      <c r="G91" s="41"/>
      <c r="H91" s="41"/>
      <c r="I91" s="14" t="s">
        <v>49</v>
      </c>
      <c r="J91" s="15">
        <v>42974</v>
      </c>
      <c r="K91" t="s">
        <v>998</v>
      </c>
      <c r="L91" t="s">
        <v>51</v>
      </c>
      <c r="M91" s="15" t="s">
        <v>52</v>
      </c>
      <c r="N91" t="s">
        <v>53</v>
      </c>
      <c r="O91" t="s">
        <v>999</v>
      </c>
      <c r="P91" t="s">
        <v>1000</v>
      </c>
      <c r="Q91" t="s">
        <v>56</v>
      </c>
      <c r="R91" s="16" t="s">
        <v>1001</v>
      </c>
      <c r="S91" s="21"/>
      <c r="T91" t="s">
        <v>1002</v>
      </c>
      <c r="U91" t="s">
        <v>1003</v>
      </c>
      <c r="Y91" t="s">
        <v>180</v>
      </c>
      <c r="Z91" t="s">
        <v>79</v>
      </c>
      <c r="AA91" s="15">
        <v>45597</v>
      </c>
      <c r="AB91" t="s">
        <v>48</v>
      </c>
      <c r="AC91" s="17">
        <v>44.363880000000002</v>
      </c>
      <c r="AD91" s="17">
        <v>-93.935429999999997</v>
      </c>
      <c r="AE91" t="s">
        <v>1004</v>
      </c>
      <c r="AH91" t="s">
        <v>62</v>
      </c>
      <c r="AI91" t="s">
        <v>63</v>
      </c>
      <c r="AJ91" t="s">
        <v>1005</v>
      </c>
      <c r="AK91">
        <v>186406</v>
      </c>
      <c r="AM91" t="s">
        <v>1006</v>
      </c>
      <c r="AN91" t="s">
        <v>1007</v>
      </c>
      <c r="AO91" t="s">
        <v>1008</v>
      </c>
      <c r="AP91" t="s">
        <v>68</v>
      </c>
      <c r="AR91" t="s">
        <v>1009</v>
      </c>
      <c r="AS91" t="s">
        <v>1010</v>
      </c>
      <c r="AT91" t="s">
        <v>1011</v>
      </c>
      <c r="AU91" s="31" t="s">
        <v>1012</v>
      </c>
      <c r="AV91" s="31" t="s">
        <v>85</v>
      </c>
      <c r="AW91" s="14" t="s">
        <v>72</v>
      </c>
      <c r="AX91" s="14" t="s">
        <v>73</v>
      </c>
      <c r="AY91" s="14" t="s">
        <v>74</v>
      </c>
    </row>
    <row r="92" spans="1:51" ht="15" customHeight="1" x14ac:dyDescent="0.4">
      <c r="A92" s="12">
        <v>2425</v>
      </c>
      <c r="B92" t="s">
        <v>1013</v>
      </c>
      <c r="D92" t="s">
        <v>1014</v>
      </c>
      <c r="E92" s="13"/>
      <c r="F92" s="41"/>
      <c r="G92" s="41"/>
      <c r="H92" s="41"/>
      <c r="I92" s="14" t="s">
        <v>49</v>
      </c>
      <c r="J92" s="15">
        <v>42974</v>
      </c>
      <c r="K92" t="s">
        <v>998</v>
      </c>
      <c r="L92" t="s">
        <v>51</v>
      </c>
      <c r="M92" s="15" t="s">
        <v>52</v>
      </c>
      <c r="N92" t="s">
        <v>53</v>
      </c>
      <c r="O92" t="s">
        <v>999</v>
      </c>
      <c r="P92" t="s">
        <v>1000</v>
      </c>
      <c r="Q92" t="s">
        <v>56</v>
      </c>
      <c r="R92" s="16" t="s">
        <v>1001</v>
      </c>
      <c r="S92" s="21"/>
      <c r="T92" t="s">
        <v>1002</v>
      </c>
      <c r="U92" t="s">
        <v>1003</v>
      </c>
      <c r="Y92" t="s">
        <v>60</v>
      </c>
      <c r="AA92" s="15"/>
      <c r="AH92" t="s">
        <v>62</v>
      </c>
      <c r="AI92" t="s">
        <v>63</v>
      </c>
      <c r="AJ92" t="s">
        <v>1015</v>
      </c>
      <c r="AK92" t="s">
        <v>1016</v>
      </c>
      <c r="AM92" t="s">
        <v>1017</v>
      </c>
      <c r="AN92" t="s">
        <v>1018</v>
      </c>
      <c r="AO92" t="s">
        <v>1019</v>
      </c>
      <c r="AP92" t="s">
        <v>68</v>
      </c>
      <c r="AR92" t="s">
        <v>1020</v>
      </c>
      <c r="AS92" t="s">
        <v>1021</v>
      </c>
      <c r="AT92" t="s">
        <v>1022</v>
      </c>
      <c r="AW92" s="14" t="s">
        <v>72</v>
      </c>
      <c r="AX92" s="14" t="s">
        <v>73</v>
      </c>
      <c r="AY92" s="14" t="s">
        <v>74</v>
      </c>
    </row>
    <row r="93" spans="1:51" ht="15" customHeight="1" x14ac:dyDescent="0.4">
      <c r="A93" s="12">
        <v>2426</v>
      </c>
      <c r="B93" t="s">
        <v>1023</v>
      </c>
      <c r="D93" t="s">
        <v>1024</v>
      </c>
      <c r="E93" s="13"/>
      <c r="F93" s="41"/>
      <c r="G93" s="41"/>
      <c r="H93" s="41"/>
      <c r="I93" s="14" t="s">
        <v>49</v>
      </c>
      <c r="J93" s="15">
        <v>42974</v>
      </c>
      <c r="K93" t="s">
        <v>998</v>
      </c>
      <c r="L93" t="s">
        <v>51</v>
      </c>
      <c r="M93" s="15" t="s">
        <v>52</v>
      </c>
      <c r="N93" t="s">
        <v>53</v>
      </c>
      <c r="O93" t="s">
        <v>999</v>
      </c>
      <c r="P93" t="s">
        <v>1000</v>
      </c>
      <c r="Q93" t="s">
        <v>56</v>
      </c>
      <c r="R93" s="16" t="s">
        <v>1001</v>
      </c>
      <c r="S93" s="21"/>
      <c r="T93" t="s">
        <v>1002</v>
      </c>
      <c r="U93" t="s">
        <v>1003</v>
      </c>
      <c r="Y93" t="s">
        <v>60</v>
      </c>
      <c r="AA93" s="15"/>
      <c r="AH93" t="s">
        <v>62</v>
      </c>
      <c r="AI93" t="s">
        <v>63</v>
      </c>
      <c r="AJ93" t="s">
        <v>1025</v>
      </c>
      <c r="AK93" t="s">
        <v>1026</v>
      </c>
      <c r="AM93" t="s">
        <v>1027</v>
      </c>
      <c r="AN93" t="s">
        <v>1028</v>
      </c>
      <c r="AO93" t="s">
        <v>1029</v>
      </c>
      <c r="AP93" t="s">
        <v>68</v>
      </c>
      <c r="AR93" t="s">
        <v>1030</v>
      </c>
      <c r="AS93" t="s">
        <v>1031</v>
      </c>
      <c r="AT93" t="s">
        <v>1032</v>
      </c>
      <c r="AW93" s="14" t="s">
        <v>72</v>
      </c>
      <c r="AX93" s="14" t="s">
        <v>73</v>
      </c>
      <c r="AY93" s="14" t="s">
        <v>74</v>
      </c>
    </row>
    <row r="94" spans="1:51" ht="15" customHeight="1" x14ac:dyDescent="0.4">
      <c r="A94" s="12">
        <v>2427</v>
      </c>
      <c r="B94" t="s">
        <v>1033</v>
      </c>
      <c r="D94" t="s">
        <v>1034</v>
      </c>
      <c r="E94" s="13"/>
      <c r="F94" s="41"/>
      <c r="G94" s="41"/>
      <c r="H94" s="41"/>
      <c r="I94" s="14" t="s">
        <v>49</v>
      </c>
      <c r="J94" s="15">
        <v>42974</v>
      </c>
      <c r="K94" t="s">
        <v>998</v>
      </c>
      <c r="L94" t="s">
        <v>51</v>
      </c>
      <c r="M94" s="15" t="s">
        <v>52</v>
      </c>
      <c r="N94" t="s">
        <v>53</v>
      </c>
      <c r="O94" t="s">
        <v>999</v>
      </c>
      <c r="P94" t="s">
        <v>1000</v>
      </c>
      <c r="Q94" t="s">
        <v>56</v>
      </c>
      <c r="R94" s="16" t="s">
        <v>1001</v>
      </c>
      <c r="S94" s="21"/>
      <c r="T94" t="s">
        <v>1002</v>
      </c>
      <c r="U94" t="s">
        <v>1003</v>
      </c>
      <c r="Y94" t="s">
        <v>78</v>
      </c>
      <c r="Z94" t="s">
        <v>1035</v>
      </c>
      <c r="AA94" s="15">
        <v>45597</v>
      </c>
      <c r="AB94" t="s">
        <v>48</v>
      </c>
      <c r="AH94" t="s">
        <v>62</v>
      </c>
      <c r="AI94" t="s">
        <v>63</v>
      </c>
      <c r="AJ94" t="s">
        <v>1036</v>
      </c>
      <c r="AK94">
        <v>186382</v>
      </c>
      <c r="AM94" t="s">
        <v>1037</v>
      </c>
      <c r="AN94" t="s">
        <v>1038</v>
      </c>
      <c r="AO94" t="s">
        <v>1039</v>
      </c>
      <c r="AP94" t="s">
        <v>68</v>
      </c>
      <c r="AR94" t="s">
        <v>1040</v>
      </c>
      <c r="AS94" t="s">
        <v>1041</v>
      </c>
      <c r="AT94" t="s">
        <v>1042</v>
      </c>
      <c r="AU94" s="31" t="s">
        <v>1043</v>
      </c>
      <c r="AV94" s="31" t="s">
        <v>85</v>
      </c>
      <c r="AW94" s="14" t="s">
        <v>72</v>
      </c>
      <c r="AX94" s="14" t="s">
        <v>73</v>
      </c>
      <c r="AY94" s="14" t="s">
        <v>74</v>
      </c>
    </row>
    <row r="95" spans="1:51" ht="15" customHeight="1" x14ac:dyDescent="0.4">
      <c r="A95" s="12">
        <v>2428</v>
      </c>
      <c r="B95" t="s">
        <v>1044</v>
      </c>
      <c r="D95" t="s">
        <v>1045</v>
      </c>
      <c r="E95" s="13"/>
      <c r="F95" s="41"/>
      <c r="G95" s="41"/>
      <c r="H95" s="41"/>
      <c r="I95" s="14" t="s">
        <v>49</v>
      </c>
      <c r="J95" s="15">
        <v>42974</v>
      </c>
      <c r="K95" t="s">
        <v>998</v>
      </c>
      <c r="L95" t="s">
        <v>51</v>
      </c>
      <c r="M95" s="15" t="s">
        <v>52</v>
      </c>
      <c r="N95" t="s">
        <v>53</v>
      </c>
      <c r="O95" t="s">
        <v>999</v>
      </c>
      <c r="P95" t="s">
        <v>1000</v>
      </c>
      <c r="Q95" t="s">
        <v>56</v>
      </c>
      <c r="R95" s="16" t="s">
        <v>1001</v>
      </c>
      <c r="S95" s="21"/>
      <c r="T95" t="s">
        <v>1002</v>
      </c>
      <c r="U95" t="s">
        <v>1003</v>
      </c>
      <c r="Y95" t="s">
        <v>60</v>
      </c>
      <c r="AA95" s="15"/>
      <c r="AC95">
        <v>44.364130000000003</v>
      </c>
      <c r="AD95">
        <v>-93.935509999999994</v>
      </c>
      <c r="AE95" t="s">
        <v>1046</v>
      </c>
      <c r="AH95" t="s">
        <v>62</v>
      </c>
      <c r="AI95" t="s">
        <v>63</v>
      </c>
      <c r="AJ95" t="s">
        <v>1047</v>
      </c>
      <c r="AK95" t="s">
        <v>1048</v>
      </c>
      <c r="AM95" t="s">
        <v>1049</v>
      </c>
      <c r="AN95" t="s">
        <v>1050</v>
      </c>
      <c r="AO95" t="s">
        <v>1051</v>
      </c>
      <c r="AP95" t="s">
        <v>68</v>
      </c>
      <c r="AR95" t="s">
        <v>1052</v>
      </c>
      <c r="AS95" t="s">
        <v>1053</v>
      </c>
      <c r="AT95" t="s">
        <v>1054</v>
      </c>
      <c r="AW95" s="14" t="s">
        <v>72</v>
      </c>
      <c r="AX95" s="14" t="s">
        <v>73</v>
      </c>
      <c r="AY95" s="14" t="s">
        <v>74</v>
      </c>
    </row>
    <row r="96" spans="1:51" ht="15" customHeight="1" x14ac:dyDescent="0.4">
      <c r="A96" s="12">
        <v>2429</v>
      </c>
      <c r="B96" t="s">
        <v>1055</v>
      </c>
      <c r="D96" t="s">
        <v>1056</v>
      </c>
      <c r="E96" s="13"/>
      <c r="F96" s="41"/>
      <c r="G96" s="41"/>
      <c r="H96" s="41"/>
      <c r="I96" s="14" t="s">
        <v>49</v>
      </c>
      <c r="J96" s="15">
        <v>42974</v>
      </c>
      <c r="K96" t="s">
        <v>998</v>
      </c>
      <c r="L96" t="s">
        <v>51</v>
      </c>
      <c r="M96" s="15" t="s">
        <v>52</v>
      </c>
      <c r="N96" t="s">
        <v>53</v>
      </c>
      <c r="O96" t="s">
        <v>999</v>
      </c>
      <c r="P96" t="s">
        <v>1000</v>
      </c>
      <c r="Q96" t="s">
        <v>56</v>
      </c>
      <c r="R96" s="16" t="s">
        <v>1001</v>
      </c>
      <c r="S96" s="21"/>
      <c r="T96" t="s">
        <v>1002</v>
      </c>
      <c r="U96" t="s">
        <v>1003</v>
      </c>
      <c r="Y96" t="s">
        <v>60</v>
      </c>
      <c r="AA96" s="15"/>
      <c r="AH96" t="s">
        <v>62</v>
      </c>
      <c r="AI96" t="s">
        <v>63</v>
      </c>
      <c r="AJ96" t="s">
        <v>1057</v>
      </c>
      <c r="AK96" t="s">
        <v>1058</v>
      </c>
      <c r="AM96" t="s">
        <v>1059</v>
      </c>
      <c r="AN96" t="s">
        <v>1060</v>
      </c>
      <c r="AO96" t="s">
        <v>1061</v>
      </c>
      <c r="AP96" t="s">
        <v>68</v>
      </c>
      <c r="AR96" t="s">
        <v>1062</v>
      </c>
      <c r="AS96" t="s">
        <v>1063</v>
      </c>
      <c r="AT96" t="s">
        <v>1064</v>
      </c>
      <c r="AW96" s="14" t="s">
        <v>72</v>
      </c>
      <c r="AX96" s="14" t="s">
        <v>73</v>
      </c>
      <c r="AY96" s="14" t="s">
        <v>74</v>
      </c>
    </row>
    <row r="97" spans="1:51" ht="15" customHeight="1" x14ac:dyDescent="0.4">
      <c r="A97" s="12">
        <v>2430</v>
      </c>
      <c r="B97" t="s">
        <v>1065</v>
      </c>
      <c r="D97" t="s">
        <v>1066</v>
      </c>
      <c r="E97" s="13"/>
      <c r="F97" s="41"/>
      <c r="G97" s="41"/>
      <c r="H97" s="41"/>
      <c r="I97" s="14" t="s">
        <v>49</v>
      </c>
      <c r="J97" s="15">
        <v>42974</v>
      </c>
      <c r="K97" t="s">
        <v>998</v>
      </c>
      <c r="L97" t="s">
        <v>51</v>
      </c>
      <c r="M97" s="15" t="s">
        <v>52</v>
      </c>
      <c r="N97" t="s">
        <v>53</v>
      </c>
      <c r="O97" t="s">
        <v>999</v>
      </c>
      <c r="P97" t="s">
        <v>1000</v>
      </c>
      <c r="Q97" t="s">
        <v>56</v>
      </c>
      <c r="R97" s="16" t="s">
        <v>1001</v>
      </c>
      <c r="S97" s="21"/>
      <c r="T97" t="s">
        <v>1002</v>
      </c>
      <c r="U97" t="s">
        <v>1003</v>
      </c>
      <c r="Y97" t="s">
        <v>78</v>
      </c>
      <c r="Z97" t="s">
        <v>79</v>
      </c>
      <c r="AA97" s="15">
        <v>45597</v>
      </c>
      <c r="AB97" t="s">
        <v>48</v>
      </c>
      <c r="AH97" t="s">
        <v>62</v>
      </c>
      <c r="AI97" t="s">
        <v>63</v>
      </c>
      <c r="AJ97" t="s">
        <v>1067</v>
      </c>
      <c r="AK97">
        <v>186094</v>
      </c>
      <c r="AM97" t="s">
        <v>1068</v>
      </c>
      <c r="AN97" t="s">
        <v>1069</v>
      </c>
      <c r="AO97" t="s">
        <v>1070</v>
      </c>
      <c r="AP97" t="s">
        <v>68</v>
      </c>
      <c r="AR97" t="s">
        <v>1071</v>
      </c>
      <c r="AS97" t="s">
        <v>1072</v>
      </c>
      <c r="AT97" t="s">
        <v>1073</v>
      </c>
      <c r="AU97" s="31" t="s">
        <v>1074</v>
      </c>
      <c r="AV97" s="31" t="s">
        <v>85</v>
      </c>
      <c r="AW97" s="14" t="s">
        <v>72</v>
      </c>
      <c r="AX97" s="14" t="s">
        <v>73</v>
      </c>
      <c r="AY97" s="14" t="s">
        <v>74</v>
      </c>
    </row>
    <row r="98" spans="1:51" ht="15" customHeight="1" x14ac:dyDescent="0.4">
      <c r="A98" s="12">
        <v>2431</v>
      </c>
      <c r="B98" t="s">
        <v>1075</v>
      </c>
      <c r="D98" t="s">
        <v>1076</v>
      </c>
      <c r="E98" s="13"/>
      <c r="F98" s="41"/>
      <c r="G98" s="41"/>
      <c r="H98" s="41"/>
      <c r="I98" s="14" t="s">
        <v>49</v>
      </c>
      <c r="J98" s="15">
        <v>42974</v>
      </c>
      <c r="K98" t="s">
        <v>998</v>
      </c>
      <c r="L98" t="s">
        <v>51</v>
      </c>
      <c r="M98" s="15" t="s">
        <v>52</v>
      </c>
      <c r="N98" t="s">
        <v>53</v>
      </c>
      <c r="O98" t="s">
        <v>999</v>
      </c>
      <c r="P98" t="s">
        <v>1000</v>
      </c>
      <c r="Q98" t="s">
        <v>56</v>
      </c>
      <c r="R98" s="16" t="s">
        <v>1001</v>
      </c>
      <c r="S98" s="21"/>
      <c r="T98" t="s">
        <v>1002</v>
      </c>
      <c r="U98" t="s">
        <v>1003</v>
      </c>
      <c r="Y98" t="s">
        <v>60</v>
      </c>
      <c r="AA98" s="15"/>
      <c r="AH98" t="s">
        <v>62</v>
      </c>
      <c r="AI98" t="s">
        <v>63</v>
      </c>
      <c r="AJ98" t="s">
        <v>1077</v>
      </c>
      <c r="AK98" t="s">
        <v>1078</v>
      </c>
      <c r="AM98" t="s">
        <v>1079</v>
      </c>
      <c r="AN98" t="s">
        <v>1080</v>
      </c>
      <c r="AO98" t="s">
        <v>1081</v>
      </c>
      <c r="AP98" t="s">
        <v>68</v>
      </c>
      <c r="AR98" t="s">
        <v>1082</v>
      </c>
      <c r="AS98" t="s">
        <v>1083</v>
      </c>
      <c r="AT98" t="s">
        <v>1084</v>
      </c>
      <c r="AW98" s="14" t="s">
        <v>72</v>
      </c>
      <c r="AX98" s="14" t="s">
        <v>73</v>
      </c>
      <c r="AY98" s="14" t="s">
        <v>74</v>
      </c>
    </row>
    <row r="99" spans="1:51" ht="15" customHeight="1" x14ac:dyDescent="0.4">
      <c r="A99" s="12">
        <v>2432</v>
      </c>
      <c r="B99" t="s">
        <v>1085</v>
      </c>
      <c r="D99" t="s">
        <v>1086</v>
      </c>
      <c r="E99" s="13"/>
      <c r="F99" s="41"/>
      <c r="G99" s="41"/>
      <c r="H99" s="41"/>
      <c r="I99" s="14" t="s">
        <v>49</v>
      </c>
      <c r="J99" s="15">
        <v>42974</v>
      </c>
      <c r="K99" t="s">
        <v>998</v>
      </c>
      <c r="L99" t="s">
        <v>51</v>
      </c>
      <c r="M99" s="15" t="s">
        <v>52</v>
      </c>
      <c r="N99" t="s">
        <v>53</v>
      </c>
      <c r="O99" t="s">
        <v>999</v>
      </c>
      <c r="P99" t="s">
        <v>1000</v>
      </c>
      <c r="Q99" t="s">
        <v>56</v>
      </c>
      <c r="R99" s="16" t="s">
        <v>1001</v>
      </c>
      <c r="S99" s="21"/>
      <c r="T99" t="s">
        <v>1002</v>
      </c>
      <c r="U99" t="s">
        <v>1003</v>
      </c>
      <c r="Y99" t="s">
        <v>60</v>
      </c>
      <c r="AA99" s="15"/>
      <c r="AC99">
        <v>44.363889999999998</v>
      </c>
      <c r="AD99">
        <v>-93.935389999999998</v>
      </c>
      <c r="AE99" t="s">
        <v>1087</v>
      </c>
      <c r="AH99" t="s">
        <v>62</v>
      </c>
      <c r="AI99" t="s">
        <v>63</v>
      </c>
      <c r="AJ99" t="s">
        <v>1088</v>
      </c>
      <c r="AK99" t="s">
        <v>1089</v>
      </c>
      <c r="AM99" t="s">
        <v>1090</v>
      </c>
      <c r="AN99" t="s">
        <v>1091</v>
      </c>
      <c r="AO99" t="s">
        <v>1092</v>
      </c>
      <c r="AP99" t="s">
        <v>68</v>
      </c>
      <c r="AR99" t="s">
        <v>1093</v>
      </c>
      <c r="AS99" t="s">
        <v>1094</v>
      </c>
      <c r="AT99" t="s">
        <v>1095</v>
      </c>
      <c r="AW99" s="14" t="s">
        <v>72</v>
      </c>
      <c r="AX99" s="14" t="s">
        <v>73</v>
      </c>
      <c r="AY99" s="14" t="s">
        <v>74</v>
      </c>
    </row>
    <row r="100" spans="1:51" ht="15" customHeight="1" x14ac:dyDescent="0.4">
      <c r="A100" s="12">
        <v>2433</v>
      </c>
      <c r="B100" t="s">
        <v>1096</v>
      </c>
      <c r="D100" t="s">
        <v>1097</v>
      </c>
      <c r="E100" s="13"/>
      <c r="F100" s="41"/>
      <c r="G100" s="41"/>
      <c r="H100" s="41"/>
      <c r="I100" s="14" t="s">
        <v>49</v>
      </c>
      <c r="J100" s="15">
        <v>42975</v>
      </c>
      <c r="K100" t="s">
        <v>998</v>
      </c>
      <c r="L100" t="s">
        <v>51</v>
      </c>
      <c r="M100" s="15" t="s">
        <v>52</v>
      </c>
      <c r="N100" t="s">
        <v>53</v>
      </c>
      <c r="O100" t="s">
        <v>999</v>
      </c>
      <c r="P100" t="s">
        <v>1098</v>
      </c>
      <c r="Q100" t="s">
        <v>56</v>
      </c>
      <c r="R100" s="16" t="s">
        <v>1099</v>
      </c>
      <c r="S100" s="21"/>
      <c r="T100" t="s">
        <v>1100</v>
      </c>
      <c r="Y100" t="s">
        <v>78</v>
      </c>
      <c r="Z100" t="s">
        <v>79</v>
      </c>
      <c r="AA100" s="15">
        <v>45597</v>
      </c>
      <c r="AB100" t="s">
        <v>48</v>
      </c>
      <c r="AC100">
        <v>45.53</v>
      </c>
      <c r="AD100">
        <v>-94.232910000000004</v>
      </c>
      <c r="AE100" t="s">
        <v>1101</v>
      </c>
      <c r="AH100" t="s">
        <v>62</v>
      </c>
      <c r="AI100" t="s">
        <v>63</v>
      </c>
      <c r="AJ100" t="s">
        <v>1102</v>
      </c>
      <c r="AK100">
        <v>185922</v>
      </c>
      <c r="AM100" t="s">
        <v>1103</v>
      </c>
      <c r="AN100" t="s">
        <v>1104</v>
      </c>
      <c r="AO100" t="s">
        <v>1105</v>
      </c>
      <c r="AP100" t="s">
        <v>68</v>
      </c>
      <c r="AR100" t="s">
        <v>1106</v>
      </c>
      <c r="AS100" t="s">
        <v>1107</v>
      </c>
      <c r="AT100" t="s">
        <v>1108</v>
      </c>
      <c r="AU100" s="31" t="s">
        <v>1109</v>
      </c>
      <c r="AV100" s="31" t="s">
        <v>85</v>
      </c>
      <c r="AW100" s="14" t="s">
        <v>72</v>
      </c>
      <c r="AX100" s="14" t="s">
        <v>73</v>
      </c>
      <c r="AY100" s="14" t="s">
        <v>74</v>
      </c>
    </row>
    <row r="101" spans="1:51" ht="15" customHeight="1" x14ac:dyDescent="0.4">
      <c r="A101" s="12">
        <v>2434</v>
      </c>
      <c r="B101" t="s">
        <v>1110</v>
      </c>
      <c r="D101" t="s">
        <v>1111</v>
      </c>
      <c r="E101" s="13"/>
      <c r="F101" s="41"/>
      <c r="G101" s="41"/>
      <c r="H101" s="41"/>
      <c r="I101" s="14" t="s">
        <v>49</v>
      </c>
      <c r="J101" s="15">
        <v>42975</v>
      </c>
      <c r="K101" t="s">
        <v>998</v>
      </c>
      <c r="L101" t="s">
        <v>51</v>
      </c>
      <c r="M101" s="15" t="s">
        <v>52</v>
      </c>
      <c r="N101" t="s">
        <v>53</v>
      </c>
      <c r="O101" t="s">
        <v>999</v>
      </c>
      <c r="P101" t="s">
        <v>1098</v>
      </c>
      <c r="Q101" t="s">
        <v>56</v>
      </c>
      <c r="R101" s="16" t="s">
        <v>1099</v>
      </c>
      <c r="S101" s="21"/>
      <c r="T101" t="s">
        <v>1100</v>
      </c>
      <c r="Y101" t="s">
        <v>60</v>
      </c>
      <c r="AA101" s="15"/>
      <c r="AC101">
        <v>45.529890000000002</v>
      </c>
      <c r="AD101">
        <v>-94.234070000000003</v>
      </c>
      <c r="AE101" t="s">
        <v>1112</v>
      </c>
      <c r="AH101" t="s">
        <v>62</v>
      </c>
      <c r="AI101" t="s">
        <v>63</v>
      </c>
      <c r="AJ101" t="s">
        <v>1113</v>
      </c>
      <c r="AK101" t="s">
        <v>1114</v>
      </c>
      <c r="AM101" t="s">
        <v>1115</v>
      </c>
      <c r="AN101" t="s">
        <v>1116</v>
      </c>
      <c r="AO101" t="s">
        <v>1117</v>
      </c>
      <c r="AP101" t="s">
        <v>68</v>
      </c>
      <c r="AR101" t="s">
        <v>1118</v>
      </c>
      <c r="AS101" t="s">
        <v>1119</v>
      </c>
      <c r="AT101" t="s">
        <v>1120</v>
      </c>
      <c r="AW101" s="14" t="s">
        <v>72</v>
      </c>
      <c r="AX101" s="14" t="s">
        <v>73</v>
      </c>
      <c r="AY101" s="14" t="s">
        <v>74</v>
      </c>
    </row>
    <row r="102" spans="1:51" ht="15" customHeight="1" x14ac:dyDescent="0.4">
      <c r="A102" s="12">
        <v>2435</v>
      </c>
      <c r="B102" t="s">
        <v>1121</v>
      </c>
      <c r="D102" t="s">
        <v>1122</v>
      </c>
      <c r="E102" s="13"/>
      <c r="F102" s="41"/>
      <c r="G102" s="41"/>
      <c r="H102" s="41"/>
      <c r="I102" s="14" t="s">
        <v>49</v>
      </c>
      <c r="J102" s="15">
        <v>42975</v>
      </c>
      <c r="K102" t="s">
        <v>998</v>
      </c>
      <c r="L102" t="s">
        <v>51</v>
      </c>
      <c r="M102" s="15" t="s">
        <v>52</v>
      </c>
      <c r="N102" t="s">
        <v>53</v>
      </c>
      <c r="O102" t="s">
        <v>999</v>
      </c>
      <c r="P102" t="s">
        <v>1098</v>
      </c>
      <c r="Q102" t="s">
        <v>56</v>
      </c>
      <c r="R102" s="16" t="s">
        <v>1099</v>
      </c>
      <c r="S102" s="21"/>
      <c r="T102" t="s">
        <v>1100</v>
      </c>
      <c r="Y102" t="s">
        <v>60</v>
      </c>
      <c r="AA102" s="15"/>
      <c r="AC102">
        <v>45.530009999999997</v>
      </c>
      <c r="AD102">
        <v>-94.235330000000005</v>
      </c>
      <c r="AE102" t="s">
        <v>1123</v>
      </c>
      <c r="AH102" t="s">
        <v>62</v>
      </c>
      <c r="AI102" t="s">
        <v>63</v>
      </c>
      <c r="AJ102" t="s">
        <v>1124</v>
      </c>
      <c r="AK102" t="s">
        <v>1125</v>
      </c>
      <c r="AM102" t="s">
        <v>1126</v>
      </c>
      <c r="AN102" t="s">
        <v>1127</v>
      </c>
      <c r="AO102" t="s">
        <v>1128</v>
      </c>
      <c r="AP102" t="s">
        <v>68</v>
      </c>
      <c r="AR102" t="s">
        <v>1129</v>
      </c>
      <c r="AS102" t="s">
        <v>1130</v>
      </c>
      <c r="AT102" t="s">
        <v>1131</v>
      </c>
      <c r="AW102" s="14" t="s">
        <v>72</v>
      </c>
      <c r="AX102" s="14" t="s">
        <v>73</v>
      </c>
      <c r="AY102" s="14" t="s">
        <v>74</v>
      </c>
    </row>
    <row r="103" spans="1:51" ht="15" customHeight="1" x14ac:dyDescent="0.4">
      <c r="A103" s="12">
        <v>2436</v>
      </c>
      <c r="B103" t="s">
        <v>1132</v>
      </c>
      <c r="D103" t="s">
        <v>1133</v>
      </c>
      <c r="E103" s="13"/>
      <c r="F103" s="41"/>
      <c r="G103" s="41"/>
      <c r="H103" s="41"/>
      <c r="I103" s="14" t="s">
        <v>49</v>
      </c>
      <c r="J103" s="15">
        <v>42975</v>
      </c>
      <c r="K103" t="s">
        <v>998</v>
      </c>
      <c r="L103" t="s">
        <v>51</v>
      </c>
      <c r="M103" s="15" t="s">
        <v>52</v>
      </c>
      <c r="N103" t="s">
        <v>53</v>
      </c>
      <c r="O103" t="s">
        <v>999</v>
      </c>
      <c r="P103" t="s">
        <v>1098</v>
      </c>
      <c r="Q103" t="s">
        <v>56</v>
      </c>
      <c r="R103" s="16" t="s">
        <v>1099</v>
      </c>
      <c r="S103" s="21"/>
      <c r="T103" t="s">
        <v>1100</v>
      </c>
      <c r="Y103" t="s">
        <v>78</v>
      </c>
      <c r="Z103" t="s">
        <v>562</v>
      </c>
      <c r="AA103" s="15">
        <v>45597</v>
      </c>
      <c r="AB103" t="s">
        <v>48</v>
      </c>
      <c r="AC103">
        <v>45.529969999999999</v>
      </c>
      <c r="AD103">
        <v>-94.236440000000002</v>
      </c>
      <c r="AE103" t="s">
        <v>1134</v>
      </c>
      <c r="AH103" t="s">
        <v>62</v>
      </c>
      <c r="AI103" t="s">
        <v>63</v>
      </c>
      <c r="AJ103" t="s">
        <v>1135</v>
      </c>
      <c r="AK103">
        <v>186098</v>
      </c>
      <c r="AM103" t="s">
        <v>1136</v>
      </c>
      <c r="AN103" t="s">
        <v>1137</v>
      </c>
      <c r="AO103" t="s">
        <v>1138</v>
      </c>
      <c r="AP103" t="s">
        <v>68</v>
      </c>
      <c r="AR103" t="s">
        <v>1139</v>
      </c>
      <c r="AS103" t="s">
        <v>1140</v>
      </c>
      <c r="AT103" t="s">
        <v>1141</v>
      </c>
      <c r="AU103" s="31" t="s">
        <v>1142</v>
      </c>
      <c r="AV103" s="31" t="s">
        <v>85</v>
      </c>
      <c r="AW103" s="14" t="s">
        <v>72</v>
      </c>
      <c r="AX103" s="14" t="s">
        <v>73</v>
      </c>
      <c r="AY103" s="14" t="s">
        <v>74</v>
      </c>
    </row>
    <row r="104" spans="1:51" ht="15" customHeight="1" x14ac:dyDescent="0.4">
      <c r="A104" s="12">
        <v>2437</v>
      </c>
      <c r="B104" t="s">
        <v>1143</v>
      </c>
      <c r="D104" t="s">
        <v>1144</v>
      </c>
      <c r="E104" s="13"/>
      <c r="F104" s="41"/>
      <c r="G104" s="41"/>
      <c r="H104" s="41"/>
      <c r="I104" s="14" t="s">
        <v>49</v>
      </c>
      <c r="J104" s="15">
        <v>42975</v>
      </c>
      <c r="K104" t="s">
        <v>998</v>
      </c>
      <c r="L104" t="s">
        <v>51</v>
      </c>
      <c r="M104" s="15" t="s">
        <v>52</v>
      </c>
      <c r="N104" t="s">
        <v>53</v>
      </c>
      <c r="O104" t="s">
        <v>999</v>
      </c>
      <c r="P104" t="s">
        <v>1098</v>
      </c>
      <c r="Q104" t="s">
        <v>56</v>
      </c>
      <c r="R104" s="16" t="s">
        <v>1099</v>
      </c>
      <c r="S104" s="21"/>
      <c r="T104" t="s">
        <v>1100</v>
      </c>
      <c r="Y104" t="s">
        <v>60</v>
      </c>
      <c r="AA104" s="15"/>
      <c r="AC104">
        <v>45.530110000000001</v>
      </c>
      <c r="AD104">
        <v>-94.238169999999997</v>
      </c>
      <c r="AE104" t="s">
        <v>1145</v>
      </c>
      <c r="AH104" t="s">
        <v>62</v>
      </c>
      <c r="AI104" t="s">
        <v>63</v>
      </c>
      <c r="AJ104" t="s">
        <v>1146</v>
      </c>
      <c r="AK104" t="s">
        <v>1147</v>
      </c>
      <c r="AM104" t="s">
        <v>1148</v>
      </c>
      <c r="AN104" t="s">
        <v>1149</v>
      </c>
      <c r="AO104" t="s">
        <v>1150</v>
      </c>
      <c r="AP104" t="s">
        <v>68</v>
      </c>
      <c r="AR104" t="s">
        <v>1151</v>
      </c>
      <c r="AS104" t="s">
        <v>1152</v>
      </c>
      <c r="AT104" t="s">
        <v>1153</v>
      </c>
      <c r="AW104" s="14" t="s">
        <v>72</v>
      </c>
      <c r="AX104" s="14" t="s">
        <v>73</v>
      </c>
      <c r="AY104" s="14" t="s">
        <v>74</v>
      </c>
    </row>
    <row r="105" spans="1:51" ht="15" customHeight="1" x14ac:dyDescent="0.4">
      <c r="A105" s="12">
        <v>2438</v>
      </c>
      <c r="B105" t="s">
        <v>1154</v>
      </c>
      <c r="D105" t="s">
        <v>1155</v>
      </c>
      <c r="E105" s="13"/>
      <c r="F105" s="41"/>
      <c r="G105" s="41"/>
      <c r="H105" s="41"/>
      <c r="I105" s="14" t="s">
        <v>49</v>
      </c>
      <c r="J105" s="15">
        <v>42975</v>
      </c>
      <c r="K105" t="s">
        <v>998</v>
      </c>
      <c r="L105" t="s">
        <v>51</v>
      </c>
      <c r="M105" s="15" t="s">
        <v>52</v>
      </c>
      <c r="N105" t="s">
        <v>53</v>
      </c>
      <c r="O105" t="s">
        <v>999</v>
      </c>
      <c r="P105" t="s">
        <v>1098</v>
      </c>
      <c r="Q105" t="s">
        <v>56</v>
      </c>
      <c r="R105" s="16" t="s">
        <v>1099</v>
      </c>
      <c r="S105" s="21"/>
      <c r="T105" t="s">
        <v>1100</v>
      </c>
      <c r="Y105" t="s">
        <v>60</v>
      </c>
      <c r="AA105" s="15"/>
      <c r="AC105">
        <v>45.529989999999998</v>
      </c>
      <c r="AD105">
        <v>-94.239320000000006</v>
      </c>
      <c r="AE105" t="s">
        <v>1156</v>
      </c>
      <c r="AH105" t="s">
        <v>62</v>
      </c>
      <c r="AI105" t="s">
        <v>63</v>
      </c>
      <c r="AJ105" t="s">
        <v>1157</v>
      </c>
      <c r="AK105" t="s">
        <v>1158</v>
      </c>
      <c r="AM105" t="s">
        <v>1159</v>
      </c>
      <c r="AN105" t="s">
        <v>1160</v>
      </c>
      <c r="AO105" t="s">
        <v>1161</v>
      </c>
      <c r="AP105" t="s">
        <v>68</v>
      </c>
      <c r="AR105" t="s">
        <v>1162</v>
      </c>
      <c r="AS105" t="s">
        <v>1163</v>
      </c>
      <c r="AT105" t="s">
        <v>1164</v>
      </c>
      <c r="AW105" s="14" t="s">
        <v>72</v>
      </c>
      <c r="AX105" s="14" t="s">
        <v>73</v>
      </c>
      <c r="AY105" s="14" t="s">
        <v>74</v>
      </c>
    </row>
    <row r="106" spans="1:51" ht="15" customHeight="1" x14ac:dyDescent="0.4">
      <c r="A106" s="12">
        <v>2439</v>
      </c>
      <c r="B106" t="s">
        <v>1165</v>
      </c>
      <c r="D106" t="s">
        <v>1166</v>
      </c>
      <c r="E106" s="13"/>
      <c r="F106" s="41"/>
      <c r="G106" s="41"/>
      <c r="H106" s="41"/>
      <c r="I106" s="14" t="s">
        <v>49</v>
      </c>
      <c r="J106" s="15">
        <v>42975</v>
      </c>
      <c r="K106" t="s">
        <v>998</v>
      </c>
      <c r="L106" t="s">
        <v>51</v>
      </c>
      <c r="M106" s="15" t="s">
        <v>52</v>
      </c>
      <c r="N106" t="s">
        <v>53</v>
      </c>
      <c r="O106" t="s">
        <v>999</v>
      </c>
      <c r="P106" t="s">
        <v>1098</v>
      </c>
      <c r="Q106" t="s">
        <v>56</v>
      </c>
      <c r="R106" s="16" t="s">
        <v>1099</v>
      </c>
      <c r="S106" s="21"/>
      <c r="T106" t="s">
        <v>1100</v>
      </c>
      <c r="X106" t="s">
        <v>1167</v>
      </c>
      <c r="Y106" t="s">
        <v>60</v>
      </c>
      <c r="AA106" s="15"/>
      <c r="AC106">
        <v>45.529899999999998</v>
      </c>
      <c r="AD106">
        <v>-94.240179999999995</v>
      </c>
      <c r="AE106" t="s">
        <v>1168</v>
      </c>
      <c r="AH106" t="s">
        <v>62</v>
      </c>
      <c r="AI106" t="s">
        <v>63</v>
      </c>
      <c r="AJ106" t="s">
        <v>1169</v>
      </c>
      <c r="AK106" t="s">
        <v>1170</v>
      </c>
      <c r="AM106" t="s">
        <v>1171</v>
      </c>
      <c r="AN106" t="s">
        <v>1172</v>
      </c>
      <c r="AO106" t="s">
        <v>1173</v>
      </c>
      <c r="AP106" t="s">
        <v>68</v>
      </c>
      <c r="AR106" t="s">
        <v>1174</v>
      </c>
      <c r="AS106" t="s">
        <v>1175</v>
      </c>
      <c r="AT106" t="s">
        <v>1176</v>
      </c>
      <c r="AW106" s="14" t="s">
        <v>72</v>
      </c>
      <c r="AX106" s="14" t="s">
        <v>73</v>
      </c>
      <c r="AY106" s="14" t="s">
        <v>74</v>
      </c>
    </row>
    <row r="107" spans="1:51" ht="15" customHeight="1" x14ac:dyDescent="0.4">
      <c r="A107" s="12">
        <v>2440</v>
      </c>
      <c r="B107" t="s">
        <v>1177</v>
      </c>
      <c r="D107" t="s">
        <v>1178</v>
      </c>
      <c r="E107" s="13"/>
      <c r="F107" s="41"/>
      <c r="G107" s="41"/>
      <c r="H107" s="41"/>
      <c r="I107" s="14" t="s">
        <v>49</v>
      </c>
      <c r="J107" s="15">
        <v>42975</v>
      </c>
      <c r="K107" t="s">
        <v>998</v>
      </c>
      <c r="L107" t="s">
        <v>51</v>
      </c>
      <c r="M107" s="15" t="s">
        <v>52</v>
      </c>
      <c r="N107" t="s">
        <v>53</v>
      </c>
      <c r="O107" t="s">
        <v>999</v>
      </c>
      <c r="P107" t="s">
        <v>1098</v>
      </c>
      <c r="Q107" t="s">
        <v>56</v>
      </c>
      <c r="R107" s="16" t="s">
        <v>1099</v>
      </c>
      <c r="S107" s="21"/>
      <c r="T107" t="s">
        <v>1100</v>
      </c>
      <c r="X107" t="s">
        <v>1179</v>
      </c>
      <c r="Y107" t="s">
        <v>60</v>
      </c>
      <c r="AA107" s="15"/>
      <c r="AC107">
        <v>45.529899999999998</v>
      </c>
      <c r="AD107">
        <v>-94.240179999999995</v>
      </c>
      <c r="AE107" t="s">
        <v>1168</v>
      </c>
      <c r="AH107" t="s">
        <v>62</v>
      </c>
      <c r="AI107" t="s">
        <v>63</v>
      </c>
      <c r="AJ107" t="s">
        <v>1180</v>
      </c>
      <c r="AK107" t="s">
        <v>1181</v>
      </c>
      <c r="AM107" t="s">
        <v>1182</v>
      </c>
      <c r="AN107" t="s">
        <v>1183</v>
      </c>
      <c r="AO107" t="s">
        <v>1184</v>
      </c>
      <c r="AP107" t="s">
        <v>68</v>
      </c>
      <c r="AR107" t="s">
        <v>1185</v>
      </c>
      <c r="AS107" t="s">
        <v>1186</v>
      </c>
      <c r="AT107" t="s">
        <v>1187</v>
      </c>
      <c r="AW107" s="14" t="s">
        <v>72</v>
      </c>
      <c r="AX107" s="14" t="s">
        <v>73</v>
      </c>
      <c r="AY107" s="14" t="s">
        <v>74</v>
      </c>
    </row>
    <row r="108" spans="1:51" ht="15" customHeight="1" x14ac:dyDescent="0.4">
      <c r="A108" s="12">
        <v>2441</v>
      </c>
      <c r="B108" t="s">
        <v>1188</v>
      </c>
      <c r="D108" t="s">
        <v>1189</v>
      </c>
      <c r="E108" s="13"/>
      <c r="F108" s="41"/>
      <c r="G108" s="41"/>
      <c r="H108" s="41"/>
      <c r="I108" s="14" t="s">
        <v>49</v>
      </c>
      <c r="J108" s="15">
        <v>42975</v>
      </c>
      <c r="K108" t="s">
        <v>998</v>
      </c>
      <c r="L108" t="s">
        <v>51</v>
      </c>
      <c r="M108" s="15" t="s">
        <v>52</v>
      </c>
      <c r="N108" t="s">
        <v>53</v>
      </c>
      <c r="O108" t="s">
        <v>999</v>
      </c>
      <c r="P108" t="s">
        <v>1098</v>
      </c>
      <c r="Q108" t="s">
        <v>56</v>
      </c>
      <c r="R108" s="16" t="s">
        <v>1099</v>
      </c>
      <c r="S108" s="21"/>
      <c r="T108" t="s">
        <v>1190</v>
      </c>
      <c r="U108" t="s">
        <v>1191</v>
      </c>
      <c r="Y108" t="s">
        <v>60</v>
      </c>
      <c r="AA108" s="15"/>
      <c r="AC108">
        <v>45.529069999999997</v>
      </c>
      <c r="AD108">
        <v>-94.241209999999995</v>
      </c>
      <c r="AE108" t="s">
        <v>1192</v>
      </c>
      <c r="AH108" t="s">
        <v>62</v>
      </c>
      <c r="AI108" t="s">
        <v>63</v>
      </c>
      <c r="AJ108" t="s">
        <v>1193</v>
      </c>
      <c r="AK108" t="s">
        <v>1194</v>
      </c>
      <c r="AM108" t="s">
        <v>1195</v>
      </c>
      <c r="AN108" t="s">
        <v>1196</v>
      </c>
      <c r="AO108" t="s">
        <v>1197</v>
      </c>
      <c r="AP108" t="s">
        <v>68</v>
      </c>
      <c r="AR108" t="s">
        <v>1198</v>
      </c>
      <c r="AS108" t="s">
        <v>1199</v>
      </c>
      <c r="AT108" t="s">
        <v>1200</v>
      </c>
      <c r="AW108" s="14" t="s">
        <v>72</v>
      </c>
      <c r="AX108" s="14" t="s">
        <v>73</v>
      </c>
      <c r="AY108" s="14" t="s">
        <v>74</v>
      </c>
    </row>
    <row r="109" spans="1:51" ht="15" customHeight="1" x14ac:dyDescent="0.4">
      <c r="A109" s="12">
        <v>2442</v>
      </c>
      <c r="B109" t="s">
        <v>1201</v>
      </c>
      <c r="D109" t="s">
        <v>1202</v>
      </c>
      <c r="E109" s="13"/>
      <c r="F109" s="41"/>
      <c r="G109" s="41"/>
      <c r="H109" s="41"/>
      <c r="I109" s="14" t="s">
        <v>49</v>
      </c>
      <c r="J109" s="15">
        <v>42975</v>
      </c>
      <c r="K109" t="s">
        <v>998</v>
      </c>
      <c r="L109" t="s">
        <v>51</v>
      </c>
      <c r="M109" s="15" t="s">
        <v>52</v>
      </c>
      <c r="N109" t="s">
        <v>53</v>
      </c>
      <c r="O109" t="s">
        <v>999</v>
      </c>
      <c r="P109" t="s">
        <v>1098</v>
      </c>
      <c r="Q109" t="s">
        <v>56</v>
      </c>
      <c r="R109" s="16" t="s">
        <v>1099</v>
      </c>
      <c r="S109" s="21"/>
      <c r="T109" t="s">
        <v>1190</v>
      </c>
      <c r="U109" t="s">
        <v>1191</v>
      </c>
      <c r="Y109" t="s">
        <v>60</v>
      </c>
      <c r="AA109" s="15"/>
      <c r="AC109">
        <v>45.528869999999998</v>
      </c>
      <c r="AD109">
        <v>-94.240849999999995</v>
      </c>
      <c r="AE109" t="s">
        <v>1203</v>
      </c>
      <c r="AH109" t="s">
        <v>62</v>
      </c>
      <c r="AI109" t="s">
        <v>63</v>
      </c>
      <c r="AJ109" t="s">
        <v>1204</v>
      </c>
      <c r="AK109" t="s">
        <v>1205</v>
      </c>
      <c r="AM109" t="s">
        <v>1206</v>
      </c>
      <c r="AN109" t="s">
        <v>1207</v>
      </c>
      <c r="AO109" t="s">
        <v>1208</v>
      </c>
      <c r="AP109" t="s">
        <v>68</v>
      </c>
      <c r="AR109" t="s">
        <v>1209</v>
      </c>
      <c r="AS109" t="s">
        <v>1210</v>
      </c>
      <c r="AT109" t="s">
        <v>1211</v>
      </c>
      <c r="AW109" s="14" t="s">
        <v>72</v>
      </c>
      <c r="AX109" s="14" t="s">
        <v>73</v>
      </c>
      <c r="AY109" s="14" t="s">
        <v>74</v>
      </c>
    </row>
    <row r="110" spans="1:51" ht="15" customHeight="1" x14ac:dyDescent="0.4">
      <c r="A110" s="12">
        <v>2443</v>
      </c>
      <c r="B110" t="s">
        <v>1212</v>
      </c>
      <c r="D110" t="s">
        <v>1213</v>
      </c>
      <c r="E110" s="13"/>
      <c r="F110" s="41"/>
      <c r="G110" s="41"/>
      <c r="H110" s="41"/>
      <c r="I110" s="14" t="s">
        <v>49</v>
      </c>
      <c r="J110" s="15">
        <v>42975</v>
      </c>
      <c r="K110" t="s">
        <v>998</v>
      </c>
      <c r="L110" t="s">
        <v>51</v>
      </c>
      <c r="M110" s="15" t="s">
        <v>52</v>
      </c>
      <c r="N110" t="s">
        <v>53</v>
      </c>
      <c r="O110" t="s">
        <v>999</v>
      </c>
      <c r="P110" t="s">
        <v>1098</v>
      </c>
      <c r="Q110" t="s">
        <v>56</v>
      </c>
      <c r="R110" s="16" t="s">
        <v>1099</v>
      </c>
      <c r="S110" s="21"/>
      <c r="T110" t="s">
        <v>1100</v>
      </c>
      <c r="Y110" t="s">
        <v>78</v>
      </c>
      <c r="Z110" t="s">
        <v>79</v>
      </c>
      <c r="AA110" s="15">
        <v>45597</v>
      </c>
      <c r="AB110" t="s">
        <v>48</v>
      </c>
      <c r="AC110">
        <v>45.530880000000003</v>
      </c>
      <c r="AD110">
        <v>-94.239890000000003</v>
      </c>
      <c r="AE110" t="s">
        <v>1214</v>
      </c>
      <c r="AH110" t="s">
        <v>62</v>
      </c>
      <c r="AI110" t="s">
        <v>63</v>
      </c>
      <c r="AJ110" t="s">
        <v>1215</v>
      </c>
      <c r="AK110">
        <v>186103</v>
      </c>
      <c r="AM110" t="s">
        <v>1216</v>
      </c>
      <c r="AN110" t="s">
        <v>1217</v>
      </c>
      <c r="AO110" t="s">
        <v>1218</v>
      </c>
      <c r="AP110" t="s">
        <v>68</v>
      </c>
      <c r="AR110" t="s">
        <v>1219</v>
      </c>
      <c r="AS110" t="s">
        <v>1220</v>
      </c>
      <c r="AT110" t="s">
        <v>1221</v>
      </c>
      <c r="AU110" s="31" t="s">
        <v>1222</v>
      </c>
      <c r="AV110" s="31" t="s">
        <v>85</v>
      </c>
      <c r="AW110" s="14" t="s">
        <v>72</v>
      </c>
      <c r="AX110" s="14" t="s">
        <v>73</v>
      </c>
      <c r="AY110" s="14" t="s">
        <v>74</v>
      </c>
    </row>
    <row r="111" spans="1:51" ht="15" customHeight="1" x14ac:dyDescent="0.4">
      <c r="A111" s="12">
        <v>2460</v>
      </c>
      <c r="B111" t="s">
        <v>1223</v>
      </c>
      <c r="D111" t="s">
        <v>1224</v>
      </c>
      <c r="E111" s="13"/>
      <c r="F111" s="41"/>
      <c r="G111" s="41"/>
      <c r="H111" s="41"/>
      <c r="I111" s="14" t="s">
        <v>49</v>
      </c>
      <c r="J111" s="15">
        <v>42983</v>
      </c>
      <c r="K111" t="s">
        <v>1225</v>
      </c>
      <c r="L111" t="s">
        <v>51</v>
      </c>
      <c r="M111" s="15" t="s">
        <v>52</v>
      </c>
      <c r="N111" t="s">
        <v>53</v>
      </c>
      <c r="O111" t="s">
        <v>1226</v>
      </c>
      <c r="P111" t="s">
        <v>1227</v>
      </c>
      <c r="Q111" t="s">
        <v>56</v>
      </c>
      <c r="R111" s="16" t="s">
        <v>1228</v>
      </c>
      <c r="S111" s="21"/>
      <c r="T111" t="s">
        <v>1229</v>
      </c>
      <c r="U111" t="s">
        <v>1230</v>
      </c>
      <c r="Y111" t="s">
        <v>78</v>
      </c>
      <c r="Z111" t="s">
        <v>79</v>
      </c>
      <c r="AA111" s="15">
        <v>45597</v>
      </c>
      <c r="AB111" t="s">
        <v>48</v>
      </c>
      <c r="AC111">
        <v>40.043599999999998</v>
      </c>
      <c r="AD111">
        <v>-83.479870000000005</v>
      </c>
      <c r="AE111" t="s">
        <v>1231</v>
      </c>
      <c r="AH111" t="s">
        <v>62</v>
      </c>
      <c r="AI111" t="s">
        <v>63</v>
      </c>
      <c r="AJ111" t="s">
        <v>1232</v>
      </c>
      <c r="AK111">
        <v>186111</v>
      </c>
      <c r="AM111" t="s">
        <v>1233</v>
      </c>
      <c r="AN111" t="s">
        <v>1234</v>
      </c>
      <c r="AO111" t="s">
        <v>1235</v>
      </c>
      <c r="AP111" t="s">
        <v>68</v>
      </c>
      <c r="AR111" t="s">
        <v>1236</v>
      </c>
      <c r="AS111" t="s">
        <v>1237</v>
      </c>
      <c r="AT111" t="s">
        <v>1238</v>
      </c>
      <c r="AU111" s="31" t="s">
        <v>1239</v>
      </c>
      <c r="AV111" s="31" t="s">
        <v>85</v>
      </c>
      <c r="AW111" s="14" t="s">
        <v>72</v>
      </c>
      <c r="AX111" s="14" t="s">
        <v>73</v>
      </c>
      <c r="AY111" s="14" t="s">
        <v>74</v>
      </c>
    </row>
    <row r="112" spans="1:51" ht="15" customHeight="1" x14ac:dyDescent="0.4">
      <c r="A112" s="12">
        <v>2461</v>
      </c>
      <c r="B112" t="s">
        <v>1240</v>
      </c>
      <c r="D112" t="s">
        <v>1241</v>
      </c>
      <c r="E112" s="13"/>
      <c r="F112" s="41"/>
      <c r="G112" s="41"/>
      <c r="H112" s="41"/>
      <c r="I112" s="14" t="s">
        <v>49</v>
      </c>
      <c r="J112" s="15">
        <v>42983</v>
      </c>
      <c r="K112" t="s">
        <v>1225</v>
      </c>
      <c r="L112" t="s">
        <v>51</v>
      </c>
      <c r="M112" s="15" t="s">
        <v>52</v>
      </c>
      <c r="N112" t="s">
        <v>53</v>
      </c>
      <c r="O112" t="s">
        <v>1226</v>
      </c>
      <c r="P112" t="s">
        <v>1227</v>
      </c>
      <c r="Q112" t="s">
        <v>56</v>
      </c>
      <c r="R112" s="16" t="s">
        <v>1228</v>
      </c>
      <c r="S112" s="21"/>
      <c r="T112" t="s">
        <v>1229</v>
      </c>
      <c r="U112" t="s">
        <v>1230</v>
      </c>
      <c r="Y112" t="s">
        <v>60</v>
      </c>
      <c r="AA112" s="15"/>
      <c r="AC112">
        <v>40.043970000000002</v>
      </c>
      <c r="AD112">
        <v>-83.480379999999997</v>
      </c>
      <c r="AE112" t="s">
        <v>1242</v>
      </c>
      <c r="AH112" t="s">
        <v>62</v>
      </c>
      <c r="AI112" t="s">
        <v>63</v>
      </c>
      <c r="AJ112" t="s">
        <v>1243</v>
      </c>
      <c r="AK112" t="s">
        <v>1244</v>
      </c>
      <c r="AM112" t="s">
        <v>1245</v>
      </c>
      <c r="AN112" t="s">
        <v>1246</v>
      </c>
      <c r="AO112" t="s">
        <v>1247</v>
      </c>
      <c r="AP112" t="s">
        <v>68</v>
      </c>
      <c r="AR112" t="s">
        <v>1248</v>
      </c>
      <c r="AS112" t="s">
        <v>1249</v>
      </c>
      <c r="AT112" t="s">
        <v>1250</v>
      </c>
      <c r="AW112" s="14" t="s">
        <v>72</v>
      </c>
      <c r="AX112" s="14" t="s">
        <v>73</v>
      </c>
      <c r="AY112" s="14" t="s">
        <v>74</v>
      </c>
    </row>
    <row r="113" spans="1:51" ht="15" customHeight="1" x14ac:dyDescent="0.4">
      <c r="A113" s="12">
        <v>2462</v>
      </c>
      <c r="B113" t="s">
        <v>1251</v>
      </c>
      <c r="D113" t="s">
        <v>1252</v>
      </c>
      <c r="E113" s="13"/>
      <c r="F113" s="41"/>
      <c r="G113" s="41"/>
      <c r="H113" s="41"/>
      <c r="I113" s="14" t="s">
        <v>49</v>
      </c>
      <c r="J113" s="15">
        <v>42983</v>
      </c>
      <c r="K113" t="s">
        <v>1225</v>
      </c>
      <c r="L113" t="s">
        <v>51</v>
      </c>
      <c r="M113" s="15" t="s">
        <v>52</v>
      </c>
      <c r="N113" t="s">
        <v>53</v>
      </c>
      <c r="O113" t="s">
        <v>1226</v>
      </c>
      <c r="P113" t="s">
        <v>1227</v>
      </c>
      <c r="Q113" t="s">
        <v>56</v>
      </c>
      <c r="R113" s="16" t="s">
        <v>1228</v>
      </c>
      <c r="S113" s="21"/>
      <c r="T113" t="s">
        <v>1229</v>
      </c>
      <c r="U113" t="s">
        <v>1230</v>
      </c>
      <c r="Y113" t="s">
        <v>60</v>
      </c>
      <c r="AA113" s="15"/>
      <c r="AC113">
        <v>40.044330000000002</v>
      </c>
      <c r="AD113">
        <v>-83.480639999999994</v>
      </c>
      <c r="AE113" t="s">
        <v>1253</v>
      </c>
      <c r="AH113" t="s">
        <v>62</v>
      </c>
      <c r="AI113" t="s">
        <v>63</v>
      </c>
      <c r="AJ113" t="s">
        <v>1254</v>
      </c>
      <c r="AK113" t="s">
        <v>1255</v>
      </c>
      <c r="AM113" t="s">
        <v>1256</v>
      </c>
      <c r="AN113" t="s">
        <v>1257</v>
      </c>
      <c r="AO113" t="s">
        <v>1258</v>
      </c>
      <c r="AP113" t="s">
        <v>68</v>
      </c>
      <c r="AR113" t="s">
        <v>1259</v>
      </c>
      <c r="AS113" t="s">
        <v>1260</v>
      </c>
      <c r="AT113" t="s">
        <v>1261</v>
      </c>
      <c r="AW113" s="14" t="s">
        <v>72</v>
      </c>
      <c r="AX113" s="14" t="s">
        <v>73</v>
      </c>
      <c r="AY113" s="14" t="s">
        <v>74</v>
      </c>
    </row>
    <row r="114" spans="1:51" ht="15" customHeight="1" x14ac:dyDescent="0.4">
      <c r="A114" s="12">
        <v>2463</v>
      </c>
      <c r="B114" t="s">
        <v>1262</v>
      </c>
      <c r="D114" t="s">
        <v>1263</v>
      </c>
      <c r="E114" s="13"/>
      <c r="F114" s="41"/>
      <c r="G114" s="41"/>
      <c r="H114" s="41"/>
      <c r="I114" s="14" t="s">
        <v>49</v>
      </c>
      <c r="J114" s="15">
        <v>42983</v>
      </c>
      <c r="K114" t="s">
        <v>1225</v>
      </c>
      <c r="L114" t="s">
        <v>51</v>
      </c>
      <c r="M114" s="15" t="s">
        <v>52</v>
      </c>
      <c r="N114" t="s">
        <v>53</v>
      </c>
      <c r="O114" t="s">
        <v>1226</v>
      </c>
      <c r="P114" t="s">
        <v>1227</v>
      </c>
      <c r="Q114" t="s">
        <v>56</v>
      </c>
      <c r="R114" s="16" t="s">
        <v>1228</v>
      </c>
      <c r="S114" s="21"/>
      <c r="T114" t="s">
        <v>1229</v>
      </c>
      <c r="U114" t="s">
        <v>1230</v>
      </c>
      <c r="Y114" t="s">
        <v>78</v>
      </c>
      <c r="Z114" t="s">
        <v>562</v>
      </c>
      <c r="AA114" s="15">
        <v>45597</v>
      </c>
      <c r="AB114" t="s">
        <v>48</v>
      </c>
      <c r="AC114">
        <v>40.045209999999997</v>
      </c>
      <c r="AD114">
        <v>-83.479240000000004</v>
      </c>
      <c r="AE114" t="s">
        <v>1264</v>
      </c>
      <c r="AH114" t="s">
        <v>62</v>
      </c>
      <c r="AI114" t="s">
        <v>63</v>
      </c>
      <c r="AJ114" t="s">
        <v>1265</v>
      </c>
      <c r="AK114">
        <v>186411</v>
      </c>
      <c r="AM114" t="s">
        <v>1266</v>
      </c>
      <c r="AN114" t="s">
        <v>1267</v>
      </c>
      <c r="AO114" t="s">
        <v>1268</v>
      </c>
      <c r="AP114" t="s">
        <v>68</v>
      </c>
      <c r="AR114" t="s">
        <v>1269</v>
      </c>
      <c r="AS114" t="s">
        <v>1270</v>
      </c>
      <c r="AT114" t="s">
        <v>1271</v>
      </c>
      <c r="AU114" s="31" t="s">
        <v>1272</v>
      </c>
      <c r="AV114" s="31" t="s">
        <v>85</v>
      </c>
      <c r="AW114" s="14" t="s">
        <v>72</v>
      </c>
      <c r="AX114" s="14" t="s">
        <v>73</v>
      </c>
      <c r="AY114" s="14" t="s">
        <v>74</v>
      </c>
    </row>
    <row r="115" spans="1:51" ht="15" customHeight="1" x14ac:dyDescent="0.4">
      <c r="A115" s="12">
        <v>2464</v>
      </c>
      <c r="B115" t="s">
        <v>1273</v>
      </c>
      <c r="D115" t="s">
        <v>1274</v>
      </c>
      <c r="E115" s="13"/>
      <c r="F115" s="41"/>
      <c r="G115" s="41"/>
      <c r="H115" s="41"/>
      <c r="I115" s="14" t="s">
        <v>49</v>
      </c>
      <c r="J115" s="15">
        <v>42983</v>
      </c>
      <c r="K115" t="s">
        <v>1225</v>
      </c>
      <c r="L115" t="s">
        <v>51</v>
      </c>
      <c r="M115" s="15" t="s">
        <v>52</v>
      </c>
      <c r="N115" t="s">
        <v>53</v>
      </c>
      <c r="O115" t="s">
        <v>1226</v>
      </c>
      <c r="P115" t="s">
        <v>1227</v>
      </c>
      <c r="Q115" t="s">
        <v>56</v>
      </c>
      <c r="R115" s="16" t="s">
        <v>1228</v>
      </c>
      <c r="S115" s="21"/>
      <c r="T115" t="s">
        <v>1229</v>
      </c>
      <c r="U115" t="s">
        <v>1230</v>
      </c>
      <c r="Y115" t="s">
        <v>60</v>
      </c>
      <c r="AA115" s="15"/>
      <c r="AC115">
        <v>40.045679999999997</v>
      </c>
      <c r="AD115">
        <v>-83.479349999999997</v>
      </c>
      <c r="AE115" t="s">
        <v>1275</v>
      </c>
      <c r="AH115" t="s">
        <v>62</v>
      </c>
      <c r="AI115" t="s">
        <v>63</v>
      </c>
      <c r="AJ115" t="s">
        <v>1276</v>
      </c>
      <c r="AK115" t="s">
        <v>1277</v>
      </c>
      <c r="AM115" t="s">
        <v>1278</v>
      </c>
      <c r="AN115" t="s">
        <v>1279</v>
      </c>
      <c r="AO115" t="s">
        <v>1280</v>
      </c>
      <c r="AP115" t="s">
        <v>68</v>
      </c>
      <c r="AR115" t="s">
        <v>1281</v>
      </c>
      <c r="AS115" t="s">
        <v>1282</v>
      </c>
      <c r="AT115" t="s">
        <v>1283</v>
      </c>
      <c r="AW115" s="14" t="s">
        <v>72</v>
      </c>
      <c r="AX115" s="14" t="s">
        <v>73</v>
      </c>
      <c r="AY115" s="14" t="s">
        <v>74</v>
      </c>
    </row>
    <row r="116" spans="1:51" ht="15" customHeight="1" x14ac:dyDescent="0.4">
      <c r="A116" s="12">
        <v>2465</v>
      </c>
      <c r="B116" t="s">
        <v>1284</v>
      </c>
      <c r="D116" t="s">
        <v>1285</v>
      </c>
      <c r="E116" s="13"/>
      <c r="F116" s="41" t="s">
        <v>1752</v>
      </c>
      <c r="G116" s="41"/>
      <c r="H116" s="41"/>
      <c r="I116" s="14" t="s">
        <v>49</v>
      </c>
      <c r="J116" s="15">
        <v>42983</v>
      </c>
      <c r="K116" t="s">
        <v>1225</v>
      </c>
      <c r="L116" t="s">
        <v>51</v>
      </c>
      <c r="M116" s="15" t="s">
        <v>52</v>
      </c>
      <c r="N116" t="s">
        <v>53</v>
      </c>
      <c r="O116" t="s">
        <v>1226</v>
      </c>
      <c r="P116" t="s">
        <v>1227</v>
      </c>
      <c r="Q116" t="s">
        <v>56</v>
      </c>
      <c r="R116" s="16" t="s">
        <v>1228</v>
      </c>
      <c r="S116" s="21"/>
      <c r="T116" t="s">
        <v>1229</v>
      </c>
      <c r="U116" t="s">
        <v>1230</v>
      </c>
      <c r="Y116" t="s">
        <v>60</v>
      </c>
      <c r="AA116" s="15"/>
      <c r="AC116">
        <v>40.046039999999998</v>
      </c>
      <c r="AD116">
        <v>-83.478849999999994</v>
      </c>
      <c r="AE116" t="s">
        <v>1286</v>
      </c>
      <c r="AH116" t="s">
        <v>62</v>
      </c>
      <c r="AI116" t="s">
        <v>63</v>
      </c>
      <c r="AJ116" t="s">
        <v>1287</v>
      </c>
      <c r="AK116" t="s">
        <v>1288</v>
      </c>
      <c r="AM116" t="s">
        <v>1289</v>
      </c>
      <c r="AN116" t="s">
        <v>1290</v>
      </c>
      <c r="AO116" t="s">
        <v>1291</v>
      </c>
      <c r="AP116" t="s">
        <v>68</v>
      </c>
      <c r="AR116" t="s">
        <v>1292</v>
      </c>
      <c r="AS116" t="s">
        <v>1293</v>
      </c>
      <c r="AT116" t="s">
        <v>1294</v>
      </c>
      <c r="AW116" s="14" t="s">
        <v>72</v>
      </c>
      <c r="AX116" s="14" t="s">
        <v>73</v>
      </c>
      <c r="AY116" s="14" t="s">
        <v>74</v>
      </c>
    </row>
    <row r="117" spans="1:51" ht="15" customHeight="1" x14ac:dyDescent="0.4">
      <c r="A117" s="12">
        <v>2466</v>
      </c>
      <c r="B117" t="s">
        <v>1295</v>
      </c>
      <c r="D117" t="s">
        <v>1296</v>
      </c>
      <c r="E117" s="13"/>
      <c r="F117" s="41"/>
      <c r="G117" s="41"/>
      <c r="H117" s="41"/>
      <c r="I117" s="14" t="s">
        <v>49</v>
      </c>
      <c r="J117" s="15">
        <v>42983</v>
      </c>
      <c r="K117" t="s">
        <v>1225</v>
      </c>
      <c r="L117" t="s">
        <v>51</v>
      </c>
      <c r="M117" s="15" t="s">
        <v>52</v>
      </c>
      <c r="N117" t="s">
        <v>53</v>
      </c>
      <c r="O117" t="s">
        <v>1226</v>
      </c>
      <c r="P117" t="s">
        <v>1227</v>
      </c>
      <c r="Q117" t="s">
        <v>56</v>
      </c>
      <c r="R117" s="16" t="s">
        <v>1228</v>
      </c>
      <c r="S117" s="21"/>
      <c r="T117" t="s">
        <v>1229</v>
      </c>
      <c r="U117" t="s">
        <v>1230</v>
      </c>
      <c r="Y117" t="s">
        <v>60</v>
      </c>
      <c r="AA117" s="15"/>
      <c r="AC117">
        <v>40.044989999999999</v>
      </c>
      <c r="AD117">
        <v>-83.477350000000001</v>
      </c>
      <c r="AE117" t="s">
        <v>1297</v>
      </c>
      <c r="AH117" t="s">
        <v>62</v>
      </c>
      <c r="AI117" t="s">
        <v>63</v>
      </c>
      <c r="AJ117" t="s">
        <v>1298</v>
      </c>
      <c r="AK117" t="s">
        <v>1299</v>
      </c>
      <c r="AM117" t="s">
        <v>1300</v>
      </c>
      <c r="AN117" t="s">
        <v>1301</v>
      </c>
      <c r="AO117" t="s">
        <v>1302</v>
      </c>
      <c r="AP117" t="s">
        <v>68</v>
      </c>
      <c r="AR117" t="s">
        <v>1303</v>
      </c>
      <c r="AS117" t="s">
        <v>1304</v>
      </c>
      <c r="AT117" t="s">
        <v>1305</v>
      </c>
      <c r="AW117" s="14" t="s">
        <v>72</v>
      </c>
      <c r="AX117" s="14" t="s">
        <v>73</v>
      </c>
      <c r="AY117" s="14" t="s">
        <v>74</v>
      </c>
    </row>
    <row r="118" spans="1:51" ht="15" customHeight="1" x14ac:dyDescent="0.4">
      <c r="A118" s="12">
        <v>2467</v>
      </c>
      <c r="B118" t="s">
        <v>1306</v>
      </c>
      <c r="D118" t="s">
        <v>1307</v>
      </c>
      <c r="E118" s="13"/>
      <c r="F118" s="41"/>
      <c r="G118" s="41"/>
      <c r="H118" s="41"/>
      <c r="I118" s="14" t="s">
        <v>49</v>
      </c>
      <c r="J118" s="15">
        <v>42983</v>
      </c>
      <c r="K118" t="s">
        <v>1225</v>
      </c>
      <c r="L118" t="s">
        <v>51</v>
      </c>
      <c r="M118" s="15" t="s">
        <v>52</v>
      </c>
      <c r="N118" t="s">
        <v>53</v>
      </c>
      <c r="O118" t="s">
        <v>1226</v>
      </c>
      <c r="P118" t="s">
        <v>1227</v>
      </c>
      <c r="Q118" t="s">
        <v>56</v>
      </c>
      <c r="R118" s="16" t="s">
        <v>1228</v>
      </c>
      <c r="S118" s="21"/>
      <c r="T118" t="s">
        <v>1229</v>
      </c>
      <c r="U118" t="s">
        <v>1230</v>
      </c>
      <c r="Y118" t="s">
        <v>78</v>
      </c>
      <c r="Z118" t="s">
        <v>79</v>
      </c>
      <c r="AA118" s="15">
        <v>45597</v>
      </c>
      <c r="AB118" t="s">
        <v>48</v>
      </c>
      <c r="AC118">
        <v>40.044359999999998</v>
      </c>
      <c r="AD118">
        <v>-83.478909999999999</v>
      </c>
      <c r="AE118" t="s">
        <v>1308</v>
      </c>
      <c r="AH118" t="s">
        <v>62</v>
      </c>
      <c r="AI118" t="s">
        <v>63</v>
      </c>
      <c r="AJ118" t="s">
        <v>1309</v>
      </c>
      <c r="AK118">
        <v>186413</v>
      </c>
      <c r="AM118" t="s">
        <v>1310</v>
      </c>
      <c r="AN118" t="s">
        <v>1311</v>
      </c>
      <c r="AO118" t="s">
        <v>1312</v>
      </c>
      <c r="AP118" t="s">
        <v>68</v>
      </c>
      <c r="AR118" t="s">
        <v>1313</v>
      </c>
      <c r="AS118" t="s">
        <v>1314</v>
      </c>
      <c r="AT118" t="s">
        <v>1315</v>
      </c>
      <c r="AU118" s="31" t="s">
        <v>1316</v>
      </c>
      <c r="AV118" s="31" t="s">
        <v>85</v>
      </c>
      <c r="AW118" s="14" t="s">
        <v>72</v>
      </c>
      <c r="AX118" s="14" t="s">
        <v>73</v>
      </c>
      <c r="AY118" s="14" t="s">
        <v>74</v>
      </c>
    </row>
    <row r="119" spans="1:51" ht="15" customHeight="1" x14ac:dyDescent="0.4">
      <c r="A119" s="12">
        <v>2468</v>
      </c>
      <c r="B119" t="s">
        <v>1317</v>
      </c>
      <c r="D119" t="s">
        <v>1318</v>
      </c>
      <c r="E119" s="13"/>
      <c r="F119" s="41"/>
      <c r="G119" s="41"/>
      <c r="H119" s="41"/>
      <c r="I119" s="14" t="s">
        <v>49</v>
      </c>
      <c r="J119" s="15">
        <v>42983</v>
      </c>
      <c r="K119" t="s">
        <v>1225</v>
      </c>
      <c r="L119" t="s">
        <v>51</v>
      </c>
      <c r="M119" s="15" t="s">
        <v>52</v>
      </c>
      <c r="N119" t="s">
        <v>53</v>
      </c>
      <c r="O119" t="s">
        <v>1226</v>
      </c>
      <c r="P119" t="s">
        <v>1227</v>
      </c>
      <c r="Q119" t="s">
        <v>56</v>
      </c>
      <c r="R119" s="16" t="s">
        <v>1228</v>
      </c>
      <c r="S119" s="21"/>
      <c r="T119" t="s">
        <v>1229</v>
      </c>
      <c r="U119" t="s">
        <v>1230</v>
      </c>
      <c r="Y119" t="s">
        <v>60</v>
      </c>
      <c r="AA119" s="15"/>
      <c r="AC119">
        <v>40.044130000000003</v>
      </c>
      <c r="AD119">
        <v>-83.478830000000002</v>
      </c>
      <c r="AE119" t="s">
        <v>1242</v>
      </c>
      <c r="AH119" t="s">
        <v>62</v>
      </c>
      <c r="AI119" t="s">
        <v>63</v>
      </c>
      <c r="AJ119" t="s">
        <v>1319</v>
      </c>
      <c r="AK119" t="s">
        <v>1320</v>
      </c>
      <c r="AM119" t="s">
        <v>1321</v>
      </c>
      <c r="AN119" t="s">
        <v>1322</v>
      </c>
      <c r="AO119" t="s">
        <v>1323</v>
      </c>
      <c r="AP119" t="s">
        <v>68</v>
      </c>
      <c r="AR119" t="s">
        <v>1324</v>
      </c>
      <c r="AS119" t="s">
        <v>1325</v>
      </c>
      <c r="AT119" t="s">
        <v>1326</v>
      </c>
      <c r="AW119" s="14" t="s">
        <v>72</v>
      </c>
      <c r="AX119" s="14" t="s">
        <v>73</v>
      </c>
      <c r="AY119" s="14" t="s">
        <v>74</v>
      </c>
    </row>
    <row r="120" spans="1:51" ht="15" customHeight="1" x14ac:dyDescent="0.4">
      <c r="A120" s="12">
        <v>2469</v>
      </c>
      <c r="B120" t="s">
        <v>1327</v>
      </c>
      <c r="D120" t="s">
        <v>1328</v>
      </c>
      <c r="E120" s="13"/>
      <c r="F120" s="41"/>
      <c r="G120" s="41"/>
      <c r="H120" s="41"/>
      <c r="I120" s="14" t="s">
        <v>49</v>
      </c>
      <c r="J120" s="15">
        <v>42983</v>
      </c>
      <c r="K120" t="s">
        <v>1225</v>
      </c>
      <c r="L120" t="s">
        <v>51</v>
      </c>
      <c r="M120" s="15" t="s">
        <v>52</v>
      </c>
      <c r="N120" t="s">
        <v>53</v>
      </c>
      <c r="O120" t="s">
        <v>1226</v>
      </c>
      <c r="P120" t="s">
        <v>1227</v>
      </c>
      <c r="Q120" t="s">
        <v>56</v>
      </c>
      <c r="R120" s="16" t="s">
        <v>1228</v>
      </c>
      <c r="S120" s="21"/>
      <c r="T120" t="s">
        <v>1229</v>
      </c>
      <c r="U120" t="s">
        <v>1230</v>
      </c>
      <c r="Y120" t="s">
        <v>60</v>
      </c>
      <c r="AA120" s="15"/>
      <c r="AC120">
        <v>40.043669999999999</v>
      </c>
      <c r="AD120">
        <v>-83.479560000000006</v>
      </c>
      <c r="AE120" t="s">
        <v>1329</v>
      </c>
      <c r="AH120" t="s">
        <v>62</v>
      </c>
      <c r="AI120" t="s">
        <v>63</v>
      </c>
      <c r="AJ120" t="s">
        <v>1330</v>
      </c>
      <c r="AK120" t="s">
        <v>1331</v>
      </c>
      <c r="AM120" t="s">
        <v>1332</v>
      </c>
      <c r="AN120" t="s">
        <v>1333</v>
      </c>
      <c r="AO120" t="s">
        <v>1334</v>
      </c>
      <c r="AP120" t="s">
        <v>68</v>
      </c>
      <c r="AR120" t="s">
        <v>1335</v>
      </c>
      <c r="AS120" t="s">
        <v>1336</v>
      </c>
      <c r="AT120" t="s">
        <v>1337</v>
      </c>
      <c r="AW120" s="14" t="s">
        <v>72</v>
      </c>
      <c r="AX120" s="14" t="s">
        <v>73</v>
      </c>
      <c r="AY120" s="14" t="s">
        <v>74</v>
      </c>
    </row>
    <row r="121" spans="1:51" ht="15" customHeight="1" x14ac:dyDescent="0.4">
      <c r="A121" s="12">
        <v>2470</v>
      </c>
      <c r="B121" t="s">
        <v>1338</v>
      </c>
      <c r="D121" t="s">
        <v>1339</v>
      </c>
      <c r="E121" s="13"/>
      <c r="F121" s="41"/>
      <c r="G121" s="41"/>
      <c r="H121" s="41"/>
      <c r="I121" s="14" t="s">
        <v>49</v>
      </c>
      <c r="J121" s="15">
        <v>42983</v>
      </c>
      <c r="K121" t="s">
        <v>1225</v>
      </c>
      <c r="L121" t="s">
        <v>51</v>
      </c>
      <c r="M121" s="15" t="s">
        <v>52</v>
      </c>
      <c r="N121" t="s">
        <v>53</v>
      </c>
      <c r="O121" t="s">
        <v>1226</v>
      </c>
      <c r="P121" t="s">
        <v>1340</v>
      </c>
      <c r="Q121" t="s">
        <v>56</v>
      </c>
      <c r="R121" s="16" t="s">
        <v>1341</v>
      </c>
      <c r="S121" s="21"/>
      <c r="T121" t="s">
        <v>1229</v>
      </c>
      <c r="Y121" t="s">
        <v>60</v>
      </c>
      <c r="AA121" s="15"/>
      <c r="AC121">
        <v>40.730969999999999</v>
      </c>
      <c r="AD121">
        <v>-83.092569999999995</v>
      </c>
      <c r="AE121" t="s">
        <v>1342</v>
      </c>
      <c r="AH121" t="s">
        <v>62</v>
      </c>
      <c r="AI121" t="s">
        <v>63</v>
      </c>
      <c r="AJ121" t="s">
        <v>1343</v>
      </c>
      <c r="AK121" t="s">
        <v>1344</v>
      </c>
      <c r="AM121" t="s">
        <v>1345</v>
      </c>
      <c r="AN121" t="s">
        <v>1346</v>
      </c>
      <c r="AO121" t="s">
        <v>1347</v>
      </c>
      <c r="AP121" t="s">
        <v>68</v>
      </c>
      <c r="AR121" t="s">
        <v>1348</v>
      </c>
      <c r="AS121" t="s">
        <v>1349</v>
      </c>
      <c r="AT121" t="s">
        <v>1350</v>
      </c>
      <c r="AW121" s="14" t="s">
        <v>72</v>
      </c>
      <c r="AX121" s="14" t="s">
        <v>73</v>
      </c>
      <c r="AY121" s="14" t="s">
        <v>74</v>
      </c>
    </row>
    <row r="122" spans="1:51" ht="15" customHeight="1" x14ac:dyDescent="0.4">
      <c r="A122" s="12">
        <v>2471</v>
      </c>
      <c r="B122" t="s">
        <v>1351</v>
      </c>
      <c r="D122" t="s">
        <v>1352</v>
      </c>
      <c r="E122" s="13"/>
      <c r="F122" s="41"/>
      <c r="G122" s="41"/>
      <c r="H122" s="41"/>
      <c r="I122" s="14" t="s">
        <v>49</v>
      </c>
      <c r="J122" s="15">
        <v>42983</v>
      </c>
      <c r="K122" t="s">
        <v>1225</v>
      </c>
      <c r="L122" t="s">
        <v>51</v>
      </c>
      <c r="M122" s="15" t="s">
        <v>52</v>
      </c>
      <c r="N122" t="s">
        <v>53</v>
      </c>
      <c r="O122" t="s">
        <v>1226</v>
      </c>
      <c r="P122" t="s">
        <v>1340</v>
      </c>
      <c r="Q122" t="s">
        <v>56</v>
      </c>
      <c r="R122" s="16" t="s">
        <v>1341</v>
      </c>
      <c r="S122" s="21"/>
      <c r="T122" t="s">
        <v>1229</v>
      </c>
      <c r="Y122" t="s">
        <v>78</v>
      </c>
      <c r="Z122" t="s">
        <v>79</v>
      </c>
      <c r="AA122" s="15">
        <v>45597</v>
      </c>
      <c r="AB122" t="s">
        <v>48</v>
      </c>
      <c r="AC122">
        <v>40.73122</v>
      </c>
      <c r="AD122">
        <v>-83.093279999999993</v>
      </c>
      <c r="AE122" t="s">
        <v>1353</v>
      </c>
      <c r="AH122" t="s">
        <v>62</v>
      </c>
      <c r="AI122" t="s">
        <v>63</v>
      </c>
      <c r="AJ122" t="s">
        <v>1354</v>
      </c>
      <c r="AK122">
        <v>186415</v>
      </c>
      <c r="AM122" t="s">
        <v>1355</v>
      </c>
      <c r="AN122" t="s">
        <v>1356</v>
      </c>
      <c r="AO122" t="s">
        <v>1357</v>
      </c>
      <c r="AP122" t="s">
        <v>68</v>
      </c>
      <c r="AR122" t="s">
        <v>1358</v>
      </c>
      <c r="AS122" t="s">
        <v>1359</v>
      </c>
      <c r="AT122" t="s">
        <v>1360</v>
      </c>
      <c r="AU122" s="31" t="s">
        <v>1361</v>
      </c>
      <c r="AV122" s="31" t="s">
        <v>85</v>
      </c>
      <c r="AW122" s="14" t="s">
        <v>72</v>
      </c>
      <c r="AX122" s="14" t="s">
        <v>73</v>
      </c>
      <c r="AY122" s="14" t="s">
        <v>74</v>
      </c>
    </row>
    <row r="123" spans="1:51" ht="15" customHeight="1" x14ac:dyDescent="0.4">
      <c r="A123" s="12">
        <v>2472</v>
      </c>
      <c r="B123" t="s">
        <v>1362</v>
      </c>
      <c r="D123" t="s">
        <v>1363</v>
      </c>
      <c r="E123" s="13"/>
      <c r="F123" s="41"/>
      <c r="G123" s="41"/>
      <c r="H123" s="41"/>
      <c r="I123" s="14" t="s">
        <v>49</v>
      </c>
      <c r="J123" s="15">
        <v>42983</v>
      </c>
      <c r="K123" t="s">
        <v>1225</v>
      </c>
      <c r="L123" t="s">
        <v>51</v>
      </c>
      <c r="M123" s="15" t="s">
        <v>52</v>
      </c>
      <c r="N123" t="s">
        <v>53</v>
      </c>
      <c r="O123" t="s">
        <v>1226</v>
      </c>
      <c r="P123" t="s">
        <v>1340</v>
      </c>
      <c r="Q123" t="s">
        <v>56</v>
      </c>
      <c r="R123" s="16" t="s">
        <v>1341</v>
      </c>
      <c r="S123" s="21"/>
      <c r="T123" t="s">
        <v>1229</v>
      </c>
      <c r="Y123" t="s">
        <v>60</v>
      </c>
      <c r="AA123" s="15"/>
      <c r="AC123">
        <v>40.731430000000003</v>
      </c>
      <c r="AD123">
        <v>-83.093999999999994</v>
      </c>
      <c r="AE123" t="s">
        <v>1364</v>
      </c>
      <c r="AH123" t="s">
        <v>62</v>
      </c>
      <c r="AI123" t="s">
        <v>63</v>
      </c>
      <c r="AJ123" t="s">
        <v>1365</v>
      </c>
      <c r="AK123" t="s">
        <v>1366</v>
      </c>
      <c r="AM123" t="s">
        <v>1367</v>
      </c>
      <c r="AN123" t="s">
        <v>1368</v>
      </c>
      <c r="AO123" t="s">
        <v>1369</v>
      </c>
      <c r="AP123" t="s">
        <v>68</v>
      </c>
      <c r="AR123" t="s">
        <v>1370</v>
      </c>
      <c r="AS123" t="s">
        <v>1371</v>
      </c>
      <c r="AT123" t="s">
        <v>1372</v>
      </c>
      <c r="AW123" s="14" t="s">
        <v>72</v>
      </c>
      <c r="AX123" s="14" t="s">
        <v>73</v>
      </c>
      <c r="AY123" s="14" t="s">
        <v>74</v>
      </c>
    </row>
    <row r="124" spans="1:51" ht="15" customHeight="1" x14ac:dyDescent="0.4">
      <c r="A124" s="12">
        <v>2473</v>
      </c>
      <c r="B124" t="s">
        <v>1373</v>
      </c>
      <c r="D124" t="s">
        <v>1374</v>
      </c>
      <c r="E124" s="13"/>
      <c r="F124" s="41"/>
      <c r="G124" s="41"/>
      <c r="H124" s="41"/>
      <c r="I124" s="14" t="s">
        <v>49</v>
      </c>
      <c r="J124" s="15">
        <v>42983</v>
      </c>
      <c r="K124" t="s">
        <v>1225</v>
      </c>
      <c r="L124" t="s">
        <v>51</v>
      </c>
      <c r="M124" s="15" t="s">
        <v>52</v>
      </c>
      <c r="N124" t="s">
        <v>53</v>
      </c>
      <c r="O124" t="s">
        <v>1226</v>
      </c>
      <c r="P124" t="s">
        <v>1340</v>
      </c>
      <c r="Q124" t="s">
        <v>56</v>
      </c>
      <c r="R124" s="16" t="s">
        <v>1341</v>
      </c>
      <c r="S124" s="21"/>
      <c r="T124" t="s">
        <v>1229</v>
      </c>
      <c r="Y124" t="s">
        <v>60</v>
      </c>
      <c r="AA124" s="15"/>
      <c r="AC124">
        <v>40.731549999999999</v>
      </c>
      <c r="AD124">
        <v>-83.094539999999995</v>
      </c>
      <c r="AE124" t="s">
        <v>1364</v>
      </c>
      <c r="AH124" t="s">
        <v>62</v>
      </c>
      <c r="AI124" t="s">
        <v>63</v>
      </c>
      <c r="AJ124" t="s">
        <v>1375</v>
      </c>
      <c r="AK124" t="s">
        <v>1376</v>
      </c>
      <c r="AM124" t="s">
        <v>1377</v>
      </c>
      <c r="AN124" t="s">
        <v>1378</v>
      </c>
      <c r="AO124" t="s">
        <v>1379</v>
      </c>
      <c r="AP124" t="s">
        <v>68</v>
      </c>
      <c r="AR124" t="s">
        <v>1380</v>
      </c>
      <c r="AS124" t="s">
        <v>1381</v>
      </c>
      <c r="AT124" t="s">
        <v>1382</v>
      </c>
      <c r="AW124" s="14" t="s">
        <v>72</v>
      </c>
      <c r="AX124" s="14" t="s">
        <v>73</v>
      </c>
      <c r="AY124" s="14" t="s">
        <v>74</v>
      </c>
    </row>
    <row r="125" spans="1:51" ht="15" customHeight="1" x14ac:dyDescent="0.4">
      <c r="A125" s="12">
        <v>2474</v>
      </c>
      <c r="B125" t="s">
        <v>1383</v>
      </c>
      <c r="D125" t="s">
        <v>1384</v>
      </c>
      <c r="E125" s="13"/>
      <c r="F125" s="41"/>
      <c r="G125" s="41"/>
      <c r="H125" s="41"/>
      <c r="I125" s="14" t="s">
        <v>49</v>
      </c>
      <c r="J125" s="15">
        <v>42983</v>
      </c>
      <c r="K125" t="s">
        <v>1225</v>
      </c>
      <c r="L125" t="s">
        <v>51</v>
      </c>
      <c r="M125" s="15" t="s">
        <v>52</v>
      </c>
      <c r="N125" t="s">
        <v>53</v>
      </c>
      <c r="O125" t="s">
        <v>1226</v>
      </c>
      <c r="P125" t="s">
        <v>1340</v>
      </c>
      <c r="Q125" t="s">
        <v>56</v>
      </c>
      <c r="R125" s="16" t="s">
        <v>1341</v>
      </c>
      <c r="S125" s="21"/>
      <c r="T125" t="s">
        <v>1229</v>
      </c>
      <c r="Y125" t="s">
        <v>180</v>
      </c>
      <c r="Z125" t="s">
        <v>79</v>
      </c>
      <c r="AA125" s="15">
        <v>45597</v>
      </c>
      <c r="AB125" t="s">
        <v>48</v>
      </c>
      <c r="AC125">
        <v>40.730359999999997</v>
      </c>
      <c r="AD125">
        <v>-83.094719999999995</v>
      </c>
      <c r="AE125" t="s">
        <v>1342</v>
      </c>
      <c r="AH125" t="s">
        <v>62</v>
      </c>
      <c r="AI125" t="s">
        <v>63</v>
      </c>
      <c r="AJ125" t="s">
        <v>1385</v>
      </c>
      <c r="AK125">
        <v>186416</v>
      </c>
      <c r="AM125" t="s">
        <v>1386</v>
      </c>
      <c r="AN125" t="s">
        <v>1387</v>
      </c>
      <c r="AO125" t="s">
        <v>1388</v>
      </c>
      <c r="AP125" t="s">
        <v>68</v>
      </c>
      <c r="AR125" t="s">
        <v>1389</v>
      </c>
      <c r="AS125" t="s">
        <v>1390</v>
      </c>
      <c r="AT125" t="s">
        <v>1391</v>
      </c>
      <c r="AU125" s="31" t="s">
        <v>1392</v>
      </c>
      <c r="AV125" s="31" t="s">
        <v>85</v>
      </c>
      <c r="AW125" s="14" t="s">
        <v>72</v>
      </c>
      <c r="AX125" s="14" t="s">
        <v>73</v>
      </c>
      <c r="AY125" s="14" t="s">
        <v>74</v>
      </c>
    </row>
    <row r="126" spans="1:51" ht="15" customHeight="1" x14ac:dyDescent="0.4">
      <c r="A126" s="12">
        <v>2475</v>
      </c>
      <c r="B126" t="s">
        <v>1393</v>
      </c>
      <c r="D126" t="s">
        <v>1394</v>
      </c>
      <c r="E126" s="13"/>
      <c r="F126" s="41"/>
      <c r="G126" s="41"/>
      <c r="H126" s="41"/>
      <c r="I126" s="14" t="s">
        <v>49</v>
      </c>
      <c r="J126" s="15">
        <v>42983</v>
      </c>
      <c r="K126" t="s">
        <v>1225</v>
      </c>
      <c r="L126" t="s">
        <v>51</v>
      </c>
      <c r="M126" s="15" t="s">
        <v>52</v>
      </c>
      <c r="N126" t="s">
        <v>53</v>
      </c>
      <c r="O126" t="s">
        <v>1226</v>
      </c>
      <c r="P126" t="s">
        <v>1340</v>
      </c>
      <c r="Q126" t="s">
        <v>56</v>
      </c>
      <c r="R126" s="16" t="s">
        <v>1341</v>
      </c>
      <c r="S126" s="21"/>
      <c r="T126" t="s">
        <v>1229</v>
      </c>
      <c r="Y126" t="s">
        <v>60</v>
      </c>
      <c r="AA126" s="15"/>
      <c r="AC126">
        <v>40.729460000000003</v>
      </c>
      <c r="AD126">
        <v>-83.097110000000001</v>
      </c>
      <c r="AE126" t="s">
        <v>1395</v>
      </c>
      <c r="AH126" t="s">
        <v>62</v>
      </c>
      <c r="AI126" t="s">
        <v>63</v>
      </c>
      <c r="AJ126" t="s">
        <v>1396</v>
      </c>
      <c r="AK126" t="s">
        <v>1397</v>
      </c>
      <c r="AM126" t="s">
        <v>1398</v>
      </c>
      <c r="AN126" t="s">
        <v>1399</v>
      </c>
      <c r="AO126" t="s">
        <v>1400</v>
      </c>
      <c r="AP126" t="s">
        <v>68</v>
      </c>
      <c r="AR126" t="s">
        <v>1401</v>
      </c>
      <c r="AS126" t="s">
        <v>1402</v>
      </c>
      <c r="AT126" t="s">
        <v>1403</v>
      </c>
      <c r="AW126" s="14" t="s">
        <v>72</v>
      </c>
      <c r="AX126" s="14" t="s">
        <v>73</v>
      </c>
      <c r="AY126" s="14" t="s">
        <v>74</v>
      </c>
    </row>
    <row r="127" spans="1:51" ht="15" customHeight="1" x14ac:dyDescent="0.4">
      <c r="A127" s="12">
        <v>2476</v>
      </c>
      <c r="B127" t="s">
        <v>1404</v>
      </c>
      <c r="D127" t="s">
        <v>1405</v>
      </c>
      <c r="E127" s="13"/>
      <c r="F127" s="41"/>
      <c r="G127" s="41"/>
      <c r="H127" s="41"/>
      <c r="I127" s="14" t="s">
        <v>49</v>
      </c>
      <c r="J127" s="15">
        <v>42983</v>
      </c>
      <c r="K127" t="s">
        <v>1225</v>
      </c>
      <c r="L127" t="s">
        <v>51</v>
      </c>
      <c r="M127" s="15" t="s">
        <v>52</v>
      </c>
      <c r="N127" t="s">
        <v>53</v>
      </c>
      <c r="O127" t="s">
        <v>1226</v>
      </c>
      <c r="P127" t="s">
        <v>1340</v>
      </c>
      <c r="Q127" t="s">
        <v>56</v>
      </c>
      <c r="R127" s="16" t="s">
        <v>1341</v>
      </c>
      <c r="S127" s="21"/>
      <c r="T127" t="s">
        <v>1229</v>
      </c>
      <c r="Y127" t="s">
        <v>60</v>
      </c>
      <c r="AA127" s="15"/>
      <c r="AC127">
        <v>40.728340000000003</v>
      </c>
      <c r="AD127">
        <v>-83.096249999999998</v>
      </c>
      <c r="AE127" t="s">
        <v>1406</v>
      </c>
      <c r="AH127" t="s">
        <v>62</v>
      </c>
      <c r="AI127" t="s">
        <v>63</v>
      </c>
      <c r="AJ127" t="s">
        <v>1407</v>
      </c>
      <c r="AK127" t="s">
        <v>1408</v>
      </c>
      <c r="AM127" t="s">
        <v>1409</v>
      </c>
      <c r="AN127" t="s">
        <v>1410</v>
      </c>
      <c r="AO127" t="s">
        <v>1411</v>
      </c>
      <c r="AP127" t="s">
        <v>68</v>
      </c>
      <c r="AR127" t="s">
        <v>1412</v>
      </c>
      <c r="AS127" t="s">
        <v>1413</v>
      </c>
      <c r="AT127" t="s">
        <v>1414</v>
      </c>
      <c r="AW127" s="14" t="s">
        <v>72</v>
      </c>
      <c r="AX127" s="14" t="s">
        <v>73</v>
      </c>
      <c r="AY127" s="14" t="s">
        <v>74</v>
      </c>
    </row>
    <row r="128" spans="1:51" ht="15" customHeight="1" x14ac:dyDescent="0.4">
      <c r="A128" s="12">
        <v>2477</v>
      </c>
      <c r="B128" t="s">
        <v>1415</v>
      </c>
      <c r="D128" t="s">
        <v>1416</v>
      </c>
      <c r="E128" s="13"/>
      <c r="F128" s="41"/>
      <c r="G128" s="41"/>
      <c r="H128" s="41"/>
      <c r="I128" s="14" t="s">
        <v>49</v>
      </c>
      <c r="J128" s="15">
        <v>42983</v>
      </c>
      <c r="K128" t="s">
        <v>1225</v>
      </c>
      <c r="L128" t="s">
        <v>51</v>
      </c>
      <c r="M128" s="15" t="s">
        <v>52</v>
      </c>
      <c r="N128" t="s">
        <v>53</v>
      </c>
      <c r="O128" t="s">
        <v>1226</v>
      </c>
      <c r="P128" t="s">
        <v>1340</v>
      </c>
      <c r="Q128" t="s">
        <v>56</v>
      </c>
      <c r="R128" s="16" t="s">
        <v>1341</v>
      </c>
      <c r="S128" s="21"/>
      <c r="T128" t="s">
        <v>1229</v>
      </c>
      <c r="Y128" t="s">
        <v>60</v>
      </c>
      <c r="AA128" s="15"/>
      <c r="AC128">
        <v>40.728349999999999</v>
      </c>
      <c r="AD128">
        <v>-83.095359999999999</v>
      </c>
      <c r="AE128" t="s">
        <v>1417</v>
      </c>
      <c r="AH128" t="s">
        <v>62</v>
      </c>
      <c r="AI128" t="s">
        <v>63</v>
      </c>
      <c r="AJ128" t="s">
        <v>1418</v>
      </c>
      <c r="AK128" t="s">
        <v>1419</v>
      </c>
      <c r="AM128" t="s">
        <v>1420</v>
      </c>
      <c r="AN128" t="s">
        <v>1421</v>
      </c>
      <c r="AO128" t="s">
        <v>1422</v>
      </c>
      <c r="AP128" t="s">
        <v>68</v>
      </c>
      <c r="AR128" t="s">
        <v>1423</v>
      </c>
      <c r="AS128" t="s">
        <v>1424</v>
      </c>
      <c r="AT128" t="s">
        <v>1425</v>
      </c>
      <c r="AW128" s="14" t="s">
        <v>72</v>
      </c>
      <c r="AX128" s="14" t="s">
        <v>73</v>
      </c>
      <c r="AY128" s="14" t="s">
        <v>74</v>
      </c>
    </row>
    <row r="129" spans="1:51" ht="15" customHeight="1" x14ac:dyDescent="0.4">
      <c r="A129" s="12">
        <v>2478</v>
      </c>
      <c r="B129" t="s">
        <v>1426</v>
      </c>
      <c r="D129" t="s">
        <v>1427</v>
      </c>
      <c r="E129" s="13"/>
      <c r="F129" s="41"/>
      <c r="G129" s="41"/>
      <c r="H129" s="41"/>
      <c r="I129" s="14" t="s">
        <v>49</v>
      </c>
      <c r="J129" s="15">
        <v>42983</v>
      </c>
      <c r="K129" t="s">
        <v>1225</v>
      </c>
      <c r="L129" t="s">
        <v>51</v>
      </c>
      <c r="M129" s="15" t="s">
        <v>52</v>
      </c>
      <c r="N129" t="s">
        <v>53</v>
      </c>
      <c r="O129" t="s">
        <v>1226</v>
      </c>
      <c r="P129" t="s">
        <v>1340</v>
      </c>
      <c r="Q129" t="s">
        <v>56</v>
      </c>
      <c r="R129" s="16" t="s">
        <v>1341</v>
      </c>
      <c r="S129" s="21"/>
      <c r="T129" t="s">
        <v>1229</v>
      </c>
      <c r="Y129" t="s">
        <v>180</v>
      </c>
      <c r="Z129" t="s">
        <v>79</v>
      </c>
      <c r="AA129" s="15">
        <v>45597</v>
      </c>
      <c r="AB129" t="s">
        <v>48</v>
      </c>
      <c r="AC129">
        <v>40.728189999999998</v>
      </c>
      <c r="AD129">
        <v>-83.092939999999999</v>
      </c>
      <c r="AE129" t="s">
        <v>1428</v>
      </c>
      <c r="AH129" t="s">
        <v>62</v>
      </c>
      <c r="AI129" t="s">
        <v>63</v>
      </c>
      <c r="AJ129" t="s">
        <v>1429</v>
      </c>
      <c r="AK129">
        <v>185962</v>
      </c>
      <c r="AM129" t="s">
        <v>1430</v>
      </c>
      <c r="AN129" t="s">
        <v>1431</v>
      </c>
      <c r="AO129" t="s">
        <v>1432</v>
      </c>
      <c r="AP129" t="s">
        <v>68</v>
      </c>
      <c r="AR129" t="s">
        <v>1433</v>
      </c>
      <c r="AS129" t="s">
        <v>1434</v>
      </c>
      <c r="AT129" t="s">
        <v>1435</v>
      </c>
      <c r="AU129" s="31" t="s">
        <v>1436</v>
      </c>
      <c r="AV129" s="31" t="s">
        <v>85</v>
      </c>
      <c r="AW129" s="14" t="s">
        <v>72</v>
      </c>
      <c r="AX129" s="14" t="s">
        <v>73</v>
      </c>
      <c r="AY129" s="14" t="s">
        <v>74</v>
      </c>
    </row>
    <row r="130" spans="1:51" ht="15" customHeight="1" x14ac:dyDescent="0.4">
      <c r="A130" s="12">
        <v>2479</v>
      </c>
      <c r="B130" t="s">
        <v>1437</v>
      </c>
      <c r="D130" t="s">
        <v>1438</v>
      </c>
      <c r="E130" s="13"/>
      <c r="F130" s="41"/>
      <c r="G130" s="41"/>
      <c r="H130" s="41"/>
      <c r="I130" s="14" t="s">
        <v>49</v>
      </c>
      <c r="J130" s="15">
        <v>42983</v>
      </c>
      <c r="K130" t="s">
        <v>1225</v>
      </c>
      <c r="L130" t="s">
        <v>51</v>
      </c>
      <c r="M130" s="15" t="s">
        <v>52</v>
      </c>
      <c r="N130" t="s">
        <v>53</v>
      </c>
      <c r="O130" t="s">
        <v>1226</v>
      </c>
      <c r="P130" t="s">
        <v>1340</v>
      </c>
      <c r="Q130" t="s">
        <v>56</v>
      </c>
      <c r="R130" s="16" t="s">
        <v>1341</v>
      </c>
      <c r="S130" s="21"/>
      <c r="T130" t="s">
        <v>1229</v>
      </c>
      <c r="Y130" t="s">
        <v>60</v>
      </c>
      <c r="AA130" s="15"/>
      <c r="AC130">
        <v>40.729439999999997</v>
      </c>
      <c r="AD130">
        <v>-83.092609999999993</v>
      </c>
      <c r="AE130" t="s">
        <v>1364</v>
      </c>
      <c r="AH130" t="s">
        <v>62</v>
      </c>
      <c r="AI130" t="s">
        <v>63</v>
      </c>
      <c r="AJ130" t="s">
        <v>1439</v>
      </c>
      <c r="AK130" t="s">
        <v>1440</v>
      </c>
      <c r="AM130" t="s">
        <v>1441</v>
      </c>
      <c r="AN130" t="s">
        <v>1442</v>
      </c>
      <c r="AO130" t="s">
        <v>1443</v>
      </c>
      <c r="AP130" t="s">
        <v>68</v>
      </c>
      <c r="AR130" t="s">
        <v>1444</v>
      </c>
      <c r="AS130" t="s">
        <v>1445</v>
      </c>
      <c r="AT130" t="s">
        <v>1446</v>
      </c>
      <c r="AW130" s="14" t="s">
        <v>72</v>
      </c>
      <c r="AX130" s="14" t="s">
        <v>73</v>
      </c>
      <c r="AY130" s="14" t="s">
        <v>74</v>
      </c>
    </row>
    <row r="131" spans="1:51" ht="15" customHeight="1" x14ac:dyDescent="0.4">
      <c r="A131" s="12">
        <v>2570</v>
      </c>
      <c r="B131" t="s">
        <v>1447</v>
      </c>
      <c r="D131" t="s">
        <v>1448</v>
      </c>
      <c r="E131" s="13"/>
      <c r="F131" s="41"/>
      <c r="G131" s="41"/>
      <c r="H131" s="41"/>
      <c r="I131" s="14" t="s">
        <v>49</v>
      </c>
      <c r="J131" s="15">
        <v>42965</v>
      </c>
      <c r="K131" t="s">
        <v>1449</v>
      </c>
      <c r="L131" t="s">
        <v>51</v>
      </c>
      <c r="M131" t="s">
        <v>1450</v>
      </c>
      <c r="N131" t="s">
        <v>53</v>
      </c>
      <c r="O131" t="s">
        <v>1451</v>
      </c>
      <c r="P131" t="s">
        <v>1452</v>
      </c>
      <c r="Q131" t="s">
        <v>56</v>
      </c>
      <c r="R131" t="s">
        <v>1453</v>
      </c>
      <c r="S131" s="21" t="s">
        <v>1454</v>
      </c>
      <c r="U131" t="s">
        <v>1455</v>
      </c>
      <c r="V131">
        <v>25</v>
      </c>
      <c r="W131" s="13" t="s">
        <v>1456</v>
      </c>
      <c r="Y131" t="s">
        <v>60</v>
      </c>
      <c r="AA131" s="15"/>
      <c r="AC131">
        <v>43.760489999999997</v>
      </c>
      <c r="AD131">
        <v>-103.47675</v>
      </c>
      <c r="AE131" t="s">
        <v>1457</v>
      </c>
      <c r="AF131" t="s">
        <v>1458</v>
      </c>
      <c r="AH131" t="s">
        <v>62</v>
      </c>
      <c r="AI131" t="s">
        <v>63</v>
      </c>
      <c r="AJ131" t="s">
        <v>1459</v>
      </c>
      <c r="AK131" t="s">
        <v>48</v>
      </c>
      <c r="AM131" t="s">
        <v>48</v>
      </c>
      <c r="AN131" s="24" t="s">
        <v>1460</v>
      </c>
      <c r="AO131" t="s">
        <v>48</v>
      </c>
      <c r="AP131" t="s">
        <v>68</v>
      </c>
      <c r="AQ131" s="22"/>
      <c r="AR131" t="s">
        <v>1461</v>
      </c>
      <c r="AS131" t="s">
        <v>1462</v>
      </c>
      <c r="AT131" t="s">
        <v>1463</v>
      </c>
      <c r="AU131" s="31" t="s">
        <v>1464</v>
      </c>
      <c r="AV131" s="31" t="s">
        <v>85</v>
      </c>
      <c r="AW131" s="14" t="s">
        <v>72</v>
      </c>
      <c r="AX131" s="14" t="s">
        <v>73</v>
      </c>
      <c r="AY131" s="14" t="s">
        <v>74</v>
      </c>
    </row>
    <row r="132" spans="1:51" ht="15" customHeight="1" x14ac:dyDescent="0.4">
      <c r="A132" s="12">
        <v>2571</v>
      </c>
      <c r="B132" t="s">
        <v>1465</v>
      </c>
      <c r="D132" t="s">
        <v>1466</v>
      </c>
      <c r="E132" s="13"/>
      <c r="F132" s="41"/>
      <c r="G132" s="41"/>
      <c r="H132" s="41"/>
      <c r="I132" s="14" t="s">
        <v>49</v>
      </c>
      <c r="J132" s="15">
        <v>42965</v>
      </c>
      <c r="K132" t="s">
        <v>1449</v>
      </c>
      <c r="L132" t="s">
        <v>51</v>
      </c>
      <c r="M132" t="s">
        <v>1450</v>
      </c>
      <c r="N132" t="s">
        <v>53</v>
      </c>
      <c r="O132" t="s">
        <v>1451</v>
      </c>
      <c r="P132" t="s">
        <v>1452</v>
      </c>
      <c r="Q132" t="s">
        <v>56</v>
      </c>
      <c r="R132" t="s">
        <v>1453</v>
      </c>
      <c r="S132" s="21" t="s">
        <v>1454</v>
      </c>
      <c r="U132" t="s">
        <v>1455</v>
      </c>
      <c r="V132">
        <v>30</v>
      </c>
      <c r="W132" s="13" t="s">
        <v>1467</v>
      </c>
      <c r="Y132" t="s">
        <v>60</v>
      </c>
      <c r="AA132" s="15"/>
      <c r="AC132">
        <v>43.761949999999999</v>
      </c>
      <c r="AD132">
        <v>-103.47226000000001</v>
      </c>
      <c r="AE132" t="s">
        <v>1468</v>
      </c>
      <c r="AF132" t="s">
        <v>1469</v>
      </c>
      <c r="AH132" t="s">
        <v>62</v>
      </c>
      <c r="AI132" t="s">
        <v>63</v>
      </c>
      <c r="AJ132" t="s">
        <v>1470</v>
      </c>
      <c r="AK132">
        <v>185943</v>
      </c>
      <c r="AM132" t="s">
        <v>1471</v>
      </c>
      <c r="AN132" t="s">
        <v>1472</v>
      </c>
      <c r="AO132" t="s">
        <v>1473</v>
      </c>
      <c r="AP132" t="s">
        <v>68</v>
      </c>
      <c r="AR132" t="s">
        <v>1474</v>
      </c>
      <c r="AS132" t="s">
        <v>1475</v>
      </c>
      <c r="AT132" t="s">
        <v>1476</v>
      </c>
      <c r="AW132" s="14" t="s">
        <v>72</v>
      </c>
      <c r="AX132" s="14" t="s">
        <v>73</v>
      </c>
      <c r="AY132" s="14" t="s">
        <v>74</v>
      </c>
    </row>
    <row r="133" spans="1:51" ht="15" customHeight="1" x14ac:dyDescent="0.4">
      <c r="A133" s="12">
        <v>2572</v>
      </c>
      <c r="B133" t="s">
        <v>1477</v>
      </c>
      <c r="D133" t="s">
        <v>1478</v>
      </c>
      <c r="E133" s="13"/>
      <c r="F133" s="41"/>
      <c r="G133" s="41"/>
      <c r="H133" s="41"/>
      <c r="I133" s="14" t="s">
        <v>49</v>
      </c>
      <c r="J133" s="15">
        <v>42965</v>
      </c>
      <c r="K133" t="s">
        <v>1449</v>
      </c>
      <c r="L133" t="s">
        <v>51</v>
      </c>
      <c r="M133" t="s">
        <v>1450</v>
      </c>
      <c r="N133" t="s">
        <v>53</v>
      </c>
      <c r="O133" t="s">
        <v>1451</v>
      </c>
      <c r="P133" t="s">
        <v>1452</v>
      </c>
      <c r="Q133" t="s">
        <v>56</v>
      </c>
      <c r="R133" t="s">
        <v>1453</v>
      </c>
      <c r="S133" s="21" t="s">
        <v>1454</v>
      </c>
      <c r="U133" t="s">
        <v>1455</v>
      </c>
      <c r="V133">
        <v>30</v>
      </c>
      <c r="W133" s="13" t="s">
        <v>1479</v>
      </c>
      <c r="Y133" t="s">
        <v>60</v>
      </c>
      <c r="AA133" s="15"/>
      <c r="AC133">
        <v>43.762070000000001</v>
      </c>
      <c r="AD133">
        <v>-103.46704</v>
      </c>
      <c r="AE133" t="s">
        <v>1480</v>
      </c>
      <c r="AF133" t="s">
        <v>1481</v>
      </c>
      <c r="AH133" t="s">
        <v>62</v>
      </c>
      <c r="AI133" t="s">
        <v>63</v>
      </c>
      <c r="AJ133" t="s">
        <v>1482</v>
      </c>
      <c r="AK133">
        <v>185944</v>
      </c>
      <c r="AM133" t="s">
        <v>1483</v>
      </c>
      <c r="AN133" t="s">
        <v>1484</v>
      </c>
      <c r="AO133" t="s">
        <v>1485</v>
      </c>
      <c r="AP133" t="s">
        <v>68</v>
      </c>
      <c r="AR133" t="s">
        <v>1486</v>
      </c>
      <c r="AS133" t="s">
        <v>1487</v>
      </c>
      <c r="AT133" t="s">
        <v>1488</v>
      </c>
      <c r="AW133" s="14" t="s">
        <v>72</v>
      </c>
      <c r="AX133" s="14" t="s">
        <v>73</v>
      </c>
      <c r="AY133" s="14" t="s">
        <v>74</v>
      </c>
    </row>
    <row r="134" spans="1:51" ht="15" customHeight="1" x14ac:dyDescent="0.4">
      <c r="A134" s="12">
        <v>2573</v>
      </c>
      <c r="B134" t="s">
        <v>1489</v>
      </c>
      <c r="D134" t="s">
        <v>1490</v>
      </c>
      <c r="E134" s="13"/>
      <c r="F134" s="41"/>
      <c r="G134" s="41"/>
      <c r="H134" s="41"/>
      <c r="I134" s="14" t="s">
        <v>49</v>
      </c>
      <c r="J134" s="15">
        <v>42965</v>
      </c>
      <c r="K134" t="s">
        <v>1449</v>
      </c>
      <c r="L134" t="s">
        <v>51</v>
      </c>
      <c r="M134" t="s">
        <v>1450</v>
      </c>
      <c r="N134" t="s">
        <v>53</v>
      </c>
      <c r="O134" t="s">
        <v>1451</v>
      </c>
      <c r="P134" t="s">
        <v>1452</v>
      </c>
      <c r="Q134" t="s">
        <v>56</v>
      </c>
      <c r="R134" t="s">
        <v>1453</v>
      </c>
      <c r="S134" s="21" t="s">
        <v>1454</v>
      </c>
      <c r="U134" t="s">
        <v>1455</v>
      </c>
      <c r="V134">
        <v>18</v>
      </c>
      <c r="W134" s="13" t="s">
        <v>1491</v>
      </c>
      <c r="Y134" t="s">
        <v>60</v>
      </c>
      <c r="AA134" s="15"/>
      <c r="AC134">
        <v>43.76737</v>
      </c>
      <c r="AD134">
        <v>-103.45567</v>
      </c>
      <c r="AE134" t="s">
        <v>1492</v>
      </c>
      <c r="AF134" t="s">
        <v>1493</v>
      </c>
      <c r="AH134" t="s">
        <v>62</v>
      </c>
      <c r="AI134" t="s">
        <v>63</v>
      </c>
      <c r="AJ134" t="s">
        <v>1494</v>
      </c>
      <c r="AK134">
        <v>185945</v>
      </c>
      <c r="AM134" t="s">
        <v>1495</v>
      </c>
      <c r="AN134" t="s">
        <v>1496</v>
      </c>
      <c r="AO134" t="s">
        <v>1497</v>
      </c>
      <c r="AP134" t="s">
        <v>68</v>
      </c>
      <c r="AR134" t="s">
        <v>1498</v>
      </c>
      <c r="AS134" t="s">
        <v>1499</v>
      </c>
      <c r="AT134" t="s">
        <v>1500</v>
      </c>
      <c r="AW134" s="14" t="s">
        <v>72</v>
      </c>
      <c r="AX134" s="14" t="s">
        <v>73</v>
      </c>
      <c r="AY134" s="14" t="s">
        <v>74</v>
      </c>
    </row>
    <row r="135" spans="1:51" ht="15" customHeight="1" x14ac:dyDescent="0.4">
      <c r="A135" s="12">
        <v>2574</v>
      </c>
      <c r="B135" t="s">
        <v>1501</v>
      </c>
      <c r="D135" t="s">
        <v>1502</v>
      </c>
      <c r="E135" s="13"/>
      <c r="F135" s="41"/>
      <c r="G135" s="41"/>
      <c r="H135" s="41"/>
      <c r="I135" s="14" t="s">
        <v>49</v>
      </c>
      <c r="J135" s="15">
        <v>42965</v>
      </c>
      <c r="K135" t="s">
        <v>1449</v>
      </c>
      <c r="L135" t="s">
        <v>51</v>
      </c>
      <c r="M135" t="s">
        <v>1450</v>
      </c>
      <c r="N135" t="s">
        <v>53</v>
      </c>
      <c r="O135" t="s">
        <v>1451</v>
      </c>
      <c r="P135" t="s">
        <v>1452</v>
      </c>
      <c r="Q135" t="s">
        <v>56</v>
      </c>
      <c r="R135" t="s">
        <v>1453</v>
      </c>
      <c r="S135" s="21" t="s">
        <v>1454</v>
      </c>
      <c r="U135" t="s">
        <v>1455</v>
      </c>
      <c r="V135">
        <v>18</v>
      </c>
      <c r="W135" s="13" t="s">
        <v>1456</v>
      </c>
      <c r="Y135" t="s">
        <v>78</v>
      </c>
      <c r="Z135" t="s">
        <v>562</v>
      </c>
      <c r="AA135" s="15">
        <v>45597</v>
      </c>
      <c r="AB135" t="s">
        <v>48</v>
      </c>
      <c r="AC135">
        <v>43.7746</v>
      </c>
      <c r="AD135">
        <v>-103.43264000000001</v>
      </c>
      <c r="AE135" t="s">
        <v>1503</v>
      </c>
      <c r="AF135" t="s">
        <v>1504</v>
      </c>
      <c r="AH135" t="s">
        <v>62</v>
      </c>
      <c r="AI135" t="s">
        <v>63</v>
      </c>
      <c r="AJ135" t="s">
        <v>1505</v>
      </c>
      <c r="AK135">
        <v>185946</v>
      </c>
      <c r="AM135" t="s">
        <v>1506</v>
      </c>
      <c r="AN135" t="s">
        <v>1507</v>
      </c>
      <c r="AO135" t="s">
        <v>1508</v>
      </c>
      <c r="AP135" t="s">
        <v>68</v>
      </c>
      <c r="AR135" t="s">
        <v>1509</v>
      </c>
      <c r="AS135" t="s">
        <v>1510</v>
      </c>
      <c r="AT135" t="s">
        <v>1511</v>
      </c>
      <c r="AU135" s="31" t="s">
        <v>1512</v>
      </c>
      <c r="AV135" s="31" t="s">
        <v>85</v>
      </c>
      <c r="AW135" s="14" t="s">
        <v>72</v>
      </c>
      <c r="AX135" s="14" t="s">
        <v>73</v>
      </c>
      <c r="AY135" s="14" t="s">
        <v>74</v>
      </c>
    </row>
    <row r="136" spans="1:51" ht="15" customHeight="1" x14ac:dyDescent="0.4">
      <c r="A136" s="12">
        <v>2575</v>
      </c>
      <c r="B136" t="s">
        <v>1513</v>
      </c>
      <c r="D136" t="s">
        <v>1514</v>
      </c>
      <c r="E136" s="13"/>
      <c r="F136" s="41"/>
      <c r="G136" s="41"/>
      <c r="H136" s="41"/>
      <c r="I136" s="14" t="s">
        <v>49</v>
      </c>
      <c r="J136" s="15">
        <v>42965</v>
      </c>
      <c r="K136" t="s">
        <v>1449</v>
      </c>
      <c r="L136" t="s">
        <v>51</v>
      </c>
      <c r="M136" t="s">
        <v>1450</v>
      </c>
      <c r="N136" t="s">
        <v>53</v>
      </c>
      <c r="O136" t="s">
        <v>1451</v>
      </c>
      <c r="P136" t="s">
        <v>1452</v>
      </c>
      <c r="Q136" t="s">
        <v>56</v>
      </c>
      <c r="R136" t="s">
        <v>1453</v>
      </c>
      <c r="S136" s="21" t="s">
        <v>1454</v>
      </c>
      <c r="U136" t="s">
        <v>1455</v>
      </c>
      <c r="V136">
        <v>15</v>
      </c>
      <c r="W136" s="13" t="s">
        <v>1515</v>
      </c>
      <c r="Y136" t="s">
        <v>60</v>
      </c>
      <c r="AA136" s="15"/>
      <c r="AC136">
        <v>43.776240000000001</v>
      </c>
      <c r="AD136">
        <v>-103.41792</v>
      </c>
      <c r="AE136" t="s">
        <v>1516</v>
      </c>
      <c r="AF136" t="s">
        <v>1517</v>
      </c>
      <c r="AH136" t="s">
        <v>62</v>
      </c>
      <c r="AI136" t="s">
        <v>63</v>
      </c>
      <c r="AJ136" t="s">
        <v>1518</v>
      </c>
      <c r="AK136">
        <v>185947</v>
      </c>
      <c r="AM136" t="s">
        <v>1519</v>
      </c>
      <c r="AN136" t="s">
        <v>1520</v>
      </c>
      <c r="AO136" t="s">
        <v>1521</v>
      </c>
      <c r="AP136" t="s">
        <v>68</v>
      </c>
      <c r="AR136" t="s">
        <v>1522</v>
      </c>
      <c r="AS136" t="s">
        <v>1523</v>
      </c>
      <c r="AT136" t="s">
        <v>1524</v>
      </c>
      <c r="AW136" s="14" t="s">
        <v>72</v>
      </c>
      <c r="AX136" s="14" t="s">
        <v>73</v>
      </c>
      <c r="AY136" s="14" t="s">
        <v>74</v>
      </c>
    </row>
    <row r="137" spans="1:51" ht="15" customHeight="1" x14ac:dyDescent="0.4">
      <c r="A137" s="12">
        <v>2576</v>
      </c>
      <c r="B137" t="s">
        <v>1525</v>
      </c>
      <c r="D137" t="s">
        <v>1526</v>
      </c>
      <c r="E137" s="13"/>
      <c r="F137" s="41"/>
      <c r="G137" s="41"/>
      <c r="H137" s="41"/>
      <c r="I137" s="14" t="s">
        <v>49</v>
      </c>
      <c r="J137" s="15">
        <v>42965</v>
      </c>
      <c r="K137" t="s">
        <v>1449</v>
      </c>
      <c r="L137" t="s">
        <v>51</v>
      </c>
      <c r="M137" t="s">
        <v>1450</v>
      </c>
      <c r="N137" t="s">
        <v>53</v>
      </c>
      <c r="O137" t="s">
        <v>1451</v>
      </c>
      <c r="P137" t="s">
        <v>1452</v>
      </c>
      <c r="Q137" t="s">
        <v>56</v>
      </c>
      <c r="R137" t="s">
        <v>1453</v>
      </c>
      <c r="S137" s="21" t="s">
        <v>1454</v>
      </c>
      <c r="U137" t="s">
        <v>1455</v>
      </c>
      <c r="V137">
        <v>100</v>
      </c>
      <c r="W137" s="13" t="s">
        <v>1527</v>
      </c>
      <c r="Y137" t="s">
        <v>60</v>
      </c>
      <c r="AA137" s="15"/>
      <c r="AC137">
        <v>43.77816</v>
      </c>
      <c r="AD137">
        <v>-103.40278000000001</v>
      </c>
      <c r="AE137" t="s">
        <v>1528</v>
      </c>
      <c r="AF137" t="s">
        <v>1529</v>
      </c>
      <c r="AH137" t="s">
        <v>62</v>
      </c>
      <c r="AI137" t="s">
        <v>63</v>
      </c>
      <c r="AJ137" t="s">
        <v>1530</v>
      </c>
      <c r="AK137">
        <v>185948</v>
      </c>
      <c r="AM137" t="s">
        <v>1531</v>
      </c>
      <c r="AN137" t="s">
        <v>1532</v>
      </c>
      <c r="AO137" t="s">
        <v>1533</v>
      </c>
      <c r="AP137" t="s">
        <v>68</v>
      </c>
      <c r="AR137" t="s">
        <v>1534</v>
      </c>
      <c r="AS137" t="s">
        <v>1535</v>
      </c>
      <c r="AT137" t="s">
        <v>1536</v>
      </c>
      <c r="AW137" s="14" t="s">
        <v>72</v>
      </c>
      <c r="AX137" s="14" t="s">
        <v>73</v>
      </c>
      <c r="AY137" s="14" t="s">
        <v>74</v>
      </c>
    </row>
    <row r="138" spans="1:51" ht="15" customHeight="1" x14ac:dyDescent="0.4">
      <c r="A138" s="12">
        <v>2577</v>
      </c>
      <c r="B138" t="s">
        <v>1537</v>
      </c>
      <c r="D138" t="s">
        <v>1538</v>
      </c>
      <c r="E138" s="13"/>
      <c r="F138" s="41"/>
      <c r="G138" s="41"/>
      <c r="H138" s="41"/>
      <c r="I138" s="14" t="s">
        <v>49</v>
      </c>
      <c r="J138" s="15">
        <v>42965</v>
      </c>
      <c r="K138" t="s">
        <v>1449</v>
      </c>
      <c r="L138" t="s">
        <v>51</v>
      </c>
      <c r="M138" t="s">
        <v>1450</v>
      </c>
      <c r="N138" t="s">
        <v>53</v>
      </c>
      <c r="O138" t="s">
        <v>1451</v>
      </c>
      <c r="P138" t="s">
        <v>1452</v>
      </c>
      <c r="Q138" t="s">
        <v>56</v>
      </c>
      <c r="R138" t="s">
        <v>1453</v>
      </c>
      <c r="S138" s="21" t="s">
        <v>1454</v>
      </c>
      <c r="U138" t="s">
        <v>1455</v>
      </c>
      <c r="V138">
        <v>45</v>
      </c>
      <c r="W138" s="13" t="s">
        <v>1539</v>
      </c>
      <c r="Y138" t="s">
        <v>60</v>
      </c>
      <c r="AA138" s="15"/>
      <c r="AC138">
        <v>43.765639999999998</v>
      </c>
      <c r="AD138">
        <v>-103.3884</v>
      </c>
      <c r="AE138" t="s">
        <v>1540</v>
      </c>
      <c r="AF138" t="s">
        <v>1541</v>
      </c>
      <c r="AH138" t="s">
        <v>62</v>
      </c>
      <c r="AI138" t="s">
        <v>63</v>
      </c>
      <c r="AJ138" t="s">
        <v>1542</v>
      </c>
      <c r="AK138">
        <v>185949</v>
      </c>
      <c r="AM138" t="s">
        <v>1543</v>
      </c>
      <c r="AN138" t="s">
        <v>1544</v>
      </c>
      <c r="AO138" t="s">
        <v>1545</v>
      </c>
      <c r="AP138" t="s">
        <v>68</v>
      </c>
      <c r="AR138" t="s">
        <v>1546</v>
      </c>
      <c r="AS138" t="s">
        <v>1547</v>
      </c>
      <c r="AT138" t="s">
        <v>1548</v>
      </c>
      <c r="AW138" s="14" t="s">
        <v>72</v>
      </c>
      <c r="AX138" s="14" t="s">
        <v>73</v>
      </c>
      <c r="AY138" s="14" t="s">
        <v>74</v>
      </c>
    </row>
    <row r="139" spans="1:51" ht="15" customHeight="1" x14ac:dyDescent="0.4">
      <c r="A139" s="12">
        <v>2578</v>
      </c>
      <c r="B139" t="s">
        <v>1549</v>
      </c>
      <c r="D139" t="s">
        <v>1550</v>
      </c>
      <c r="E139" s="13"/>
      <c r="F139" s="41"/>
      <c r="G139" s="41"/>
      <c r="H139" s="41"/>
      <c r="I139" s="14" t="s">
        <v>49</v>
      </c>
      <c r="J139" s="15">
        <v>42965</v>
      </c>
      <c r="K139" t="s">
        <v>1449</v>
      </c>
      <c r="L139" t="s">
        <v>51</v>
      </c>
      <c r="M139" t="s">
        <v>1450</v>
      </c>
      <c r="N139" t="s">
        <v>53</v>
      </c>
      <c r="O139" t="s">
        <v>1451</v>
      </c>
      <c r="P139" t="s">
        <v>1452</v>
      </c>
      <c r="Q139" t="s">
        <v>56</v>
      </c>
      <c r="S139" s="21" t="s">
        <v>1551</v>
      </c>
      <c r="U139" t="s">
        <v>1552</v>
      </c>
      <c r="V139">
        <v>25</v>
      </c>
      <c r="W139" s="13" t="s">
        <v>1553</v>
      </c>
      <c r="Y139" t="s">
        <v>60</v>
      </c>
      <c r="AA139" s="15"/>
      <c r="AC139">
        <v>43.772779999999997</v>
      </c>
      <c r="AD139">
        <v>-103.33803</v>
      </c>
      <c r="AE139" t="s">
        <v>1554</v>
      </c>
      <c r="AF139">
        <v>6604</v>
      </c>
      <c r="AH139" t="s">
        <v>62</v>
      </c>
      <c r="AI139" t="s">
        <v>63</v>
      </c>
      <c r="AJ139" t="s">
        <v>1555</v>
      </c>
      <c r="AK139">
        <v>185950</v>
      </c>
      <c r="AM139" t="s">
        <v>1556</v>
      </c>
      <c r="AN139" t="s">
        <v>1557</v>
      </c>
      <c r="AO139" t="s">
        <v>1558</v>
      </c>
      <c r="AP139" t="s">
        <v>68</v>
      </c>
      <c r="AR139" t="s">
        <v>1559</v>
      </c>
      <c r="AS139" t="s">
        <v>1560</v>
      </c>
      <c r="AT139" t="s">
        <v>1561</v>
      </c>
      <c r="AW139" s="14" t="s">
        <v>72</v>
      </c>
      <c r="AX139" s="14" t="s">
        <v>73</v>
      </c>
      <c r="AY139" s="14" t="s">
        <v>74</v>
      </c>
    </row>
    <row r="140" spans="1:51" ht="15" customHeight="1" x14ac:dyDescent="0.4">
      <c r="A140" s="12">
        <v>2579</v>
      </c>
      <c r="B140" t="s">
        <v>1562</v>
      </c>
      <c r="D140" t="s">
        <v>1563</v>
      </c>
      <c r="E140" s="13"/>
      <c r="F140" s="41"/>
      <c r="G140" s="41"/>
      <c r="H140" s="41"/>
      <c r="I140" s="14" t="s">
        <v>49</v>
      </c>
      <c r="J140" s="15">
        <v>42965</v>
      </c>
      <c r="K140" t="s">
        <v>1449</v>
      </c>
      <c r="L140" t="s">
        <v>51</v>
      </c>
      <c r="M140" t="s">
        <v>1450</v>
      </c>
      <c r="N140" t="s">
        <v>53</v>
      </c>
      <c r="O140" t="s">
        <v>1451</v>
      </c>
      <c r="P140" t="s">
        <v>1452</v>
      </c>
      <c r="Q140" t="s">
        <v>56</v>
      </c>
      <c r="S140" s="21" t="s">
        <v>1564</v>
      </c>
      <c r="U140" t="s">
        <v>1455</v>
      </c>
      <c r="V140" t="s">
        <v>1565</v>
      </c>
      <c r="W140" s="13" t="s">
        <v>1566</v>
      </c>
      <c r="Y140" t="s">
        <v>60</v>
      </c>
      <c r="AA140" s="15"/>
      <c r="AC140">
        <v>43.816839999999999</v>
      </c>
      <c r="AD140">
        <v>-103.25005</v>
      </c>
      <c r="AE140" t="s">
        <v>1567</v>
      </c>
      <c r="AF140" t="s">
        <v>1568</v>
      </c>
      <c r="AH140" t="s">
        <v>62</v>
      </c>
      <c r="AI140" t="s">
        <v>63</v>
      </c>
      <c r="AJ140" t="s">
        <v>1569</v>
      </c>
      <c r="AK140">
        <v>185951</v>
      </c>
      <c r="AM140" t="s">
        <v>1570</v>
      </c>
      <c r="AN140" t="s">
        <v>1571</v>
      </c>
      <c r="AO140" t="s">
        <v>1572</v>
      </c>
      <c r="AP140" t="s">
        <v>68</v>
      </c>
      <c r="AR140" t="s">
        <v>1573</v>
      </c>
      <c r="AS140" t="s">
        <v>1574</v>
      </c>
      <c r="AT140" t="s">
        <v>1575</v>
      </c>
      <c r="AU140" s="31" t="s">
        <v>1576</v>
      </c>
      <c r="AV140" s="31" t="s">
        <v>85</v>
      </c>
      <c r="AW140" s="14" t="s">
        <v>72</v>
      </c>
      <c r="AX140" s="14" t="s">
        <v>73</v>
      </c>
      <c r="AY140" s="14" t="s">
        <v>74</v>
      </c>
    </row>
    <row r="141" spans="1:51" ht="15" customHeight="1" x14ac:dyDescent="0.4">
      <c r="A141" s="12">
        <v>2580</v>
      </c>
      <c r="B141" t="s">
        <v>1577</v>
      </c>
      <c r="D141" t="s">
        <v>1578</v>
      </c>
      <c r="E141" s="13"/>
      <c r="F141" s="41"/>
      <c r="G141" s="41"/>
      <c r="H141" s="41"/>
      <c r="I141" s="14" t="s">
        <v>49</v>
      </c>
      <c r="J141" s="15">
        <v>42965</v>
      </c>
      <c r="K141" t="s">
        <v>1449</v>
      </c>
      <c r="L141" t="s">
        <v>51</v>
      </c>
      <c r="M141" t="s">
        <v>1450</v>
      </c>
      <c r="N141" t="s">
        <v>53</v>
      </c>
      <c r="O141" t="s">
        <v>1451</v>
      </c>
      <c r="P141" t="s">
        <v>1579</v>
      </c>
      <c r="Q141" t="s">
        <v>56</v>
      </c>
      <c r="S141" s="21" t="s">
        <v>1580</v>
      </c>
      <c r="U141" t="s">
        <v>1581</v>
      </c>
      <c r="V141">
        <v>90</v>
      </c>
      <c r="W141" s="13" t="s">
        <v>1582</v>
      </c>
      <c r="Y141" t="s">
        <v>60</v>
      </c>
      <c r="AA141" s="15"/>
      <c r="AC141">
        <v>44.474130000000002</v>
      </c>
      <c r="AD141">
        <v>-103.73782</v>
      </c>
      <c r="AE141" t="s">
        <v>1583</v>
      </c>
      <c r="AF141" t="s">
        <v>1584</v>
      </c>
      <c r="AH141" t="s">
        <v>62</v>
      </c>
      <c r="AI141" t="s">
        <v>63</v>
      </c>
      <c r="AJ141" t="s">
        <v>1585</v>
      </c>
      <c r="AK141" t="s">
        <v>48</v>
      </c>
      <c r="AM141" t="s">
        <v>48</v>
      </c>
      <c r="AN141" s="24" t="s">
        <v>1586</v>
      </c>
      <c r="AO141" t="s">
        <v>48</v>
      </c>
      <c r="AP141" t="s">
        <v>68</v>
      </c>
      <c r="AR141" t="s">
        <v>1587</v>
      </c>
      <c r="AS141" t="s">
        <v>1588</v>
      </c>
      <c r="AT141" t="s">
        <v>1589</v>
      </c>
      <c r="AW141" s="14" t="s">
        <v>72</v>
      </c>
      <c r="AX141" s="14" t="s">
        <v>73</v>
      </c>
      <c r="AY141" s="14" t="s">
        <v>74</v>
      </c>
    </row>
    <row r="142" spans="1:51" ht="15" customHeight="1" x14ac:dyDescent="0.4">
      <c r="A142" s="12">
        <v>2581</v>
      </c>
      <c r="B142" t="s">
        <v>1590</v>
      </c>
      <c r="D142" t="s">
        <v>1591</v>
      </c>
      <c r="E142" s="13"/>
      <c r="F142" s="43" t="s">
        <v>49</v>
      </c>
      <c r="G142" s="43" t="s">
        <v>8103</v>
      </c>
      <c r="H142" s="43"/>
      <c r="I142" s="14" t="s">
        <v>49</v>
      </c>
      <c r="J142" s="15">
        <v>42965</v>
      </c>
      <c r="K142" t="s">
        <v>1449</v>
      </c>
      <c r="L142" t="s">
        <v>51</v>
      </c>
      <c r="M142" t="s">
        <v>1450</v>
      </c>
      <c r="N142" t="s">
        <v>53</v>
      </c>
      <c r="O142" t="s">
        <v>1451</v>
      </c>
      <c r="P142" t="s">
        <v>1579</v>
      </c>
      <c r="Q142" t="s">
        <v>56</v>
      </c>
      <c r="S142" s="21" t="s">
        <v>1592</v>
      </c>
      <c r="U142" t="s">
        <v>1581</v>
      </c>
      <c r="V142">
        <v>20</v>
      </c>
      <c r="W142" s="13" t="s">
        <v>1593</v>
      </c>
      <c r="X142" t="s">
        <v>1594</v>
      </c>
      <c r="Y142" t="s">
        <v>78</v>
      </c>
      <c r="Z142" t="s">
        <v>79</v>
      </c>
      <c r="AA142" s="15">
        <v>45597</v>
      </c>
      <c r="AB142" t="s">
        <v>48</v>
      </c>
      <c r="AC142">
        <v>44.491329999999998</v>
      </c>
      <c r="AD142">
        <v>-103.80895</v>
      </c>
      <c r="AE142" t="s">
        <v>1595</v>
      </c>
      <c r="AF142" t="s">
        <v>1596</v>
      </c>
      <c r="AH142" t="s">
        <v>62</v>
      </c>
      <c r="AI142" t="s">
        <v>63</v>
      </c>
      <c r="AJ142" t="s">
        <v>1597</v>
      </c>
      <c r="AK142">
        <v>185952</v>
      </c>
      <c r="AM142" t="s">
        <v>1598</v>
      </c>
      <c r="AN142" t="s">
        <v>1599</v>
      </c>
      <c r="AO142" t="s">
        <v>1600</v>
      </c>
      <c r="AP142" t="s">
        <v>68</v>
      </c>
      <c r="AR142" t="s">
        <v>1601</v>
      </c>
      <c r="AS142" t="s">
        <v>1602</v>
      </c>
      <c r="AT142" t="s">
        <v>1603</v>
      </c>
      <c r="AU142" s="31" t="s">
        <v>1604</v>
      </c>
      <c r="AV142" s="31" t="s">
        <v>85</v>
      </c>
      <c r="AW142" s="14" t="s">
        <v>72</v>
      </c>
      <c r="AX142" s="14" t="s">
        <v>73</v>
      </c>
      <c r="AY142" s="14" t="s">
        <v>74</v>
      </c>
    </row>
    <row r="143" spans="1:51" ht="15" customHeight="1" x14ac:dyDescent="0.4">
      <c r="A143" s="12">
        <v>2582</v>
      </c>
      <c r="B143" t="s">
        <v>1605</v>
      </c>
      <c r="D143" t="s">
        <v>1606</v>
      </c>
      <c r="E143" s="13"/>
      <c r="F143" s="43" t="s">
        <v>49</v>
      </c>
      <c r="G143" s="43" t="s">
        <v>8103</v>
      </c>
      <c r="H143" s="43"/>
      <c r="I143" s="14" t="s">
        <v>49</v>
      </c>
      <c r="J143" s="15">
        <v>42965</v>
      </c>
      <c r="K143" t="s">
        <v>1449</v>
      </c>
      <c r="L143" t="s">
        <v>51</v>
      </c>
      <c r="M143" t="s">
        <v>1450</v>
      </c>
      <c r="N143" t="s">
        <v>53</v>
      </c>
      <c r="O143" t="s">
        <v>1451</v>
      </c>
      <c r="P143" t="s">
        <v>1579</v>
      </c>
      <c r="Q143" t="s">
        <v>56</v>
      </c>
      <c r="S143" s="21" t="s">
        <v>1592</v>
      </c>
      <c r="U143" t="s">
        <v>1581</v>
      </c>
      <c r="V143">
        <v>60</v>
      </c>
      <c r="W143" s="13" t="s">
        <v>1582</v>
      </c>
      <c r="Y143" t="s">
        <v>60</v>
      </c>
      <c r="AA143" s="15"/>
      <c r="AC143">
        <v>44.48498</v>
      </c>
      <c r="AD143">
        <v>-103.82365</v>
      </c>
      <c r="AE143" t="s">
        <v>1595</v>
      </c>
      <c r="AF143" t="s">
        <v>1607</v>
      </c>
      <c r="AH143" t="s">
        <v>62</v>
      </c>
      <c r="AI143" t="s">
        <v>63</v>
      </c>
      <c r="AJ143" t="s">
        <v>1608</v>
      </c>
      <c r="AK143">
        <v>185953</v>
      </c>
      <c r="AM143" t="s">
        <v>1609</v>
      </c>
      <c r="AN143" t="s">
        <v>1610</v>
      </c>
      <c r="AO143" t="s">
        <v>1611</v>
      </c>
      <c r="AP143" t="s">
        <v>68</v>
      </c>
      <c r="AR143" t="s">
        <v>1612</v>
      </c>
      <c r="AS143" t="s">
        <v>1613</v>
      </c>
      <c r="AT143" t="s">
        <v>1614</v>
      </c>
      <c r="AW143" s="14" t="s">
        <v>72</v>
      </c>
      <c r="AX143" s="14" t="s">
        <v>73</v>
      </c>
      <c r="AY143" s="14" t="s">
        <v>74</v>
      </c>
    </row>
    <row r="144" spans="1:51" ht="15" customHeight="1" x14ac:dyDescent="0.4">
      <c r="A144" s="12">
        <v>2583</v>
      </c>
      <c r="B144" t="s">
        <v>1615</v>
      </c>
      <c r="D144" t="s">
        <v>1616</v>
      </c>
      <c r="E144" s="13"/>
      <c r="F144" s="43" t="s">
        <v>49</v>
      </c>
      <c r="G144" s="43" t="s">
        <v>8103</v>
      </c>
      <c r="H144" s="43"/>
      <c r="I144" s="14" t="s">
        <v>49</v>
      </c>
      <c r="J144" s="15">
        <v>42965</v>
      </c>
      <c r="K144" t="s">
        <v>1449</v>
      </c>
      <c r="L144" t="s">
        <v>51</v>
      </c>
      <c r="M144" t="s">
        <v>1450</v>
      </c>
      <c r="N144" t="s">
        <v>53</v>
      </c>
      <c r="O144" t="s">
        <v>1451</v>
      </c>
      <c r="P144" t="s">
        <v>1579</v>
      </c>
      <c r="Q144" t="s">
        <v>56</v>
      </c>
      <c r="S144" s="21" t="s">
        <v>1592</v>
      </c>
      <c r="U144" t="s">
        <v>1581</v>
      </c>
      <c r="V144" t="s">
        <v>1565</v>
      </c>
      <c r="W144" s="13" t="s">
        <v>1467</v>
      </c>
      <c r="X144" t="s">
        <v>1617</v>
      </c>
      <c r="Y144" t="s">
        <v>60</v>
      </c>
      <c r="AA144" s="15"/>
      <c r="AC144">
        <v>44.479900000000001</v>
      </c>
      <c r="AD144">
        <v>-103.83083999999999</v>
      </c>
      <c r="AE144" t="s">
        <v>1618</v>
      </c>
      <c r="AF144" t="s">
        <v>1619</v>
      </c>
      <c r="AH144" t="s">
        <v>62</v>
      </c>
      <c r="AI144" t="s">
        <v>63</v>
      </c>
      <c r="AJ144" t="s">
        <v>1620</v>
      </c>
      <c r="AK144">
        <v>185954</v>
      </c>
      <c r="AM144" t="s">
        <v>1621</v>
      </c>
      <c r="AN144" t="s">
        <v>1622</v>
      </c>
      <c r="AO144" t="s">
        <v>1623</v>
      </c>
      <c r="AP144" t="s">
        <v>68</v>
      </c>
      <c r="AQ144" t="s">
        <v>1624</v>
      </c>
      <c r="AR144" t="s">
        <v>1625</v>
      </c>
      <c r="AS144" t="s">
        <v>1626</v>
      </c>
      <c r="AT144" t="s">
        <v>1627</v>
      </c>
      <c r="AU144" s="31" t="s">
        <v>1628</v>
      </c>
      <c r="AW144" s="14" t="s">
        <v>72</v>
      </c>
      <c r="AX144" s="14" t="s">
        <v>73</v>
      </c>
      <c r="AY144" s="14" t="s">
        <v>74</v>
      </c>
    </row>
    <row r="145" spans="1:51" ht="15" customHeight="1" x14ac:dyDescent="0.4">
      <c r="A145" s="12">
        <v>2584</v>
      </c>
      <c r="B145" t="s">
        <v>1629</v>
      </c>
      <c r="D145" t="s">
        <v>1630</v>
      </c>
      <c r="E145" s="13"/>
      <c r="F145" s="43" t="s">
        <v>49</v>
      </c>
      <c r="G145" s="43" t="s">
        <v>8103</v>
      </c>
      <c r="H145" s="43"/>
      <c r="I145" s="14" t="s">
        <v>49</v>
      </c>
      <c r="J145" s="15">
        <v>42965</v>
      </c>
      <c r="K145" t="s">
        <v>1449</v>
      </c>
      <c r="L145" t="s">
        <v>51</v>
      </c>
      <c r="M145" t="s">
        <v>1450</v>
      </c>
      <c r="N145" t="s">
        <v>53</v>
      </c>
      <c r="O145" t="s">
        <v>1451</v>
      </c>
      <c r="P145" t="s">
        <v>1579</v>
      </c>
      <c r="Q145" t="s">
        <v>56</v>
      </c>
      <c r="S145" s="21" t="s">
        <v>1592</v>
      </c>
      <c r="U145" t="s">
        <v>1581</v>
      </c>
      <c r="V145" t="s">
        <v>1631</v>
      </c>
      <c r="W145" s="13" t="s">
        <v>1467</v>
      </c>
      <c r="Y145" t="s">
        <v>60</v>
      </c>
      <c r="AA145" s="15"/>
      <c r="AC145">
        <v>44.476500000000001</v>
      </c>
      <c r="AD145">
        <v>-103.84972</v>
      </c>
      <c r="AE145" t="s">
        <v>1632</v>
      </c>
      <c r="AF145" t="s">
        <v>1633</v>
      </c>
      <c r="AH145" t="s">
        <v>62</v>
      </c>
      <c r="AI145" t="s">
        <v>63</v>
      </c>
      <c r="AJ145" t="s">
        <v>1634</v>
      </c>
      <c r="AK145">
        <v>185955</v>
      </c>
      <c r="AM145" t="s">
        <v>1635</v>
      </c>
      <c r="AN145" t="s">
        <v>1636</v>
      </c>
      <c r="AO145" t="s">
        <v>1637</v>
      </c>
      <c r="AP145" t="s">
        <v>68</v>
      </c>
      <c r="AR145" t="s">
        <v>1638</v>
      </c>
      <c r="AS145" t="s">
        <v>1639</v>
      </c>
      <c r="AT145" t="s">
        <v>1640</v>
      </c>
      <c r="AW145" s="14" t="s">
        <v>72</v>
      </c>
      <c r="AX145" s="14" t="s">
        <v>73</v>
      </c>
      <c r="AY145" s="14" t="s">
        <v>74</v>
      </c>
    </row>
    <row r="146" spans="1:51" ht="15" customHeight="1" x14ac:dyDescent="0.4">
      <c r="A146" s="12">
        <v>2585</v>
      </c>
      <c r="B146" t="s">
        <v>1641</v>
      </c>
      <c r="D146" t="s">
        <v>1642</v>
      </c>
      <c r="E146" s="13"/>
      <c r="F146" s="43" t="s">
        <v>49</v>
      </c>
      <c r="G146" s="43" t="s">
        <v>8103</v>
      </c>
      <c r="H146" s="43"/>
      <c r="I146" s="14" t="s">
        <v>49</v>
      </c>
      <c r="J146" s="15">
        <v>42965</v>
      </c>
      <c r="K146" t="s">
        <v>1449</v>
      </c>
      <c r="L146" t="s">
        <v>51</v>
      </c>
      <c r="M146" t="s">
        <v>1450</v>
      </c>
      <c r="N146" t="s">
        <v>53</v>
      </c>
      <c r="O146" t="s">
        <v>1451</v>
      </c>
      <c r="P146" t="s">
        <v>1579</v>
      </c>
      <c r="Q146" t="s">
        <v>56</v>
      </c>
      <c r="S146" s="21" t="s">
        <v>1592</v>
      </c>
      <c r="U146" t="s">
        <v>1581</v>
      </c>
      <c r="V146">
        <v>30</v>
      </c>
      <c r="W146" s="13" t="s">
        <v>1479</v>
      </c>
      <c r="Y146" t="s">
        <v>78</v>
      </c>
      <c r="Z146" t="s">
        <v>562</v>
      </c>
      <c r="AA146" s="15">
        <v>45597</v>
      </c>
      <c r="AB146" t="s">
        <v>48</v>
      </c>
      <c r="AC146">
        <v>44.467329999999997</v>
      </c>
      <c r="AD146">
        <v>-103.84975</v>
      </c>
      <c r="AE146" t="s">
        <v>1643</v>
      </c>
      <c r="AF146" t="s">
        <v>1644</v>
      </c>
      <c r="AH146" t="s">
        <v>62</v>
      </c>
      <c r="AI146" t="s">
        <v>63</v>
      </c>
      <c r="AJ146" t="s">
        <v>1645</v>
      </c>
      <c r="AK146">
        <v>185956</v>
      </c>
      <c r="AM146" t="s">
        <v>1646</v>
      </c>
      <c r="AN146" t="s">
        <v>1647</v>
      </c>
      <c r="AO146" t="s">
        <v>1648</v>
      </c>
      <c r="AP146" t="s">
        <v>68</v>
      </c>
      <c r="AR146" t="s">
        <v>1649</v>
      </c>
      <c r="AS146" t="s">
        <v>1650</v>
      </c>
      <c r="AT146" t="s">
        <v>1651</v>
      </c>
      <c r="AU146" s="31" t="s">
        <v>1652</v>
      </c>
      <c r="AV146" s="31" t="s">
        <v>85</v>
      </c>
      <c r="AW146" s="14" t="s">
        <v>72</v>
      </c>
      <c r="AX146" s="14" t="s">
        <v>73</v>
      </c>
      <c r="AY146" s="14" t="s">
        <v>74</v>
      </c>
    </row>
    <row r="147" spans="1:51" ht="15" customHeight="1" x14ac:dyDescent="0.4">
      <c r="A147" s="12">
        <v>2586</v>
      </c>
      <c r="B147" t="s">
        <v>1653</v>
      </c>
      <c r="D147" t="s">
        <v>1654</v>
      </c>
      <c r="E147" s="13"/>
      <c r="F147" s="43" t="s">
        <v>49</v>
      </c>
      <c r="G147" s="43" t="s">
        <v>8103</v>
      </c>
      <c r="H147" s="43"/>
      <c r="I147" s="14" t="s">
        <v>49</v>
      </c>
      <c r="J147" s="15">
        <v>42965</v>
      </c>
      <c r="K147" t="s">
        <v>1449</v>
      </c>
      <c r="L147" t="s">
        <v>51</v>
      </c>
      <c r="M147" t="s">
        <v>1450</v>
      </c>
      <c r="N147" t="s">
        <v>53</v>
      </c>
      <c r="O147" t="s">
        <v>1451</v>
      </c>
      <c r="P147" t="s">
        <v>1579</v>
      </c>
      <c r="Q147" t="s">
        <v>56</v>
      </c>
      <c r="R147" t="s">
        <v>1655</v>
      </c>
      <c r="S147" s="21" t="s">
        <v>1656</v>
      </c>
      <c r="U147" t="s">
        <v>1581</v>
      </c>
      <c r="V147">
        <v>25</v>
      </c>
      <c r="W147" s="13" t="s">
        <v>1593</v>
      </c>
      <c r="Y147" t="s">
        <v>60</v>
      </c>
      <c r="AA147" s="15"/>
      <c r="AC147">
        <v>44.463079999999998</v>
      </c>
      <c r="AD147">
        <v>-103.85467</v>
      </c>
      <c r="AE147" t="s">
        <v>1657</v>
      </c>
      <c r="AF147" t="s">
        <v>1658</v>
      </c>
      <c r="AH147" t="s">
        <v>62</v>
      </c>
      <c r="AI147" t="s">
        <v>63</v>
      </c>
      <c r="AJ147" t="s">
        <v>1659</v>
      </c>
      <c r="AK147">
        <v>185957</v>
      </c>
      <c r="AM147" t="s">
        <v>1660</v>
      </c>
      <c r="AN147" t="s">
        <v>1661</v>
      </c>
      <c r="AO147" t="s">
        <v>1662</v>
      </c>
      <c r="AP147" t="s">
        <v>68</v>
      </c>
      <c r="AR147" t="s">
        <v>1663</v>
      </c>
      <c r="AS147" t="s">
        <v>1664</v>
      </c>
      <c r="AT147" t="s">
        <v>1665</v>
      </c>
      <c r="AW147" s="14" t="s">
        <v>72</v>
      </c>
      <c r="AX147" s="14" t="s">
        <v>73</v>
      </c>
      <c r="AY147" s="14" t="s">
        <v>74</v>
      </c>
    </row>
    <row r="148" spans="1:51" ht="15" customHeight="1" x14ac:dyDescent="0.4">
      <c r="A148" s="12">
        <v>2587</v>
      </c>
      <c r="B148" t="s">
        <v>1666</v>
      </c>
      <c r="D148" t="s">
        <v>1667</v>
      </c>
      <c r="E148" s="13"/>
      <c r="F148" s="43" t="s">
        <v>49</v>
      </c>
      <c r="G148" s="43" t="s">
        <v>8103</v>
      </c>
      <c r="H148" s="43"/>
      <c r="I148" s="14" t="s">
        <v>49</v>
      </c>
      <c r="J148" s="15">
        <v>42965</v>
      </c>
      <c r="K148" t="s">
        <v>1449</v>
      </c>
      <c r="L148" t="s">
        <v>51</v>
      </c>
      <c r="M148" t="s">
        <v>1450</v>
      </c>
      <c r="N148" t="s">
        <v>53</v>
      </c>
      <c r="O148" t="s">
        <v>1451</v>
      </c>
      <c r="P148" t="s">
        <v>1579</v>
      </c>
      <c r="Q148" t="s">
        <v>56</v>
      </c>
      <c r="R148" t="s">
        <v>1655</v>
      </c>
      <c r="S148" s="21" t="s">
        <v>1656</v>
      </c>
      <c r="U148" t="s">
        <v>1581</v>
      </c>
      <c r="V148">
        <v>25</v>
      </c>
      <c r="W148" s="13" t="s">
        <v>1456</v>
      </c>
      <c r="Y148" t="s">
        <v>60</v>
      </c>
      <c r="AA148" s="15"/>
      <c r="AC148">
        <v>44.456159999999997</v>
      </c>
      <c r="AD148">
        <v>-103.86291</v>
      </c>
      <c r="AE148" t="s">
        <v>1657</v>
      </c>
      <c r="AF148" t="s">
        <v>1668</v>
      </c>
      <c r="AH148" t="s">
        <v>62</v>
      </c>
      <c r="AI148" t="s">
        <v>63</v>
      </c>
      <c r="AJ148" t="s">
        <v>1669</v>
      </c>
      <c r="AK148">
        <v>185958</v>
      </c>
      <c r="AM148" t="s">
        <v>1670</v>
      </c>
      <c r="AN148" t="s">
        <v>1671</v>
      </c>
      <c r="AO148" t="s">
        <v>1672</v>
      </c>
      <c r="AP148" t="s">
        <v>68</v>
      </c>
      <c r="AR148" t="s">
        <v>1673</v>
      </c>
      <c r="AS148" t="s">
        <v>1674</v>
      </c>
      <c r="AT148" t="s">
        <v>1675</v>
      </c>
      <c r="AW148" s="14" t="s">
        <v>72</v>
      </c>
      <c r="AX148" s="14" t="s">
        <v>73</v>
      </c>
      <c r="AY148" s="14" t="s">
        <v>74</v>
      </c>
    </row>
    <row r="149" spans="1:51" ht="15" customHeight="1" x14ac:dyDescent="0.4">
      <c r="A149" s="12">
        <v>2588</v>
      </c>
      <c r="B149" t="s">
        <v>1676</v>
      </c>
      <c r="D149" t="s">
        <v>1677</v>
      </c>
      <c r="E149" s="13"/>
      <c r="F149" s="43" t="s">
        <v>49</v>
      </c>
      <c r="G149" s="43" t="s">
        <v>8103</v>
      </c>
      <c r="H149" s="43"/>
      <c r="I149" s="14" t="s">
        <v>49</v>
      </c>
      <c r="J149" s="15">
        <v>42965</v>
      </c>
      <c r="K149" t="s">
        <v>1449</v>
      </c>
      <c r="L149" t="s">
        <v>51</v>
      </c>
      <c r="M149" t="s">
        <v>1450</v>
      </c>
      <c r="N149" t="s">
        <v>53</v>
      </c>
      <c r="O149" t="s">
        <v>1451</v>
      </c>
      <c r="P149" t="s">
        <v>1579</v>
      </c>
      <c r="Q149" t="s">
        <v>56</v>
      </c>
      <c r="R149" t="s">
        <v>1655</v>
      </c>
      <c r="S149" s="21" t="s">
        <v>1656</v>
      </c>
      <c r="U149" t="s">
        <v>1581</v>
      </c>
      <c r="V149">
        <v>25</v>
      </c>
      <c r="W149" s="13" t="s">
        <v>1582</v>
      </c>
      <c r="Y149" t="s">
        <v>60</v>
      </c>
      <c r="AA149" s="15"/>
      <c r="AC149">
        <v>44.450530000000001</v>
      </c>
      <c r="AD149">
        <v>-103.86418999999999</v>
      </c>
      <c r="AE149" t="s">
        <v>1678</v>
      </c>
      <c r="AF149" t="s">
        <v>1679</v>
      </c>
      <c r="AH149" t="s">
        <v>62</v>
      </c>
      <c r="AI149" t="s">
        <v>63</v>
      </c>
      <c r="AJ149" t="s">
        <v>1680</v>
      </c>
      <c r="AK149">
        <v>185959</v>
      </c>
      <c r="AM149" t="s">
        <v>1681</v>
      </c>
      <c r="AN149" t="s">
        <v>1682</v>
      </c>
      <c r="AO149" t="s">
        <v>1683</v>
      </c>
      <c r="AP149" t="s">
        <v>68</v>
      </c>
      <c r="AR149" t="s">
        <v>1684</v>
      </c>
      <c r="AS149" t="s">
        <v>1685</v>
      </c>
      <c r="AT149" t="s">
        <v>1686</v>
      </c>
      <c r="AW149" s="14" t="s">
        <v>72</v>
      </c>
      <c r="AX149" s="14" t="s">
        <v>73</v>
      </c>
      <c r="AY149" s="14" t="s">
        <v>74</v>
      </c>
    </row>
    <row r="150" spans="1:51" ht="15" customHeight="1" x14ac:dyDescent="0.4">
      <c r="A150" s="12">
        <v>2589</v>
      </c>
      <c r="B150" t="s">
        <v>1687</v>
      </c>
      <c r="D150" t="s">
        <v>1688</v>
      </c>
      <c r="E150" s="13"/>
      <c r="F150" s="43" t="s">
        <v>49</v>
      </c>
      <c r="G150" s="43" t="s">
        <v>8103</v>
      </c>
      <c r="H150" s="43"/>
      <c r="I150" s="14" t="s">
        <v>49</v>
      </c>
      <c r="J150" s="15">
        <v>42965</v>
      </c>
      <c r="K150" t="s">
        <v>1449</v>
      </c>
      <c r="L150" t="s">
        <v>51</v>
      </c>
      <c r="M150" t="s">
        <v>1450</v>
      </c>
      <c r="N150" t="s">
        <v>53</v>
      </c>
      <c r="O150" t="s">
        <v>1451</v>
      </c>
      <c r="P150" t="s">
        <v>1579</v>
      </c>
      <c r="Q150" t="s">
        <v>56</v>
      </c>
      <c r="R150" t="s">
        <v>1655</v>
      </c>
      <c r="S150" s="21" t="s">
        <v>1656</v>
      </c>
      <c r="U150" t="s">
        <v>1581</v>
      </c>
      <c r="V150">
        <v>30</v>
      </c>
      <c r="W150" s="13" t="s">
        <v>1689</v>
      </c>
      <c r="Y150" t="s">
        <v>78</v>
      </c>
      <c r="Z150" t="s">
        <v>562</v>
      </c>
      <c r="AA150" s="15">
        <v>45597</v>
      </c>
      <c r="AB150" t="s">
        <v>48</v>
      </c>
      <c r="AC150">
        <v>44.433700000000002</v>
      </c>
      <c r="AD150">
        <v>-103.87411</v>
      </c>
      <c r="AE150" t="s">
        <v>1690</v>
      </c>
      <c r="AF150" t="s">
        <v>1691</v>
      </c>
      <c r="AH150" t="s">
        <v>62</v>
      </c>
      <c r="AI150" t="s">
        <v>63</v>
      </c>
      <c r="AJ150" t="s">
        <v>1692</v>
      </c>
      <c r="AK150">
        <v>185960</v>
      </c>
      <c r="AM150" t="s">
        <v>1693</v>
      </c>
      <c r="AN150" t="s">
        <v>1694</v>
      </c>
      <c r="AO150" t="s">
        <v>1695</v>
      </c>
      <c r="AP150" t="s">
        <v>68</v>
      </c>
      <c r="AR150" t="s">
        <v>1696</v>
      </c>
      <c r="AS150" t="s">
        <v>1697</v>
      </c>
      <c r="AT150" t="s">
        <v>1698</v>
      </c>
      <c r="AU150" s="31" t="s">
        <v>1699</v>
      </c>
      <c r="AV150" s="31" t="s">
        <v>85</v>
      </c>
      <c r="AW150" s="14" t="s">
        <v>72</v>
      </c>
      <c r="AX150" s="14" t="s">
        <v>73</v>
      </c>
      <c r="AY150" s="14" t="s">
        <v>74</v>
      </c>
    </row>
    <row r="151" spans="1:51" ht="15" customHeight="1" x14ac:dyDescent="0.4">
      <c r="A151" s="12">
        <v>3287</v>
      </c>
      <c r="B151" s="21" t="s">
        <v>1700</v>
      </c>
      <c r="C151" s="13" t="s">
        <v>1701</v>
      </c>
      <c r="D151" s="25" t="s">
        <v>1701</v>
      </c>
      <c r="E151" s="13" t="s">
        <v>1702</v>
      </c>
      <c r="F151" s="41"/>
      <c r="G151" s="41"/>
      <c r="H151" s="41"/>
      <c r="I151" s="14" t="s">
        <v>1703</v>
      </c>
      <c r="J151" s="15">
        <v>44715</v>
      </c>
      <c r="K151" t="s">
        <v>1704</v>
      </c>
      <c r="L151" t="s">
        <v>1705</v>
      </c>
      <c r="M151" t="s">
        <v>1706</v>
      </c>
      <c r="N151" t="s">
        <v>53</v>
      </c>
      <c r="O151" t="s">
        <v>1707</v>
      </c>
      <c r="P151" t="s">
        <v>1708</v>
      </c>
      <c r="Q151" t="s">
        <v>56</v>
      </c>
      <c r="R151" t="s">
        <v>1709</v>
      </c>
      <c r="S151" s="21" t="s">
        <v>1710</v>
      </c>
      <c r="T151" t="s">
        <v>1711</v>
      </c>
      <c r="U151" t="s">
        <v>1712</v>
      </c>
      <c r="Y151" t="s">
        <v>1713</v>
      </c>
      <c r="AA151" s="15"/>
      <c r="AC151">
        <v>37.359717000000003</v>
      </c>
      <c r="AD151">
        <v>-88.917519999999996</v>
      </c>
      <c r="AE151" t="s">
        <v>1714</v>
      </c>
      <c r="AH151" t="s">
        <v>1715</v>
      </c>
      <c r="AI151" t="s">
        <v>63</v>
      </c>
      <c r="AJ151" t="s">
        <v>1716</v>
      </c>
      <c r="AK151">
        <v>193760</v>
      </c>
      <c r="AM151" t="s">
        <v>1717</v>
      </c>
      <c r="AN151" t="s">
        <v>1718</v>
      </c>
      <c r="AO151" t="s">
        <v>1719</v>
      </c>
      <c r="AP151" t="s">
        <v>68</v>
      </c>
      <c r="AR151" t="s">
        <v>1720</v>
      </c>
      <c r="AS151" t="s">
        <v>1721</v>
      </c>
      <c r="AT151" t="s">
        <v>1722</v>
      </c>
      <c r="AW151" s="14" t="s">
        <v>72</v>
      </c>
      <c r="AX151" s="14" t="s">
        <v>73</v>
      </c>
      <c r="AY151" s="14" t="s">
        <v>1723</v>
      </c>
    </row>
    <row r="152" spans="1:51" ht="15" customHeight="1" x14ac:dyDescent="0.4">
      <c r="A152" s="12">
        <v>3288</v>
      </c>
      <c r="B152" s="21" t="s">
        <v>1724</v>
      </c>
      <c r="C152" s="13" t="s">
        <v>1725</v>
      </c>
      <c r="D152" s="25" t="s">
        <v>1725</v>
      </c>
      <c r="E152" s="13" t="s">
        <v>1726</v>
      </c>
      <c r="F152" s="41"/>
      <c r="G152" s="41"/>
      <c r="H152" s="41"/>
      <c r="I152" s="14" t="s">
        <v>1703</v>
      </c>
      <c r="J152" s="15">
        <v>44715</v>
      </c>
      <c r="K152" t="s">
        <v>1704</v>
      </c>
      <c r="L152" t="s">
        <v>1705</v>
      </c>
      <c r="M152" t="s">
        <v>1706</v>
      </c>
      <c r="N152" t="s">
        <v>53</v>
      </c>
      <c r="O152" t="s">
        <v>1707</v>
      </c>
      <c r="P152" t="s">
        <v>1708</v>
      </c>
      <c r="Q152" t="s">
        <v>56</v>
      </c>
      <c r="R152" t="s">
        <v>1709</v>
      </c>
      <c r="S152" s="21" t="s">
        <v>1710</v>
      </c>
      <c r="T152" t="s">
        <v>1727</v>
      </c>
      <c r="U152" t="s">
        <v>1728</v>
      </c>
      <c r="Y152" t="s">
        <v>1713</v>
      </c>
      <c r="AA152" s="15"/>
      <c r="AC152">
        <v>37.358862000000002</v>
      </c>
      <c r="AD152">
        <v>-88.917535000000001</v>
      </c>
      <c r="AE152" t="s">
        <v>1729</v>
      </c>
      <c r="AH152" t="s">
        <v>1715</v>
      </c>
      <c r="AI152" t="s">
        <v>63</v>
      </c>
      <c r="AJ152" t="s">
        <v>1730</v>
      </c>
      <c r="AK152">
        <v>193761</v>
      </c>
      <c r="AM152" t="s">
        <v>1731</v>
      </c>
      <c r="AN152" t="s">
        <v>1732</v>
      </c>
      <c r="AO152" t="s">
        <v>1733</v>
      </c>
      <c r="AP152" t="s">
        <v>68</v>
      </c>
      <c r="AR152" t="s">
        <v>1734</v>
      </c>
      <c r="AS152" t="s">
        <v>1735</v>
      </c>
      <c r="AT152" t="s">
        <v>1736</v>
      </c>
      <c r="AW152" s="14" t="s">
        <v>72</v>
      </c>
      <c r="AX152" s="14" t="s">
        <v>73</v>
      </c>
      <c r="AY152" s="14" t="s">
        <v>1723</v>
      </c>
    </row>
    <row r="153" spans="1:51" ht="15" customHeight="1" x14ac:dyDescent="0.4">
      <c r="A153" s="12">
        <v>3289</v>
      </c>
      <c r="B153" s="21" t="s">
        <v>1737</v>
      </c>
      <c r="C153" s="13" t="s">
        <v>1738</v>
      </c>
      <c r="D153" s="25" t="s">
        <v>1738</v>
      </c>
      <c r="E153" s="13" t="s">
        <v>1739</v>
      </c>
      <c r="F153" s="41"/>
      <c r="G153" s="41"/>
      <c r="H153" s="41"/>
      <c r="I153" s="14" t="s">
        <v>1703</v>
      </c>
      <c r="J153" s="15">
        <v>44715</v>
      </c>
      <c r="K153" t="s">
        <v>1704</v>
      </c>
      <c r="L153" t="s">
        <v>1705</v>
      </c>
      <c r="M153" t="s">
        <v>1706</v>
      </c>
      <c r="N153" t="s">
        <v>53</v>
      </c>
      <c r="O153" t="s">
        <v>1707</v>
      </c>
      <c r="P153" t="s">
        <v>1708</v>
      </c>
      <c r="Q153" t="s">
        <v>56</v>
      </c>
      <c r="R153" t="s">
        <v>1709</v>
      </c>
      <c r="S153" s="21" t="s">
        <v>1710</v>
      </c>
      <c r="T153" t="s">
        <v>1740</v>
      </c>
      <c r="U153" t="s">
        <v>1741</v>
      </c>
      <c r="Y153" t="s">
        <v>1713</v>
      </c>
      <c r="AA153" s="15"/>
      <c r="AC153">
        <v>37.357104999999997</v>
      </c>
      <c r="AD153">
        <v>-88.916939999999997</v>
      </c>
      <c r="AE153" t="s">
        <v>1742</v>
      </c>
      <c r="AH153" t="s">
        <v>1715</v>
      </c>
      <c r="AI153" t="s">
        <v>63</v>
      </c>
      <c r="AJ153" t="s">
        <v>1743</v>
      </c>
      <c r="AK153">
        <v>193762</v>
      </c>
      <c r="AM153" t="s">
        <v>1744</v>
      </c>
      <c r="AN153" t="s">
        <v>1745</v>
      </c>
      <c r="AO153" t="s">
        <v>1746</v>
      </c>
      <c r="AP153" t="s">
        <v>68</v>
      </c>
      <c r="AR153" t="s">
        <v>1747</v>
      </c>
      <c r="AS153" t="s">
        <v>1748</v>
      </c>
      <c r="AT153" t="s">
        <v>1749</v>
      </c>
      <c r="AW153" s="14" t="s">
        <v>72</v>
      </c>
      <c r="AX153" s="14" t="s">
        <v>73</v>
      </c>
      <c r="AY153" s="14" t="s">
        <v>1723</v>
      </c>
    </row>
    <row r="154" spans="1:51" ht="15" customHeight="1" x14ac:dyDescent="0.4">
      <c r="A154" s="12">
        <v>3290</v>
      </c>
      <c r="B154" s="21" t="s">
        <v>1750</v>
      </c>
      <c r="C154" s="13" t="s">
        <v>1751</v>
      </c>
      <c r="D154" s="25" t="s">
        <v>1751</v>
      </c>
      <c r="E154" s="13"/>
      <c r="F154" s="41"/>
      <c r="G154" s="41"/>
      <c r="H154" s="41"/>
      <c r="I154" s="14" t="s">
        <v>1752</v>
      </c>
      <c r="J154" s="15">
        <v>44713</v>
      </c>
      <c r="K154" s="15" t="s">
        <v>1753</v>
      </c>
      <c r="L154" t="s">
        <v>1705</v>
      </c>
      <c r="M154" t="s">
        <v>1706</v>
      </c>
      <c r="N154" t="s">
        <v>53</v>
      </c>
      <c r="O154" t="s">
        <v>175</v>
      </c>
      <c r="P154" t="s">
        <v>1754</v>
      </c>
      <c r="Q154" s="21" t="s">
        <v>56</v>
      </c>
      <c r="R154" t="s">
        <v>1755</v>
      </c>
      <c r="S154" s="21"/>
      <c r="T154" t="s">
        <v>1756</v>
      </c>
      <c r="U154" t="s">
        <v>1757</v>
      </c>
      <c r="X154" t="s">
        <v>1758</v>
      </c>
      <c r="Y154" t="s">
        <v>1759</v>
      </c>
      <c r="AA154" s="15"/>
      <c r="AC154">
        <v>38.467143</v>
      </c>
      <c r="AD154">
        <v>-90.820221000000004</v>
      </c>
      <c r="AE154" t="s">
        <v>1760</v>
      </c>
      <c r="AH154" t="s">
        <v>1715</v>
      </c>
      <c r="AI154" t="s">
        <v>63</v>
      </c>
      <c r="AJ154" t="s">
        <v>1761</v>
      </c>
      <c r="AK154">
        <v>192567</v>
      </c>
      <c r="AM154" t="s">
        <v>1762</v>
      </c>
      <c r="AN154" t="s">
        <v>1763</v>
      </c>
      <c r="AO154" t="s">
        <v>1764</v>
      </c>
      <c r="AP154" t="s">
        <v>68</v>
      </c>
      <c r="AR154" t="s">
        <v>1765</v>
      </c>
      <c r="AS154" t="s">
        <v>1766</v>
      </c>
      <c r="AT154" t="s">
        <v>1767</v>
      </c>
      <c r="AW154" s="14" t="s">
        <v>72</v>
      </c>
      <c r="AX154" s="14" t="s">
        <v>73</v>
      </c>
      <c r="AY154" s="14" t="s">
        <v>1768</v>
      </c>
    </row>
    <row r="155" spans="1:51" ht="15" customHeight="1" x14ac:dyDescent="0.4">
      <c r="A155" s="12">
        <v>3291</v>
      </c>
      <c r="B155" s="21" t="s">
        <v>1769</v>
      </c>
      <c r="C155" s="13" t="s">
        <v>1770</v>
      </c>
      <c r="D155" s="25" t="s">
        <v>1770</v>
      </c>
      <c r="E155" s="13"/>
      <c r="F155" s="41"/>
      <c r="G155" s="41"/>
      <c r="H155" s="41"/>
      <c r="I155" s="14" t="s">
        <v>49</v>
      </c>
      <c r="J155" s="15">
        <v>44713</v>
      </c>
      <c r="K155" s="15" t="s">
        <v>1753</v>
      </c>
      <c r="L155" t="s">
        <v>1705</v>
      </c>
      <c r="M155" t="s">
        <v>1706</v>
      </c>
      <c r="N155" t="s">
        <v>53</v>
      </c>
      <c r="O155" t="s">
        <v>175</v>
      </c>
      <c r="P155" t="s">
        <v>1754</v>
      </c>
      <c r="Q155" s="21" t="s">
        <v>56</v>
      </c>
      <c r="R155" t="s">
        <v>1755</v>
      </c>
      <c r="S155" s="21"/>
      <c r="T155" t="s">
        <v>1771</v>
      </c>
      <c r="U155" t="s">
        <v>1772</v>
      </c>
      <c r="X155" t="s">
        <v>1758</v>
      </c>
      <c r="Y155" t="s">
        <v>60</v>
      </c>
      <c r="AA155" s="15"/>
      <c r="AC155">
        <v>38.461995999999999</v>
      </c>
      <c r="AD155">
        <v>-90.814959000000002</v>
      </c>
      <c r="AE155" t="s">
        <v>1773</v>
      </c>
      <c r="AH155" t="s">
        <v>1715</v>
      </c>
      <c r="AI155" t="s">
        <v>63</v>
      </c>
      <c r="AJ155" t="s">
        <v>1774</v>
      </c>
      <c r="AK155">
        <v>192794</v>
      </c>
      <c r="AM155" t="s">
        <v>1775</v>
      </c>
      <c r="AN155" t="s">
        <v>1776</v>
      </c>
      <c r="AO155" t="s">
        <v>1777</v>
      </c>
      <c r="AP155" t="s">
        <v>68</v>
      </c>
      <c r="AR155" t="s">
        <v>1778</v>
      </c>
      <c r="AS155" t="s">
        <v>1779</v>
      </c>
      <c r="AT155" t="s">
        <v>1780</v>
      </c>
      <c r="AW155" s="14" t="s">
        <v>72</v>
      </c>
      <c r="AX155" s="14" t="s">
        <v>73</v>
      </c>
      <c r="AY155" s="14" t="s">
        <v>74</v>
      </c>
    </row>
    <row r="156" spans="1:51" ht="15" customHeight="1" x14ac:dyDescent="0.4">
      <c r="A156" s="12">
        <v>3292</v>
      </c>
      <c r="B156" s="21" t="s">
        <v>1781</v>
      </c>
      <c r="C156" s="13" t="s">
        <v>1782</v>
      </c>
      <c r="D156" s="25" t="s">
        <v>1782</v>
      </c>
      <c r="E156" s="13"/>
      <c r="F156" s="41"/>
      <c r="G156" s="41"/>
      <c r="H156" s="41"/>
      <c r="I156" s="14" t="s">
        <v>49</v>
      </c>
      <c r="J156" s="15">
        <v>44713</v>
      </c>
      <c r="K156" s="15" t="s">
        <v>1753</v>
      </c>
      <c r="L156" t="s">
        <v>1705</v>
      </c>
      <c r="M156" t="s">
        <v>1706</v>
      </c>
      <c r="N156" t="s">
        <v>53</v>
      </c>
      <c r="O156" t="s">
        <v>175</v>
      </c>
      <c r="P156" t="s">
        <v>1754</v>
      </c>
      <c r="Q156" s="21" t="s">
        <v>56</v>
      </c>
      <c r="R156" t="s">
        <v>1755</v>
      </c>
      <c r="S156" s="21"/>
      <c r="T156" t="s">
        <v>1783</v>
      </c>
      <c r="U156" t="s">
        <v>1784</v>
      </c>
      <c r="Y156" t="s">
        <v>60</v>
      </c>
      <c r="AA156" s="15"/>
      <c r="AC156">
        <v>38.461908999999999</v>
      </c>
      <c r="AD156">
        <v>-90.814651999999995</v>
      </c>
      <c r="AE156" t="s">
        <v>1773</v>
      </c>
      <c r="AH156" t="s">
        <v>1715</v>
      </c>
      <c r="AI156" t="s">
        <v>63</v>
      </c>
      <c r="AJ156" t="s">
        <v>1785</v>
      </c>
      <c r="AK156">
        <v>192793</v>
      </c>
      <c r="AM156" t="s">
        <v>1786</v>
      </c>
      <c r="AN156" t="s">
        <v>1787</v>
      </c>
      <c r="AO156" t="s">
        <v>1788</v>
      </c>
      <c r="AP156" t="s">
        <v>68</v>
      </c>
      <c r="AR156" t="s">
        <v>1789</v>
      </c>
      <c r="AS156" t="s">
        <v>1790</v>
      </c>
      <c r="AT156" t="s">
        <v>1791</v>
      </c>
      <c r="AW156" s="14" t="s">
        <v>72</v>
      </c>
      <c r="AX156" s="14" t="s">
        <v>73</v>
      </c>
      <c r="AY156" s="14" t="s">
        <v>74</v>
      </c>
    </row>
    <row r="157" spans="1:51" ht="15" customHeight="1" x14ac:dyDescent="0.4">
      <c r="A157" s="12">
        <v>3293</v>
      </c>
      <c r="B157" s="21" t="s">
        <v>1792</v>
      </c>
      <c r="C157" s="13" t="s">
        <v>1793</v>
      </c>
      <c r="D157" s="25" t="s">
        <v>1793</v>
      </c>
      <c r="E157" s="13"/>
      <c r="F157" s="41"/>
      <c r="G157" s="41"/>
      <c r="H157" s="41"/>
      <c r="I157" s="14" t="s">
        <v>49</v>
      </c>
      <c r="J157" s="15">
        <v>44713</v>
      </c>
      <c r="K157" s="15" t="s">
        <v>1753</v>
      </c>
      <c r="L157" t="s">
        <v>1705</v>
      </c>
      <c r="M157" t="s">
        <v>1706</v>
      </c>
      <c r="N157" t="s">
        <v>53</v>
      </c>
      <c r="O157" t="s">
        <v>175</v>
      </c>
      <c r="P157" t="s">
        <v>1754</v>
      </c>
      <c r="Q157" s="21" t="s">
        <v>56</v>
      </c>
      <c r="R157" t="s">
        <v>1755</v>
      </c>
      <c r="S157" s="21"/>
      <c r="T157" t="s">
        <v>1794</v>
      </c>
      <c r="U157" t="s">
        <v>1795</v>
      </c>
      <c r="Y157" t="s">
        <v>60</v>
      </c>
      <c r="AA157" s="15"/>
      <c r="AC157">
        <v>38.461961000000002</v>
      </c>
      <c r="AD157">
        <v>-90.814369999999997</v>
      </c>
      <c r="AE157" t="s">
        <v>1773</v>
      </c>
      <c r="AH157" t="s">
        <v>1715</v>
      </c>
      <c r="AI157" t="s">
        <v>63</v>
      </c>
      <c r="AJ157" t="s">
        <v>1796</v>
      </c>
      <c r="AK157">
        <v>192569</v>
      </c>
      <c r="AM157" t="s">
        <v>1797</v>
      </c>
      <c r="AN157" t="s">
        <v>1798</v>
      </c>
      <c r="AO157" t="s">
        <v>1799</v>
      </c>
      <c r="AP157" t="s">
        <v>68</v>
      </c>
      <c r="AR157" t="s">
        <v>1800</v>
      </c>
      <c r="AS157" t="s">
        <v>1801</v>
      </c>
      <c r="AT157" t="s">
        <v>1802</v>
      </c>
      <c r="AW157" s="14" t="s">
        <v>72</v>
      </c>
      <c r="AX157" s="14" t="s">
        <v>73</v>
      </c>
      <c r="AY157" s="14" t="s">
        <v>74</v>
      </c>
    </row>
    <row r="158" spans="1:51" ht="15" customHeight="1" x14ac:dyDescent="0.4">
      <c r="A158" s="12">
        <v>3294</v>
      </c>
      <c r="B158" s="21" t="s">
        <v>1803</v>
      </c>
      <c r="C158" s="13" t="s">
        <v>1804</v>
      </c>
      <c r="D158" s="25" t="s">
        <v>1804</v>
      </c>
      <c r="E158" s="13"/>
      <c r="F158" s="41"/>
      <c r="G158" s="41"/>
      <c r="H158" s="41"/>
      <c r="I158" s="14" t="s">
        <v>49</v>
      </c>
      <c r="J158" s="15">
        <v>44713</v>
      </c>
      <c r="K158" s="15" t="s">
        <v>1753</v>
      </c>
      <c r="L158" t="s">
        <v>1705</v>
      </c>
      <c r="M158" t="s">
        <v>1706</v>
      </c>
      <c r="N158" t="s">
        <v>53</v>
      </c>
      <c r="O158" t="s">
        <v>175</v>
      </c>
      <c r="P158" t="s">
        <v>1754</v>
      </c>
      <c r="Q158" s="21" t="s">
        <v>56</v>
      </c>
      <c r="R158" t="s">
        <v>1755</v>
      </c>
      <c r="S158" s="21"/>
      <c r="T158" t="s">
        <v>1805</v>
      </c>
      <c r="U158" t="s">
        <v>1806</v>
      </c>
      <c r="Y158" t="s">
        <v>60</v>
      </c>
      <c r="AA158" s="15"/>
      <c r="AC158">
        <v>38.462113000000002</v>
      </c>
      <c r="AD158">
        <v>-90.814155</v>
      </c>
      <c r="AE158" t="s">
        <v>1807</v>
      </c>
      <c r="AH158" t="s">
        <v>1715</v>
      </c>
      <c r="AI158" t="s">
        <v>63</v>
      </c>
      <c r="AJ158" t="s">
        <v>1808</v>
      </c>
      <c r="AK158">
        <v>192570</v>
      </c>
      <c r="AM158" t="s">
        <v>1809</v>
      </c>
      <c r="AN158" t="s">
        <v>1810</v>
      </c>
      <c r="AO158" t="s">
        <v>1811</v>
      </c>
      <c r="AP158" t="s">
        <v>68</v>
      </c>
      <c r="AR158" t="s">
        <v>1812</v>
      </c>
      <c r="AS158" t="s">
        <v>1813</v>
      </c>
      <c r="AT158" t="s">
        <v>1814</v>
      </c>
      <c r="AW158" s="14" t="s">
        <v>72</v>
      </c>
      <c r="AX158" s="14" t="s">
        <v>73</v>
      </c>
      <c r="AY158" s="14" t="s">
        <v>74</v>
      </c>
    </row>
    <row r="159" spans="1:51" ht="15" customHeight="1" x14ac:dyDescent="0.4">
      <c r="A159" s="12">
        <v>3295</v>
      </c>
      <c r="B159" s="21" t="s">
        <v>1815</v>
      </c>
      <c r="C159" s="13" t="s">
        <v>1816</v>
      </c>
      <c r="D159" s="25" t="s">
        <v>1816</v>
      </c>
      <c r="E159" s="13"/>
      <c r="F159" s="41"/>
      <c r="G159" s="41"/>
      <c r="H159" s="41"/>
      <c r="I159" s="14" t="s">
        <v>49</v>
      </c>
      <c r="J159" s="15">
        <v>44713</v>
      </c>
      <c r="K159" s="15" t="s">
        <v>1753</v>
      </c>
      <c r="L159" t="s">
        <v>1705</v>
      </c>
      <c r="M159" t="s">
        <v>1706</v>
      </c>
      <c r="N159" t="s">
        <v>53</v>
      </c>
      <c r="O159" t="s">
        <v>175</v>
      </c>
      <c r="P159" t="s">
        <v>1754</v>
      </c>
      <c r="Q159" s="21" t="s">
        <v>56</v>
      </c>
      <c r="R159" t="s">
        <v>1755</v>
      </c>
      <c r="S159" s="21"/>
      <c r="T159" t="s">
        <v>1817</v>
      </c>
      <c r="U159" t="s">
        <v>1818</v>
      </c>
      <c r="Y159" t="s">
        <v>60</v>
      </c>
      <c r="AA159" s="15"/>
      <c r="AC159">
        <v>38.462273000000003</v>
      </c>
      <c r="AD159">
        <v>-90.813528000000005</v>
      </c>
      <c r="AE159" t="s">
        <v>1819</v>
      </c>
      <c r="AH159" t="s">
        <v>1715</v>
      </c>
      <c r="AI159" t="s">
        <v>63</v>
      </c>
      <c r="AJ159" t="s">
        <v>1820</v>
      </c>
      <c r="AK159">
        <v>192549</v>
      </c>
      <c r="AM159" t="s">
        <v>1821</v>
      </c>
      <c r="AN159" t="s">
        <v>1822</v>
      </c>
      <c r="AO159" t="s">
        <v>1823</v>
      </c>
      <c r="AP159" t="s">
        <v>68</v>
      </c>
      <c r="AR159" t="s">
        <v>1824</v>
      </c>
      <c r="AS159" t="s">
        <v>1825</v>
      </c>
      <c r="AT159" t="s">
        <v>1826</v>
      </c>
      <c r="AW159" s="14" t="s">
        <v>72</v>
      </c>
      <c r="AX159" s="14" t="s">
        <v>73</v>
      </c>
      <c r="AY159" s="14" t="s">
        <v>74</v>
      </c>
    </row>
    <row r="160" spans="1:51" ht="15" customHeight="1" x14ac:dyDescent="0.4">
      <c r="A160" s="12">
        <v>3296</v>
      </c>
      <c r="B160" s="21" t="s">
        <v>1827</v>
      </c>
      <c r="C160" s="13" t="s">
        <v>1828</v>
      </c>
      <c r="D160" s="25" t="s">
        <v>1828</v>
      </c>
      <c r="E160" s="13"/>
      <c r="F160" s="41"/>
      <c r="G160" s="41"/>
      <c r="H160" s="41"/>
      <c r="I160" s="14" t="s">
        <v>1829</v>
      </c>
      <c r="J160" s="15">
        <v>44713</v>
      </c>
      <c r="K160" s="15" t="s">
        <v>1753</v>
      </c>
      <c r="L160" t="s">
        <v>1705</v>
      </c>
      <c r="M160" t="s">
        <v>1706</v>
      </c>
      <c r="N160" t="s">
        <v>53</v>
      </c>
      <c r="O160" t="s">
        <v>175</v>
      </c>
      <c r="P160" t="s">
        <v>1754</v>
      </c>
      <c r="Q160" s="21" t="s">
        <v>56</v>
      </c>
      <c r="R160" t="s">
        <v>1755</v>
      </c>
      <c r="S160" s="21"/>
      <c r="T160" t="s">
        <v>1830</v>
      </c>
      <c r="U160" t="s">
        <v>1831</v>
      </c>
      <c r="Y160" t="s">
        <v>1832</v>
      </c>
      <c r="AA160" s="15"/>
      <c r="AC160">
        <v>38.461575000000003</v>
      </c>
      <c r="AD160">
        <v>-90.818702999999999</v>
      </c>
      <c r="AE160" t="s">
        <v>1833</v>
      </c>
      <c r="AH160" t="s">
        <v>1715</v>
      </c>
      <c r="AI160" t="s">
        <v>63</v>
      </c>
      <c r="AJ160" t="s">
        <v>1834</v>
      </c>
      <c r="AK160">
        <v>192796</v>
      </c>
      <c r="AM160" t="s">
        <v>1835</v>
      </c>
      <c r="AN160" t="s">
        <v>1836</v>
      </c>
      <c r="AO160" t="s">
        <v>1837</v>
      </c>
      <c r="AP160" t="s">
        <v>68</v>
      </c>
      <c r="AR160" t="s">
        <v>1838</v>
      </c>
      <c r="AS160" t="s">
        <v>1839</v>
      </c>
      <c r="AT160" t="s">
        <v>1840</v>
      </c>
      <c r="AW160" s="14" t="s">
        <v>72</v>
      </c>
      <c r="AX160" s="14" t="s">
        <v>73</v>
      </c>
      <c r="AY160" s="14" t="s">
        <v>74</v>
      </c>
    </row>
    <row r="161" spans="1:51" ht="15" customHeight="1" x14ac:dyDescent="0.4">
      <c r="A161" s="12">
        <v>3297</v>
      </c>
      <c r="B161" s="21" t="s">
        <v>1841</v>
      </c>
      <c r="C161" s="13" t="s">
        <v>1842</v>
      </c>
      <c r="D161" s="25" t="s">
        <v>1842</v>
      </c>
      <c r="E161" s="13"/>
      <c r="F161" s="41"/>
      <c r="G161" s="41"/>
      <c r="H161" s="41"/>
      <c r="I161" s="14" t="s">
        <v>1829</v>
      </c>
      <c r="J161" s="15">
        <v>44713</v>
      </c>
      <c r="K161" s="15" t="s">
        <v>1753</v>
      </c>
      <c r="L161" t="s">
        <v>1705</v>
      </c>
      <c r="M161" t="s">
        <v>1706</v>
      </c>
      <c r="N161" t="s">
        <v>53</v>
      </c>
      <c r="O161" t="s">
        <v>175</v>
      </c>
      <c r="P161" t="s">
        <v>1754</v>
      </c>
      <c r="Q161" s="21" t="s">
        <v>56</v>
      </c>
      <c r="R161" t="s">
        <v>1755</v>
      </c>
      <c r="S161" s="21"/>
      <c r="T161" t="s">
        <v>1843</v>
      </c>
      <c r="U161" t="s">
        <v>1844</v>
      </c>
      <c r="Y161" t="s">
        <v>1832</v>
      </c>
      <c r="AA161" s="15"/>
      <c r="AC161">
        <v>38.461624</v>
      </c>
      <c r="AD161">
        <v>-90.818267000000006</v>
      </c>
      <c r="AH161" t="s">
        <v>1715</v>
      </c>
      <c r="AI161" t="s">
        <v>63</v>
      </c>
      <c r="AJ161" t="s">
        <v>1845</v>
      </c>
      <c r="AK161">
        <v>192795</v>
      </c>
      <c r="AM161" t="s">
        <v>1846</v>
      </c>
      <c r="AN161" t="s">
        <v>1847</v>
      </c>
      <c r="AO161" t="s">
        <v>1848</v>
      </c>
      <c r="AP161" t="s">
        <v>68</v>
      </c>
      <c r="AR161" t="s">
        <v>1849</v>
      </c>
      <c r="AS161" t="s">
        <v>1850</v>
      </c>
      <c r="AT161" t="s">
        <v>1851</v>
      </c>
      <c r="AW161" s="14" t="s">
        <v>72</v>
      </c>
      <c r="AX161" s="14" t="s">
        <v>73</v>
      </c>
      <c r="AY161" s="14" t="s">
        <v>74</v>
      </c>
    </row>
    <row r="162" spans="1:51" ht="15" customHeight="1" x14ac:dyDescent="0.4">
      <c r="A162" s="12">
        <v>3298</v>
      </c>
      <c r="B162" s="21" t="s">
        <v>1852</v>
      </c>
      <c r="C162" s="13" t="s">
        <v>1853</v>
      </c>
      <c r="D162" s="25" t="s">
        <v>1853</v>
      </c>
      <c r="E162" s="13"/>
      <c r="F162" s="41"/>
      <c r="G162" s="41"/>
      <c r="H162" s="41"/>
      <c r="I162" s="14" t="s">
        <v>1829</v>
      </c>
      <c r="J162" s="15">
        <v>44713</v>
      </c>
      <c r="K162" s="15" t="s">
        <v>1753</v>
      </c>
      <c r="L162" t="s">
        <v>1705</v>
      </c>
      <c r="M162" t="s">
        <v>1706</v>
      </c>
      <c r="N162" t="s">
        <v>53</v>
      </c>
      <c r="O162" t="s">
        <v>175</v>
      </c>
      <c r="P162" t="s">
        <v>1754</v>
      </c>
      <c r="Q162" s="21" t="s">
        <v>56</v>
      </c>
      <c r="R162" t="s">
        <v>1755</v>
      </c>
      <c r="S162" s="21"/>
      <c r="T162" t="s">
        <v>1854</v>
      </c>
      <c r="U162" t="s">
        <v>1855</v>
      </c>
      <c r="Y162" t="s">
        <v>1832</v>
      </c>
      <c r="AA162" s="15"/>
      <c r="AC162">
        <v>38.462029000000001</v>
      </c>
      <c r="AD162">
        <v>-90.818313000000003</v>
      </c>
      <c r="AE162" t="s">
        <v>1856</v>
      </c>
      <c r="AH162" t="s">
        <v>1715</v>
      </c>
      <c r="AI162" t="s">
        <v>63</v>
      </c>
      <c r="AJ162" t="s">
        <v>1857</v>
      </c>
      <c r="AK162">
        <v>194510</v>
      </c>
      <c r="AM162" t="s">
        <v>1858</v>
      </c>
      <c r="AN162" t="s">
        <v>1859</v>
      </c>
      <c r="AO162" t="s">
        <v>1860</v>
      </c>
      <c r="AP162" t="s">
        <v>68</v>
      </c>
      <c r="AR162" t="s">
        <v>1861</v>
      </c>
      <c r="AS162" t="s">
        <v>1862</v>
      </c>
      <c r="AT162" t="s">
        <v>1863</v>
      </c>
      <c r="AW162" s="14" t="s">
        <v>72</v>
      </c>
      <c r="AX162" s="14" t="s">
        <v>73</v>
      </c>
      <c r="AY162" s="14" t="s">
        <v>74</v>
      </c>
    </row>
    <row r="163" spans="1:51" ht="15" customHeight="1" x14ac:dyDescent="0.4">
      <c r="A163" s="12">
        <v>3299</v>
      </c>
      <c r="B163" s="21" t="s">
        <v>1864</v>
      </c>
      <c r="C163" s="13" t="s">
        <v>1865</v>
      </c>
      <c r="D163" s="25" t="s">
        <v>1865</v>
      </c>
      <c r="E163" s="13"/>
      <c r="F163" s="41"/>
      <c r="G163" s="41"/>
      <c r="H163" s="41"/>
      <c r="I163" s="14" t="s">
        <v>1752</v>
      </c>
      <c r="J163" s="15">
        <v>44713</v>
      </c>
      <c r="K163" s="15" t="s">
        <v>1753</v>
      </c>
      <c r="L163" t="s">
        <v>1705</v>
      </c>
      <c r="M163" t="s">
        <v>1706</v>
      </c>
      <c r="N163" t="s">
        <v>53</v>
      </c>
      <c r="O163" t="s">
        <v>175</v>
      </c>
      <c r="P163" t="s">
        <v>1754</v>
      </c>
      <c r="Q163" s="21" t="s">
        <v>56</v>
      </c>
      <c r="R163" t="s">
        <v>1755</v>
      </c>
      <c r="S163" s="21"/>
      <c r="T163" t="s">
        <v>1866</v>
      </c>
      <c r="U163" t="s">
        <v>1867</v>
      </c>
      <c r="Y163" t="s">
        <v>1759</v>
      </c>
      <c r="AA163" s="15"/>
      <c r="AC163">
        <v>38.46199</v>
      </c>
      <c r="AD163">
        <v>-90.818417999999994</v>
      </c>
      <c r="AE163" t="s">
        <v>1868</v>
      </c>
      <c r="AH163" t="s">
        <v>1715</v>
      </c>
      <c r="AI163" t="s">
        <v>63</v>
      </c>
      <c r="AJ163" t="s">
        <v>1869</v>
      </c>
      <c r="AK163">
        <v>192568</v>
      </c>
      <c r="AM163" t="s">
        <v>1870</v>
      </c>
      <c r="AN163" t="s">
        <v>1871</v>
      </c>
      <c r="AO163" t="s">
        <v>1872</v>
      </c>
      <c r="AP163" t="s">
        <v>68</v>
      </c>
      <c r="AR163" t="s">
        <v>1873</v>
      </c>
      <c r="AS163" t="s">
        <v>1874</v>
      </c>
      <c r="AT163" t="s">
        <v>1875</v>
      </c>
      <c r="AW163" s="14" t="s">
        <v>72</v>
      </c>
      <c r="AX163" s="14" t="s">
        <v>73</v>
      </c>
      <c r="AY163" s="14" t="s">
        <v>1768</v>
      </c>
    </row>
    <row r="164" spans="1:51" ht="15" customHeight="1" x14ac:dyDescent="0.4">
      <c r="A164" s="12">
        <v>3300</v>
      </c>
      <c r="B164" s="21" t="s">
        <v>1876</v>
      </c>
      <c r="C164" s="13" t="s">
        <v>1877</v>
      </c>
      <c r="D164" s="25" t="s">
        <v>1877</v>
      </c>
      <c r="E164" s="13"/>
      <c r="F164" s="41"/>
      <c r="G164" s="41"/>
      <c r="H164" s="41"/>
      <c r="I164" s="14" t="s">
        <v>1878</v>
      </c>
      <c r="J164" s="15">
        <v>44713</v>
      </c>
      <c r="K164" s="15" t="s">
        <v>1753</v>
      </c>
      <c r="L164" t="s">
        <v>1705</v>
      </c>
      <c r="M164" t="s">
        <v>1706</v>
      </c>
      <c r="N164" t="s">
        <v>53</v>
      </c>
      <c r="O164" t="s">
        <v>175</v>
      </c>
      <c r="P164" t="s">
        <v>1754</v>
      </c>
      <c r="Q164" s="21" t="s">
        <v>56</v>
      </c>
      <c r="R164" t="s">
        <v>1755</v>
      </c>
      <c r="S164" s="21"/>
      <c r="T164" t="s">
        <v>1879</v>
      </c>
      <c r="U164" t="s">
        <v>1880</v>
      </c>
      <c r="Y164" t="s">
        <v>1881</v>
      </c>
      <c r="AA164" s="15"/>
      <c r="AC164">
        <v>38.462390999999997</v>
      </c>
      <c r="AD164">
        <v>-90.817857000000004</v>
      </c>
      <c r="AE164" t="s">
        <v>859</v>
      </c>
      <c r="AH164" t="s">
        <v>1715</v>
      </c>
      <c r="AI164" t="s">
        <v>63</v>
      </c>
      <c r="AJ164" t="s">
        <v>1882</v>
      </c>
      <c r="AK164">
        <v>192792</v>
      </c>
      <c r="AM164" t="s">
        <v>1883</v>
      </c>
      <c r="AN164" t="s">
        <v>1884</v>
      </c>
      <c r="AO164" s="26" t="e">
        <v>#N/A</v>
      </c>
      <c r="AP164" t="s">
        <v>68</v>
      </c>
      <c r="AR164" t="s">
        <v>1885</v>
      </c>
      <c r="AS164" t="s">
        <v>1886</v>
      </c>
      <c r="AT164" t="s">
        <v>1887</v>
      </c>
      <c r="AW164" s="14" t="s">
        <v>72</v>
      </c>
      <c r="AX164" s="14" t="s">
        <v>73</v>
      </c>
      <c r="AY164" s="14" t="s">
        <v>1723</v>
      </c>
    </row>
    <row r="165" spans="1:51" ht="15" customHeight="1" x14ac:dyDescent="0.4">
      <c r="A165" s="12">
        <v>3301</v>
      </c>
      <c r="B165" s="21" t="s">
        <v>1888</v>
      </c>
      <c r="C165" s="13" t="s">
        <v>1889</v>
      </c>
      <c r="D165" s="25" t="s">
        <v>1889</v>
      </c>
      <c r="E165" s="13"/>
      <c r="F165" s="41"/>
      <c r="G165" s="41"/>
      <c r="H165" s="41"/>
      <c r="I165" s="14" t="s">
        <v>1829</v>
      </c>
      <c r="J165" s="15">
        <v>44713</v>
      </c>
      <c r="K165" s="15" t="s">
        <v>1753</v>
      </c>
      <c r="L165" t="s">
        <v>1705</v>
      </c>
      <c r="M165" t="s">
        <v>1706</v>
      </c>
      <c r="N165" t="s">
        <v>53</v>
      </c>
      <c r="O165" t="s">
        <v>175</v>
      </c>
      <c r="P165" t="s">
        <v>1754</v>
      </c>
      <c r="Q165" s="21" t="s">
        <v>56</v>
      </c>
      <c r="R165" t="s">
        <v>1755</v>
      </c>
      <c r="S165" s="21"/>
      <c r="T165" t="s">
        <v>1890</v>
      </c>
      <c r="U165" t="s">
        <v>1891</v>
      </c>
      <c r="Y165" t="s">
        <v>1832</v>
      </c>
      <c r="AA165" s="15"/>
      <c r="AC165">
        <v>38.462949999999999</v>
      </c>
      <c r="AD165">
        <v>-90.817616000000001</v>
      </c>
      <c r="AE165" t="s">
        <v>1892</v>
      </c>
      <c r="AH165" t="s">
        <v>1715</v>
      </c>
      <c r="AI165" t="s">
        <v>63</v>
      </c>
      <c r="AJ165" t="s">
        <v>1893</v>
      </c>
      <c r="AK165">
        <v>194511</v>
      </c>
      <c r="AM165" t="s">
        <v>1894</v>
      </c>
      <c r="AN165" t="s">
        <v>1895</v>
      </c>
      <c r="AO165" s="23" t="s">
        <v>1896</v>
      </c>
      <c r="AP165" t="s">
        <v>68</v>
      </c>
      <c r="AR165" t="s">
        <v>1897</v>
      </c>
      <c r="AS165" t="s">
        <v>1898</v>
      </c>
      <c r="AT165" t="s">
        <v>1899</v>
      </c>
      <c r="AW165" s="14" t="s">
        <v>72</v>
      </c>
      <c r="AX165" s="14" t="s">
        <v>73</v>
      </c>
      <c r="AY165" s="14" t="s">
        <v>74</v>
      </c>
    </row>
    <row r="166" spans="1:51" ht="15" customHeight="1" x14ac:dyDescent="0.4">
      <c r="A166" s="12">
        <v>3302</v>
      </c>
      <c r="B166" s="21" t="s">
        <v>1900</v>
      </c>
      <c r="C166" s="13" t="s">
        <v>1901</v>
      </c>
      <c r="D166" s="25" t="s">
        <v>1901</v>
      </c>
      <c r="E166" s="13"/>
      <c r="F166" s="41"/>
      <c r="G166" s="41"/>
      <c r="H166" s="41"/>
      <c r="I166" s="14" t="s">
        <v>1829</v>
      </c>
      <c r="J166" s="15">
        <v>44713</v>
      </c>
      <c r="K166" s="15" t="s">
        <v>1753</v>
      </c>
      <c r="L166" t="s">
        <v>1705</v>
      </c>
      <c r="M166" t="s">
        <v>1706</v>
      </c>
      <c r="N166" t="s">
        <v>53</v>
      </c>
      <c r="O166" t="s">
        <v>175</v>
      </c>
      <c r="P166" t="s">
        <v>1754</v>
      </c>
      <c r="Q166" s="21" t="s">
        <v>56</v>
      </c>
      <c r="R166" t="s">
        <v>1755</v>
      </c>
      <c r="S166" s="21"/>
      <c r="T166" t="s">
        <v>1890</v>
      </c>
      <c r="U166" t="s">
        <v>1891</v>
      </c>
      <c r="Y166" t="s">
        <v>1832</v>
      </c>
      <c r="AA166" s="15"/>
      <c r="AC166">
        <v>38.462961</v>
      </c>
      <c r="AD166">
        <v>-90.817894999999993</v>
      </c>
      <c r="AE166" t="s">
        <v>782</v>
      </c>
      <c r="AH166" t="s">
        <v>1715</v>
      </c>
      <c r="AI166" t="s">
        <v>63</v>
      </c>
      <c r="AJ166" t="s">
        <v>1902</v>
      </c>
      <c r="AK166">
        <v>194512</v>
      </c>
      <c r="AM166" t="s">
        <v>1903</v>
      </c>
      <c r="AN166" t="s">
        <v>1904</v>
      </c>
      <c r="AO166" t="s">
        <v>1905</v>
      </c>
      <c r="AP166" t="s">
        <v>68</v>
      </c>
      <c r="AR166" t="s">
        <v>1906</v>
      </c>
      <c r="AS166" t="s">
        <v>1907</v>
      </c>
      <c r="AT166" t="s">
        <v>1908</v>
      </c>
      <c r="AW166" s="14" t="s">
        <v>72</v>
      </c>
      <c r="AX166" s="14" t="s">
        <v>73</v>
      </c>
      <c r="AY166" s="14" t="s">
        <v>74</v>
      </c>
    </row>
    <row r="167" spans="1:51" ht="15" customHeight="1" x14ac:dyDescent="0.4">
      <c r="A167" s="12">
        <v>3303</v>
      </c>
      <c r="B167" s="21" t="s">
        <v>1909</v>
      </c>
      <c r="C167" s="13" t="s">
        <v>1910</v>
      </c>
      <c r="D167" s="25" t="s">
        <v>1910</v>
      </c>
      <c r="E167" s="13"/>
      <c r="F167" s="41"/>
      <c r="G167" s="41"/>
      <c r="H167" s="41"/>
      <c r="I167" s="14" t="s">
        <v>1878</v>
      </c>
      <c r="J167" s="15">
        <v>44713</v>
      </c>
      <c r="K167" s="15" t="s">
        <v>1753</v>
      </c>
      <c r="L167" t="s">
        <v>1705</v>
      </c>
      <c r="M167" t="s">
        <v>1706</v>
      </c>
      <c r="N167" t="s">
        <v>53</v>
      </c>
      <c r="O167" t="s">
        <v>175</v>
      </c>
      <c r="P167" t="s">
        <v>1754</v>
      </c>
      <c r="Q167" s="21" t="s">
        <v>56</v>
      </c>
      <c r="R167" t="s">
        <v>1755</v>
      </c>
      <c r="S167" s="21"/>
      <c r="T167" t="s">
        <v>1911</v>
      </c>
      <c r="U167" t="s">
        <v>1912</v>
      </c>
      <c r="Y167" t="s">
        <v>1881</v>
      </c>
      <c r="AA167" s="15"/>
      <c r="AC167">
        <v>38.462749000000002</v>
      </c>
      <c r="AD167">
        <v>-90.818039999999996</v>
      </c>
      <c r="AE167" t="s">
        <v>1913</v>
      </c>
      <c r="AH167" t="s">
        <v>1715</v>
      </c>
      <c r="AI167" t="s">
        <v>63</v>
      </c>
      <c r="AJ167" t="s">
        <v>1914</v>
      </c>
      <c r="AK167">
        <v>193381</v>
      </c>
      <c r="AM167" t="s">
        <v>1915</v>
      </c>
      <c r="AN167" t="s">
        <v>1916</v>
      </c>
      <c r="AO167" t="s">
        <v>1917</v>
      </c>
      <c r="AP167" t="s">
        <v>68</v>
      </c>
      <c r="AR167" t="s">
        <v>1918</v>
      </c>
      <c r="AS167" t="s">
        <v>1919</v>
      </c>
      <c r="AT167" t="s">
        <v>1920</v>
      </c>
      <c r="AW167" s="14" t="s">
        <v>72</v>
      </c>
      <c r="AX167" s="14" t="s">
        <v>73</v>
      </c>
      <c r="AY167" s="14" t="s">
        <v>1723</v>
      </c>
    </row>
    <row r="168" spans="1:51" ht="15" customHeight="1" x14ac:dyDescent="0.4">
      <c r="A168" s="12">
        <v>3304</v>
      </c>
      <c r="B168" s="21" t="s">
        <v>1921</v>
      </c>
      <c r="C168" s="13" t="s">
        <v>1922</v>
      </c>
      <c r="D168" s="25" t="s">
        <v>1922</v>
      </c>
      <c r="E168" s="13"/>
      <c r="F168" s="41"/>
      <c r="G168" s="41"/>
      <c r="H168" s="41"/>
      <c r="I168" s="14" t="s">
        <v>1752</v>
      </c>
      <c r="J168" s="15">
        <v>44713</v>
      </c>
      <c r="K168" s="15" t="s">
        <v>1753</v>
      </c>
      <c r="L168" t="s">
        <v>1705</v>
      </c>
      <c r="M168" t="s">
        <v>1706</v>
      </c>
      <c r="N168" t="s">
        <v>53</v>
      </c>
      <c r="O168" t="s">
        <v>175</v>
      </c>
      <c r="P168" t="s">
        <v>1754</v>
      </c>
      <c r="Q168" s="21" t="s">
        <v>56</v>
      </c>
      <c r="R168" t="s">
        <v>1755</v>
      </c>
      <c r="S168" s="21"/>
      <c r="T168" t="s">
        <v>1923</v>
      </c>
      <c r="U168" t="s">
        <v>1924</v>
      </c>
      <c r="Y168" t="s">
        <v>1759</v>
      </c>
      <c r="AA168" s="15"/>
      <c r="AC168">
        <v>38.462662000000002</v>
      </c>
      <c r="AD168">
        <v>-90.818128999999999</v>
      </c>
      <c r="AE168" t="s">
        <v>1925</v>
      </c>
      <c r="AH168" t="s">
        <v>1715</v>
      </c>
      <c r="AI168" t="s">
        <v>63</v>
      </c>
      <c r="AJ168" t="s">
        <v>1926</v>
      </c>
      <c r="AK168">
        <v>193513</v>
      </c>
      <c r="AM168" t="s">
        <v>1927</v>
      </c>
      <c r="AN168" t="s">
        <v>1928</v>
      </c>
      <c r="AO168" t="s">
        <v>1929</v>
      </c>
      <c r="AP168" t="s">
        <v>68</v>
      </c>
      <c r="AR168" t="s">
        <v>1930</v>
      </c>
      <c r="AS168" t="s">
        <v>1931</v>
      </c>
      <c r="AT168" t="s">
        <v>1932</v>
      </c>
      <c r="AW168" s="14" t="s">
        <v>72</v>
      </c>
      <c r="AX168" s="14" t="s">
        <v>73</v>
      </c>
      <c r="AY168" s="14" t="s">
        <v>1768</v>
      </c>
    </row>
    <row r="169" spans="1:51" ht="15" customHeight="1" x14ac:dyDescent="0.4">
      <c r="A169" s="12">
        <v>3305</v>
      </c>
      <c r="B169" s="21" t="s">
        <v>1933</v>
      </c>
      <c r="C169" s="13" t="s">
        <v>1934</v>
      </c>
      <c r="D169" s="25" t="s">
        <v>1934</v>
      </c>
      <c r="E169" s="13"/>
      <c r="F169" s="41"/>
      <c r="G169" s="41"/>
      <c r="H169" s="41"/>
      <c r="I169" s="14" t="s">
        <v>1752</v>
      </c>
      <c r="J169" s="15">
        <v>44713</v>
      </c>
      <c r="K169" s="15" t="s">
        <v>1753</v>
      </c>
      <c r="L169" t="s">
        <v>1705</v>
      </c>
      <c r="M169" t="s">
        <v>1706</v>
      </c>
      <c r="N169" t="s">
        <v>53</v>
      </c>
      <c r="O169" t="s">
        <v>175</v>
      </c>
      <c r="P169" t="s">
        <v>1754</v>
      </c>
      <c r="Q169" s="21" t="s">
        <v>56</v>
      </c>
      <c r="R169" t="s">
        <v>1755</v>
      </c>
      <c r="S169" s="21"/>
      <c r="T169" t="s">
        <v>1935</v>
      </c>
      <c r="U169" t="s">
        <v>1936</v>
      </c>
      <c r="X169" t="s">
        <v>1758</v>
      </c>
      <c r="Y169" t="s">
        <v>1759</v>
      </c>
      <c r="AA169" s="15"/>
      <c r="AC169">
        <v>38.462482999999999</v>
      </c>
      <c r="AD169">
        <v>-90.818432000000001</v>
      </c>
      <c r="AE169" t="s">
        <v>804</v>
      </c>
      <c r="AH169" t="s">
        <v>1715</v>
      </c>
      <c r="AI169" t="s">
        <v>63</v>
      </c>
      <c r="AJ169" t="s">
        <v>1937</v>
      </c>
      <c r="AK169">
        <v>193514</v>
      </c>
      <c r="AM169" t="s">
        <v>1938</v>
      </c>
      <c r="AN169" t="s">
        <v>1939</v>
      </c>
      <c r="AO169" t="s">
        <v>1940</v>
      </c>
      <c r="AP169" t="s">
        <v>68</v>
      </c>
      <c r="AR169" t="s">
        <v>1941</v>
      </c>
      <c r="AS169" t="s">
        <v>1942</v>
      </c>
      <c r="AT169" t="s">
        <v>1943</v>
      </c>
      <c r="AW169" s="14" t="s">
        <v>72</v>
      </c>
      <c r="AX169" s="14" t="s">
        <v>73</v>
      </c>
      <c r="AY169" s="14" t="s">
        <v>1768</v>
      </c>
    </row>
    <row r="170" spans="1:51" ht="15" customHeight="1" x14ac:dyDescent="0.4">
      <c r="A170" s="12">
        <v>3306</v>
      </c>
      <c r="B170" s="21" t="s">
        <v>1944</v>
      </c>
      <c r="C170" s="13" t="s">
        <v>1945</v>
      </c>
      <c r="D170" s="25" t="s">
        <v>1945</v>
      </c>
      <c r="E170" s="13"/>
      <c r="F170" s="41"/>
      <c r="G170" s="41"/>
      <c r="H170" s="41"/>
      <c r="I170" s="14" t="s">
        <v>1752</v>
      </c>
      <c r="J170" s="15">
        <v>44713</v>
      </c>
      <c r="K170" s="15" t="s">
        <v>1753</v>
      </c>
      <c r="L170" t="s">
        <v>1705</v>
      </c>
      <c r="M170" t="s">
        <v>1706</v>
      </c>
      <c r="N170" t="s">
        <v>53</v>
      </c>
      <c r="O170" t="s">
        <v>175</v>
      </c>
      <c r="P170" t="s">
        <v>1754</v>
      </c>
      <c r="Q170" s="21" t="s">
        <v>56</v>
      </c>
      <c r="R170" t="s">
        <v>1755</v>
      </c>
      <c r="S170" s="21"/>
      <c r="T170" t="s">
        <v>1946</v>
      </c>
      <c r="U170" t="s">
        <v>1752</v>
      </c>
      <c r="Y170" t="s">
        <v>1759</v>
      </c>
      <c r="AA170" s="15"/>
      <c r="AC170">
        <v>38.462702999999998</v>
      </c>
      <c r="AD170">
        <v>-90.818742</v>
      </c>
      <c r="AE170" t="s">
        <v>1947</v>
      </c>
      <c r="AH170" t="s">
        <v>1715</v>
      </c>
      <c r="AI170" t="s">
        <v>63</v>
      </c>
      <c r="AJ170" t="s">
        <v>1948</v>
      </c>
      <c r="AK170">
        <v>193515</v>
      </c>
      <c r="AM170" t="s">
        <v>1949</v>
      </c>
      <c r="AN170" t="s">
        <v>1950</v>
      </c>
      <c r="AO170" t="s">
        <v>1951</v>
      </c>
      <c r="AP170" t="s">
        <v>68</v>
      </c>
      <c r="AR170" t="s">
        <v>1952</v>
      </c>
      <c r="AS170" t="s">
        <v>1953</v>
      </c>
      <c r="AT170" t="s">
        <v>1954</v>
      </c>
      <c r="AW170" s="14" t="s">
        <v>72</v>
      </c>
      <c r="AX170" s="14" t="s">
        <v>73</v>
      </c>
      <c r="AY170" s="14" t="s">
        <v>1768</v>
      </c>
    </row>
    <row r="171" spans="1:51" ht="15" customHeight="1" x14ac:dyDescent="0.4">
      <c r="A171" s="12">
        <v>3307</v>
      </c>
      <c r="B171" s="21" t="s">
        <v>1955</v>
      </c>
      <c r="C171" s="13" t="s">
        <v>1956</v>
      </c>
      <c r="D171" s="25" t="s">
        <v>1956</v>
      </c>
      <c r="E171" s="13"/>
      <c r="F171" s="41"/>
      <c r="G171" s="41"/>
      <c r="H171" s="41"/>
      <c r="I171" s="14" t="s">
        <v>1878</v>
      </c>
      <c r="J171" s="15">
        <v>44713</v>
      </c>
      <c r="K171" s="15" t="s">
        <v>1753</v>
      </c>
      <c r="L171" t="s">
        <v>1705</v>
      </c>
      <c r="M171" t="s">
        <v>1706</v>
      </c>
      <c r="N171" t="s">
        <v>53</v>
      </c>
      <c r="O171" t="s">
        <v>175</v>
      </c>
      <c r="P171" t="s">
        <v>1754</v>
      </c>
      <c r="Q171" s="21" t="s">
        <v>56</v>
      </c>
      <c r="R171" t="s">
        <v>1755</v>
      </c>
      <c r="S171" s="21"/>
      <c r="T171" t="s">
        <v>1957</v>
      </c>
      <c r="U171" t="s">
        <v>1958</v>
      </c>
      <c r="Y171" t="s">
        <v>1881</v>
      </c>
      <c r="AA171" s="15"/>
      <c r="AC171">
        <v>38.462960000000002</v>
      </c>
      <c r="AD171">
        <v>-90.818493000000004</v>
      </c>
      <c r="AE171" t="s">
        <v>1959</v>
      </c>
      <c r="AH171" t="s">
        <v>1715</v>
      </c>
      <c r="AI171" t="s">
        <v>63</v>
      </c>
      <c r="AJ171" t="s">
        <v>1960</v>
      </c>
      <c r="AK171">
        <v>193751</v>
      </c>
      <c r="AM171" t="s">
        <v>1961</v>
      </c>
      <c r="AN171" t="s">
        <v>1962</v>
      </c>
      <c r="AO171" t="s">
        <v>1963</v>
      </c>
      <c r="AP171" t="s">
        <v>68</v>
      </c>
      <c r="AR171" t="s">
        <v>1964</v>
      </c>
      <c r="AS171" t="s">
        <v>1965</v>
      </c>
      <c r="AT171" t="s">
        <v>1966</v>
      </c>
      <c r="AW171" s="14" t="s">
        <v>72</v>
      </c>
      <c r="AX171" s="14" t="s">
        <v>73</v>
      </c>
      <c r="AY171" s="14" t="s">
        <v>1723</v>
      </c>
    </row>
    <row r="172" spans="1:51" ht="15" customHeight="1" x14ac:dyDescent="0.4">
      <c r="A172" s="12">
        <v>3308</v>
      </c>
      <c r="B172" s="21" t="s">
        <v>1967</v>
      </c>
      <c r="C172" s="13" t="s">
        <v>1968</v>
      </c>
      <c r="D172" s="25" t="s">
        <v>1968</v>
      </c>
      <c r="E172" s="13"/>
      <c r="F172" s="41"/>
      <c r="G172" s="41"/>
      <c r="H172" s="41"/>
      <c r="I172" s="14" t="s">
        <v>1878</v>
      </c>
      <c r="J172" s="15">
        <v>44713</v>
      </c>
      <c r="K172" s="15" t="s">
        <v>1753</v>
      </c>
      <c r="L172" t="s">
        <v>1705</v>
      </c>
      <c r="M172" t="s">
        <v>1706</v>
      </c>
      <c r="N172" t="s">
        <v>53</v>
      </c>
      <c r="O172" t="s">
        <v>175</v>
      </c>
      <c r="P172" t="s">
        <v>1754</v>
      </c>
      <c r="Q172" s="21" t="s">
        <v>56</v>
      </c>
      <c r="R172" t="s">
        <v>1755</v>
      </c>
      <c r="S172" s="21"/>
      <c r="T172" t="s">
        <v>1969</v>
      </c>
      <c r="U172" t="s">
        <v>1970</v>
      </c>
      <c r="Y172" t="s">
        <v>1881</v>
      </c>
      <c r="AA172" s="15"/>
      <c r="AC172">
        <v>38.463810000000002</v>
      </c>
      <c r="AD172">
        <v>-90.818731</v>
      </c>
      <c r="AE172" t="s">
        <v>1971</v>
      </c>
      <c r="AH172" t="s">
        <v>1715</v>
      </c>
      <c r="AI172" t="s">
        <v>63</v>
      </c>
      <c r="AJ172" t="s">
        <v>1972</v>
      </c>
      <c r="AK172">
        <v>193752</v>
      </c>
      <c r="AM172" t="s">
        <v>1973</v>
      </c>
      <c r="AN172" t="s">
        <v>1974</v>
      </c>
      <c r="AO172" t="s">
        <v>1975</v>
      </c>
      <c r="AP172" t="s">
        <v>68</v>
      </c>
      <c r="AR172" t="s">
        <v>1976</v>
      </c>
      <c r="AS172" t="s">
        <v>1977</v>
      </c>
      <c r="AT172" t="s">
        <v>1978</v>
      </c>
      <c r="AW172" s="14" t="s">
        <v>72</v>
      </c>
      <c r="AX172" s="14" t="s">
        <v>73</v>
      </c>
      <c r="AY172" s="14" t="s">
        <v>1723</v>
      </c>
    </row>
    <row r="173" spans="1:51" ht="15" customHeight="1" x14ac:dyDescent="0.4">
      <c r="A173" s="12">
        <v>3309</v>
      </c>
      <c r="B173" s="21" t="s">
        <v>1979</v>
      </c>
      <c r="C173" s="13" t="s">
        <v>1980</v>
      </c>
      <c r="D173" s="25" t="s">
        <v>1980</v>
      </c>
      <c r="E173" s="13"/>
      <c r="F173" s="41"/>
      <c r="G173" s="41"/>
      <c r="H173" s="41"/>
      <c r="I173" s="14" t="s">
        <v>1878</v>
      </c>
      <c r="J173" s="15">
        <v>44713</v>
      </c>
      <c r="K173" s="15" t="s">
        <v>1753</v>
      </c>
      <c r="L173" t="s">
        <v>1705</v>
      </c>
      <c r="M173" t="s">
        <v>1706</v>
      </c>
      <c r="N173" t="s">
        <v>53</v>
      </c>
      <c r="O173" t="s">
        <v>175</v>
      </c>
      <c r="P173" t="s">
        <v>1754</v>
      </c>
      <c r="Q173" s="21" t="s">
        <v>56</v>
      </c>
      <c r="R173" t="s">
        <v>1755</v>
      </c>
      <c r="S173" s="21"/>
      <c r="T173" t="s">
        <v>1981</v>
      </c>
      <c r="U173" t="s">
        <v>1982</v>
      </c>
      <c r="Y173" t="s">
        <v>1881</v>
      </c>
      <c r="AA173" s="15"/>
      <c r="AC173">
        <v>38.464165999999999</v>
      </c>
      <c r="AD173">
        <v>-90.818686</v>
      </c>
      <c r="AE173" t="s">
        <v>1971</v>
      </c>
      <c r="AH173" t="s">
        <v>1715</v>
      </c>
      <c r="AI173" t="s">
        <v>63</v>
      </c>
      <c r="AJ173" t="s">
        <v>1983</v>
      </c>
      <c r="AK173">
        <v>193754</v>
      </c>
      <c r="AM173" t="s">
        <v>1984</v>
      </c>
      <c r="AN173" t="s">
        <v>1985</v>
      </c>
      <c r="AO173" t="s">
        <v>1986</v>
      </c>
      <c r="AP173" t="s">
        <v>68</v>
      </c>
      <c r="AR173" t="s">
        <v>1987</v>
      </c>
      <c r="AS173" t="s">
        <v>1988</v>
      </c>
      <c r="AT173" t="s">
        <v>1989</v>
      </c>
      <c r="AW173" s="14" t="s">
        <v>72</v>
      </c>
      <c r="AX173" s="14" t="s">
        <v>73</v>
      </c>
      <c r="AY173" s="14" t="s">
        <v>1723</v>
      </c>
    </row>
    <row r="174" spans="1:51" ht="15" customHeight="1" x14ac:dyDescent="0.4">
      <c r="A174" s="12">
        <v>3310</v>
      </c>
      <c r="B174" s="21" t="s">
        <v>1990</v>
      </c>
      <c r="C174" s="13" t="s">
        <v>1991</v>
      </c>
      <c r="D174" s="25" t="s">
        <v>1991</v>
      </c>
      <c r="E174" s="13"/>
      <c r="F174" s="41"/>
      <c r="G174" s="41"/>
      <c r="H174" s="41"/>
      <c r="I174" s="14" t="s">
        <v>49</v>
      </c>
      <c r="J174" s="15">
        <v>44714</v>
      </c>
      <c r="K174" s="15" t="s">
        <v>1992</v>
      </c>
      <c r="L174" t="s">
        <v>1705</v>
      </c>
      <c r="M174" t="s">
        <v>1706</v>
      </c>
      <c r="N174" t="s">
        <v>53</v>
      </c>
      <c r="O174" t="s">
        <v>1707</v>
      </c>
      <c r="P174" t="s">
        <v>1993</v>
      </c>
      <c r="Q174" s="21" t="s">
        <v>56</v>
      </c>
      <c r="R174" t="s">
        <v>1994</v>
      </c>
      <c r="S174" s="21"/>
      <c r="T174" t="s">
        <v>1995</v>
      </c>
      <c r="U174" t="s">
        <v>1996</v>
      </c>
      <c r="Y174" t="s">
        <v>60</v>
      </c>
      <c r="AA174" s="15"/>
      <c r="AH174" t="s">
        <v>1715</v>
      </c>
      <c r="AI174" t="s">
        <v>63</v>
      </c>
      <c r="AJ174" t="s">
        <v>1997</v>
      </c>
      <c r="AK174">
        <v>192558</v>
      </c>
      <c r="AM174" t="s">
        <v>1998</v>
      </c>
      <c r="AN174" t="s">
        <v>1999</v>
      </c>
      <c r="AO174" t="s">
        <v>2000</v>
      </c>
      <c r="AP174" t="s">
        <v>68</v>
      </c>
      <c r="AR174" t="s">
        <v>2001</v>
      </c>
      <c r="AS174" t="s">
        <v>2002</v>
      </c>
      <c r="AT174" t="s">
        <v>2003</v>
      </c>
      <c r="AW174" s="14" t="s">
        <v>72</v>
      </c>
      <c r="AX174" s="14" t="s">
        <v>73</v>
      </c>
      <c r="AY174" s="14" t="s">
        <v>74</v>
      </c>
    </row>
    <row r="175" spans="1:51" ht="15" customHeight="1" x14ac:dyDescent="0.4">
      <c r="A175" s="12">
        <v>3311</v>
      </c>
      <c r="B175" s="19" t="s">
        <v>2004</v>
      </c>
      <c r="C175" s="13" t="s">
        <v>2005</v>
      </c>
      <c r="D175" s="27" t="s">
        <v>2005</v>
      </c>
      <c r="E175" s="13"/>
      <c r="F175" s="54" t="s">
        <v>2006</v>
      </c>
      <c r="G175" s="54" t="s">
        <v>8095</v>
      </c>
      <c r="H175" s="54"/>
      <c r="I175" s="14" t="s">
        <v>2006</v>
      </c>
      <c r="J175" s="15">
        <v>44714</v>
      </c>
      <c r="K175" s="15" t="s">
        <v>1992</v>
      </c>
      <c r="L175" t="s">
        <v>1705</v>
      </c>
      <c r="M175" t="s">
        <v>1706</v>
      </c>
      <c r="N175" t="s">
        <v>53</v>
      </c>
      <c r="O175" t="s">
        <v>1707</v>
      </c>
      <c r="P175" t="s">
        <v>1993</v>
      </c>
      <c r="Q175" s="21" t="s">
        <v>56</v>
      </c>
      <c r="R175" t="s">
        <v>1994</v>
      </c>
      <c r="S175" s="21"/>
      <c r="T175" t="s">
        <v>2007</v>
      </c>
      <c r="U175" t="s">
        <v>2008</v>
      </c>
      <c r="Y175" t="s">
        <v>2009</v>
      </c>
      <c r="AA175" s="15"/>
      <c r="AG175" s="18" t="s">
        <v>2010</v>
      </c>
      <c r="AH175" t="s">
        <v>1715</v>
      </c>
      <c r="AI175" t="s">
        <v>63</v>
      </c>
      <c r="AJ175" t="s">
        <v>2011</v>
      </c>
      <c r="AK175">
        <v>194223</v>
      </c>
      <c r="AM175" t="s">
        <v>2012</v>
      </c>
      <c r="AN175" t="s">
        <v>2013</v>
      </c>
      <c r="AO175" t="s">
        <v>2014</v>
      </c>
      <c r="AP175" t="s">
        <v>68</v>
      </c>
      <c r="AR175" t="s">
        <v>2015</v>
      </c>
      <c r="AS175" t="s">
        <v>2016</v>
      </c>
      <c r="AT175" t="s">
        <v>2017</v>
      </c>
      <c r="AW175" s="14" t="s">
        <v>72</v>
      </c>
      <c r="AX175" s="14" t="s">
        <v>73</v>
      </c>
      <c r="AY175" s="14" t="s">
        <v>74</v>
      </c>
    </row>
    <row r="176" spans="1:51" ht="15" customHeight="1" x14ac:dyDescent="0.4">
      <c r="A176" s="12">
        <v>3312</v>
      </c>
      <c r="B176" s="21" t="s">
        <v>2018</v>
      </c>
      <c r="C176" s="13" t="s">
        <v>2019</v>
      </c>
      <c r="D176" s="25" t="s">
        <v>2019</v>
      </c>
      <c r="E176" s="13"/>
      <c r="F176" s="41"/>
      <c r="G176" s="41"/>
      <c r="H176" s="41"/>
      <c r="I176" s="14" t="s">
        <v>2006</v>
      </c>
      <c r="J176" s="15">
        <v>44714</v>
      </c>
      <c r="K176" s="15" t="s">
        <v>1992</v>
      </c>
      <c r="L176" t="s">
        <v>1705</v>
      </c>
      <c r="M176" t="s">
        <v>1706</v>
      </c>
      <c r="N176" t="s">
        <v>53</v>
      </c>
      <c r="O176" t="s">
        <v>1707</v>
      </c>
      <c r="P176" t="s">
        <v>1993</v>
      </c>
      <c r="Q176" s="21" t="s">
        <v>56</v>
      </c>
      <c r="R176" t="s">
        <v>1994</v>
      </c>
      <c r="S176" s="21"/>
      <c r="T176" t="s">
        <v>2020</v>
      </c>
      <c r="U176" t="s">
        <v>2021</v>
      </c>
      <c r="Y176" t="s">
        <v>2009</v>
      </c>
      <c r="AA176" s="15"/>
      <c r="AH176" t="s">
        <v>1715</v>
      </c>
      <c r="AI176" t="s">
        <v>63</v>
      </c>
      <c r="AJ176" t="s">
        <v>2022</v>
      </c>
      <c r="AK176">
        <v>194224</v>
      </c>
      <c r="AM176" t="s">
        <v>2023</v>
      </c>
      <c r="AN176" t="s">
        <v>2024</v>
      </c>
      <c r="AO176" t="s">
        <v>2025</v>
      </c>
      <c r="AP176" t="s">
        <v>68</v>
      </c>
      <c r="AR176" t="s">
        <v>2026</v>
      </c>
      <c r="AS176" t="s">
        <v>2027</v>
      </c>
      <c r="AT176" t="s">
        <v>2028</v>
      </c>
      <c r="AW176" s="14" t="s">
        <v>72</v>
      </c>
      <c r="AX176" s="14" t="s">
        <v>73</v>
      </c>
      <c r="AY176" s="14" t="s">
        <v>74</v>
      </c>
    </row>
    <row r="177" spans="1:51" ht="15" customHeight="1" x14ac:dyDescent="0.4">
      <c r="A177" s="12">
        <v>3313</v>
      </c>
      <c r="B177" s="21" t="s">
        <v>2029</v>
      </c>
      <c r="C177" s="13" t="s">
        <v>2030</v>
      </c>
      <c r="D177" s="25" t="s">
        <v>2030</v>
      </c>
      <c r="E177" s="13"/>
      <c r="F177" s="54" t="s">
        <v>2006</v>
      </c>
      <c r="G177" s="54" t="s">
        <v>8137</v>
      </c>
      <c r="H177" s="54"/>
      <c r="I177" s="14" t="s">
        <v>2006</v>
      </c>
      <c r="J177" s="15">
        <v>44714</v>
      </c>
      <c r="K177" s="15" t="s">
        <v>1992</v>
      </c>
      <c r="L177" t="s">
        <v>1705</v>
      </c>
      <c r="M177" t="s">
        <v>1706</v>
      </c>
      <c r="N177" t="s">
        <v>53</v>
      </c>
      <c r="O177" t="s">
        <v>1707</v>
      </c>
      <c r="P177" t="s">
        <v>1993</v>
      </c>
      <c r="Q177" s="21" t="s">
        <v>56</v>
      </c>
      <c r="R177" t="s">
        <v>1994</v>
      </c>
      <c r="S177" s="21"/>
      <c r="T177" t="s">
        <v>2031</v>
      </c>
      <c r="U177" t="s">
        <v>2032</v>
      </c>
      <c r="Y177" t="s">
        <v>2009</v>
      </c>
      <c r="AA177" s="15"/>
      <c r="AH177" t="s">
        <v>1715</v>
      </c>
      <c r="AI177" t="s">
        <v>63</v>
      </c>
      <c r="AJ177" t="s">
        <v>2033</v>
      </c>
      <c r="AK177">
        <v>194225</v>
      </c>
      <c r="AM177" t="s">
        <v>2034</v>
      </c>
      <c r="AN177" t="s">
        <v>2035</v>
      </c>
      <c r="AO177" t="s">
        <v>2036</v>
      </c>
      <c r="AP177" t="s">
        <v>68</v>
      </c>
      <c r="AR177" t="s">
        <v>2037</v>
      </c>
      <c r="AS177" t="s">
        <v>2038</v>
      </c>
      <c r="AT177" t="s">
        <v>2039</v>
      </c>
      <c r="AW177" s="14" t="s">
        <v>72</v>
      </c>
      <c r="AX177" s="14" t="s">
        <v>73</v>
      </c>
      <c r="AY177" s="14" t="s">
        <v>74</v>
      </c>
    </row>
    <row r="178" spans="1:51" ht="15" customHeight="1" x14ac:dyDescent="0.4">
      <c r="A178" s="12">
        <v>3314</v>
      </c>
      <c r="B178" s="21" t="s">
        <v>2040</v>
      </c>
      <c r="C178" s="13" t="s">
        <v>2041</v>
      </c>
      <c r="D178" s="25" t="s">
        <v>2041</v>
      </c>
      <c r="E178" s="13"/>
      <c r="F178" s="41"/>
      <c r="G178" s="41"/>
      <c r="H178" s="41"/>
      <c r="I178" s="14" t="s">
        <v>49</v>
      </c>
      <c r="J178" s="15">
        <v>44714</v>
      </c>
      <c r="K178" s="15" t="s">
        <v>1992</v>
      </c>
      <c r="L178" t="s">
        <v>1705</v>
      </c>
      <c r="M178" t="s">
        <v>1706</v>
      </c>
      <c r="N178" t="s">
        <v>53</v>
      </c>
      <c r="O178" t="s">
        <v>1707</v>
      </c>
      <c r="P178" t="s">
        <v>1993</v>
      </c>
      <c r="Q178" s="21" t="s">
        <v>56</v>
      </c>
      <c r="R178" t="s">
        <v>1994</v>
      </c>
      <c r="S178" s="21"/>
      <c r="T178" t="s">
        <v>2042</v>
      </c>
      <c r="U178" t="s">
        <v>2043</v>
      </c>
      <c r="Y178" t="s">
        <v>60</v>
      </c>
      <c r="AA178" s="15"/>
      <c r="AH178" t="s">
        <v>1715</v>
      </c>
      <c r="AI178" t="s">
        <v>63</v>
      </c>
      <c r="AJ178" t="s">
        <v>2044</v>
      </c>
      <c r="AK178">
        <v>192551</v>
      </c>
      <c r="AM178" t="s">
        <v>2045</v>
      </c>
      <c r="AN178" t="s">
        <v>2046</v>
      </c>
      <c r="AO178" t="s">
        <v>2047</v>
      </c>
      <c r="AP178" t="s">
        <v>68</v>
      </c>
      <c r="AR178" t="s">
        <v>2048</v>
      </c>
      <c r="AS178" t="s">
        <v>2049</v>
      </c>
      <c r="AT178" t="s">
        <v>2050</v>
      </c>
      <c r="AW178" s="14" t="s">
        <v>72</v>
      </c>
      <c r="AX178" s="14" t="s">
        <v>73</v>
      </c>
      <c r="AY178" s="14" t="s">
        <v>74</v>
      </c>
    </row>
    <row r="179" spans="1:51" ht="15" customHeight="1" x14ac:dyDescent="0.4">
      <c r="A179" s="12">
        <v>3315</v>
      </c>
      <c r="B179" s="21" t="s">
        <v>2051</v>
      </c>
      <c r="C179" s="13" t="s">
        <v>2052</v>
      </c>
      <c r="D179" s="25" t="s">
        <v>2052</v>
      </c>
      <c r="E179" s="13"/>
      <c r="F179" s="41"/>
      <c r="G179" s="41"/>
      <c r="H179" s="41"/>
      <c r="I179" s="14" t="s">
        <v>49</v>
      </c>
      <c r="J179" s="15">
        <v>44714</v>
      </c>
      <c r="K179" s="15" t="s">
        <v>1992</v>
      </c>
      <c r="L179" t="s">
        <v>1705</v>
      </c>
      <c r="M179" t="s">
        <v>1706</v>
      </c>
      <c r="N179" t="s">
        <v>53</v>
      </c>
      <c r="O179" t="s">
        <v>1707</v>
      </c>
      <c r="P179" t="s">
        <v>1993</v>
      </c>
      <c r="Q179" s="21" t="s">
        <v>56</v>
      </c>
      <c r="R179" t="s">
        <v>1994</v>
      </c>
      <c r="S179" s="21"/>
      <c r="T179" t="s">
        <v>2053</v>
      </c>
      <c r="U179" t="s">
        <v>2054</v>
      </c>
      <c r="Y179" t="s">
        <v>60</v>
      </c>
      <c r="AA179" s="15"/>
      <c r="AH179" t="s">
        <v>1715</v>
      </c>
      <c r="AI179" t="s">
        <v>63</v>
      </c>
      <c r="AJ179" t="s">
        <v>2055</v>
      </c>
      <c r="AK179">
        <v>192557</v>
      </c>
      <c r="AM179" t="s">
        <v>2056</v>
      </c>
      <c r="AN179" t="s">
        <v>2057</v>
      </c>
      <c r="AO179" t="s">
        <v>2058</v>
      </c>
      <c r="AP179" t="s">
        <v>68</v>
      </c>
      <c r="AR179" t="s">
        <v>2059</v>
      </c>
      <c r="AS179" t="s">
        <v>2060</v>
      </c>
      <c r="AT179" t="s">
        <v>2061</v>
      </c>
      <c r="AW179" s="14" t="s">
        <v>72</v>
      </c>
      <c r="AX179" s="14" t="s">
        <v>73</v>
      </c>
      <c r="AY179" s="14" t="s">
        <v>74</v>
      </c>
    </row>
    <row r="180" spans="1:51" ht="15" customHeight="1" x14ac:dyDescent="0.4">
      <c r="A180" s="12">
        <v>3316</v>
      </c>
      <c r="B180" s="21" t="s">
        <v>2062</v>
      </c>
      <c r="C180" s="13" t="s">
        <v>2063</v>
      </c>
      <c r="D180" s="25" t="s">
        <v>2063</v>
      </c>
      <c r="E180" s="13"/>
      <c r="F180" s="54" t="s">
        <v>2006</v>
      </c>
      <c r="G180" s="54" t="s">
        <v>8136</v>
      </c>
      <c r="H180" s="54"/>
      <c r="I180" s="14" t="s">
        <v>2006</v>
      </c>
      <c r="J180" s="15">
        <v>44714</v>
      </c>
      <c r="K180" s="15" t="s">
        <v>1992</v>
      </c>
      <c r="L180" t="s">
        <v>1705</v>
      </c>
      <c r="M180" t="s">
        <v>1706</v>
      </c>
      <c r="N180" t="s">
        <v>53</v>
      </c>
      <c r="O180" t="s">
        <v>1707</v>
      </c>
      <c r="P180" t="s">
        <v>1993</v>
      </c>
      <c r="Q180" s="21" t="s">
        <v>56</v>
      </c>
      <c r="R180" t="s">
        <v>1994</v>
      </c>
      <c r="S180" s="21"/>
      <c r="T180" t="s">
        <v>2064</v>
      </c>
      <c r="U180" t="s">
        <v>2065</v>
      </c>
      <c r="Y180" t="s">
        <v>2009</v>
      </c>
      <c r="AA180" s="15"/>
      <c r="AH180" t="s">
        <v>1715</v>
      </c>
      <c r="AI180" t="s">
        <v>63</v>
      </c>
      <c r="AJ180" t="s">
        <v>2066</v>
      </c>
      <c r="AK180">
        <v>194226</v>
      </c>
      <c r="AM180" t="s">
        <v>2067</v>
      </c>
      <c r="AN180" t="s">
        <v>2068</v>
      </c>
      <c r="AO180" t="s">
        <v>2069</v>
      </c>
      <c r="AP180" t="s">
        <v>68</v>
      </c>
      <c r="AR180" t="s">
        <v>2070</v>
      </c>
      <c r="AS180" t="s">
        <v>2071</v>
      </c>
      <c r="AT180" t="s">
        <v>2072</v>
      </c>
      <c r="AW180" s="14" t="s">
        <v>72</v>
      </c>
      <c r="AX180" s="14" t="s">
        <v>73</v>
      </c>
      <c r="AY180" s="14" t="s">
        <v>74</v>
      </c>
    </row>
    <row r="181" spans="1:51" ht="15" customHeight="1" x14ac:dyDescent="0.4">
      <c r="A181" s="12">
        <v>3317</v>
      </c>
      <c r="B181" s="21" t="s">
        <v>2073</v>
      </c>
      <c r="C181" s="13" t="s">
        <v>2074</v>
      </c>
      <c r="D181" s="25" t="s">
        <v>2074</v>
      </c>
      <c r="E181" s="13"/>
      <c r="F181" s="41"/>
      <c r="G181" s="41"/>
      <c r="H181" s="41"/>
      <c r="I181" s="14" t="s">
        <v>49</v>
      </c>
      <c r="J181" s="15">
        <v>44714</v>
      </c>
      <c r="K181" s="15" t="s">
        <v>1992</v>
      </c>
      <c r="L181" t="s">
        <v>1705</v>
      </c>
      <c r="M181" t="s">
        <v>1706</v>
      </c>
      <c r="N181" t="s">
        <v>53</v>
      </c>
      <c r="O181" t="s">
        <v>1707</v>
      </c>
      <c r="P181" t="s">
        <v>1993</v>
      </c>
      <c r="Q181" s="21" t="s">
        <v>56</v>
      </c>
      <c r="R181" t="s">
        <v>1994</v>
      </c>
      <c r="S181" s="21"/>
      <c r="T181" t="s">
        <v>2075</v>
      </c>
      <c r="U181" t="s">
        <v>2076</v>
      </c>
      <c r="Y181" t="s">
        <v>60</v>
      </c>
      <c r="AA181" s="15"/>
      <c r="AH181" t="s">
        <v>1715</v>
      </c>
      <c r="AI181" t="s">
        <v>63</v>
      </c>
      <c r="AJ181" t="s">
        <v>2077</v>
      </c>
      <c r="AK181">
        <v>192559</v>
      </c>
      <c r="AM181" t="s">
        <v>2078</v>
      </c>
      <c r="AN181" t="s">
        <v>2079</v>
      </c>
      <c r="AO181" t="s">
        <v>2080</v>
      </c>
      <c r="AP181" t="s">
        <v>68</v>
      </c>
      <c r="AR181" t="s">
        <v>2081</v>
      </c>
      <c r="AS181" t="s">
        <v>2082</v>
      </c>
      <c r="AT181" t="s">
        <v>2083</v>
      </c>
      <c r="AW181" s="14" t="s">
        <v>72</v>
      </c>
      <c r="AX181" s="14" t="s">
        <v>73</v>
      </c>
      <c r="AY181" s="14" t="s">
        <v>74</v>
      </c>
    </row>
    <row r="182" spans="1:51" ht="15" customHeight="1" x14ac:dyDescent="0.4">
      <c r="A182" s="12">
        <v>3318</v>
      </c>
      <c r="B182" s="21" t="s">
        <v>2084</v>
      </c>
      <c r="C182" s="13" t="s">
        <v>2085</v>
      </c>
      <c r="D182" s="25" t="s">
        <v>2085</v>
      </c>
      <c r="E182" s="13"/>
      <c r="F182" s="41" t="s">
        <v>8138</v>
      </c>
      <c r="G182" s="41"/>
      <c r="H182" s="41" t="s">
        <v>8140</v>
      </c>
      <c r="I182" s="14" t="s">
        <v>2086</v>
      </c>
      <c r="J182" s="15">
        <v>44714</v>
      </c>
      <c r="K182" s="15" t="s">
        <v>1992</v>
      </c>
      <c r="L182" t="s">
        <v>1705</v>
      </c>
      <c r="M182" t="s">
        <v>1706</v>
      </c>
      <c r="N182" t="s">
        <v>53</v>
      </c>
      <c r="O182" t="s">
        <v>1707</v>
      </c>
      <c r="P182" t="s">
        <v>1993</v>
      </c>
      <c r="Q182" s="21" t="s">
        <v>56</v>
      </c>
      <c r="R182" t="s">
        <v>1994</v>
      </c>
      <c r="S182" s="21"/>
      <c r="T182" t="s">
        <v>2087</v>
      </c>
      <c r="U182" t="s">
        <v>2088</v>
      </c>
      <c r="Y182" t="s">
        <v>2089</v>
      </c>
      <c r="AA182" s="15"/>
      <c r="AH182" t="s">
        <v>1715</v>
      </c>
      <c r="AI182" t="s">
        <v>63</v>
      </c>
      <c r="AJ182" t="s">
        <v>2090</v>
      </c>
      <c r="AK182">
        <v>192573</v>
      </c>
      <c r="AM182" t="s">
        <v>2091</v>
      </c>
      <c r="AN182" t="s">
        <v>2092</v>
      </c>
      <c r="AO182" t="s">
        <v>2093</v>
      </c>
      <c r="AP182" t="s">
        <v>68</v>
      </c>
      <c r="AR182" t="s">
        <v>2094</v>
      </c>
      <c r="AS182" t="s">
        <v>2095</v>
      </c>
      <c r="AT182" t="s">
        <v>2096</v>
      </c>
      <c r="AW182" s="14" t="e">
        <v>#N/A</v>
      </c>
      <c r="AX182" s="14" t="e">
        <v>#N/A</v>
      </c>
      <c r="AY182" s="14" t="e">
        <v>#N/A</v>
      </c>
    </row>
    <row r="183" spans="1:51" ht="15" customHeight="1" x14ac:dyDescent="0.4">
      <c r="A183" s="12">
        <v>3319</v>
      </c>
      <c r="B183" s="21" t="s">
        <v>2097</v>
      </c>
      <c r="C183" s="13" t="s">
        <v>2098</v>
      </c>
      <c r="D183" s="25" t="s">
        <v>2098</v>
      </c>
      <c r="E183" s="13"/>
      <c r="F183" s="41"/>
      <c r="G183" s="41"/>
      <c r="H183" s="41"/>
      <c r="I183" s="14" t="s">
        <v>49</v>
      </c>
      <c r="J183" s="15">
        <v>44714</v>
      </c>
      <c r="K183" s="15" t="s">
        <v>1992</v>
      </c>
      <c r="L183" t="s">
        <v>1705</v>
      </c>
      <c r="M183" t="s">
        <v>1706</v>
      </c>
      <c r="N183" t="s">
        <v>53</v>
      </c>
      <c r="O183" t="s">
        <v>175</v>
      </c>
      <c r="P183" t="s">
        <v>2099</v>
      </c>
      <c r="Q183" t="s">
        <v>56</v>
      </c>
      <c r="R183" s="21" t="s">
        <v>2100</v>
      </c>
      <c r="S183" s="21"/>
      <c r="T183" t="s">
        <v>2101</v>
      </c>
      <c r="U183" t="s">
        <v>2102</v>
      </c>
      <c r="Y183" t="s">
        <v>60</v>
      </c>
      <c r="AA183" s="15"/>
      <c r="AC183">
        <v>36.644024999999999</v>
      </c>
      <c r="AD183">
        <v>-89.290899999999993</v>
      </c>
      <c r="AE183" t="s">
        <v>2103</v>
      </c>
      <c r="AH183" t="s">
        <v>1715</v>
      </c>
      <c r="AI183" t="s">
        <v>63</v>
      </c>
      <c r="AJ183" t="s">
        <v>2104</v>
      </c>
      <c r="AK183">
        <v>192560</v>
      </c>
      <c r="AM183" t="s">
        <v>2105</v>
      </c>
      <c r="AN183" t="s">
        <v>2106</v>
      </c>
      <c r="AO183" t="s">
        <v>2107</v>
      </c>
      <c r="AP183" t="s">
        <v>68</v>
      </c>
      <c r="AR183" t="s">
        <v>2108</v>
      </c>
      <c r="AS183" t="s">
        <v>2109</v>
      </c>
      <c r="AT183" t="s">
        <v>2110</v>
      </c>
      <c r="AW183" s="14" t="s">
        <v>72</v>
      </c>
      <c r="AX183" s="14" t="s">
        <v>73</v>
      </c>
      <c r="AY183" s="14" t="s">
        <v>74</v>
      </c>
    </row>
    <row r="184" spans="1:51" ht="15" customHeight="1" x14ac:dyDescent="0.4">
      <c r="A184" s="12">
        <v>3320</v>
      </c>
      <c r="B184" s="21" t="s">
        <v>2111</v>
      </c>
      <c r="C184" s="13" t="s">
        <v>2112</v>
      </c>
      <c r="D184" s="25" t="s">
        <v>2112</v>
      </c>
      <c r="E184" s="13"/>
      <c r="F184" s="41"/>
      <c r="G184" s="41"/>
      <c r="H184" s="41"/>
      <c r="I184" s="14" t="s">
        <v>49</v>
      </c>
      <c r="J184" s="15">
        <v>44715</v>
      </c>
      <c r="K184" s="15" t="s">
        <v>1704</v>
      </c>
      <c r="L184" t="s">
        <v>1705</v>
      </c>
      <c r="M184" t="s">
        <v>1706</v>
      </c>
      <c r="N184" t="s">
        <v>53</v>
      </c>
      <c r="O184" t="s">
        <v>175</v>
      </c>
      <c r="P184" t="s">
        <v>2099</v>
      </c>
      <c r="Q184" t="s">
        <v>56</v>
      </c>
      <c r="R184" s="21" t="s">
        <v>2100</v>
      </c>
      <c r="S184" s="21"/>
      <c r="T184" t="s">
        <v>2113</v>
      </c>
      <c r="U184" t="s">
        <v>2114</v>
      </c>
      <c r="Y184" t="s">
        <v>60</v>
      </c>
      <c r="AA184" s="15"/>
      <c r="AC184">
        <v>36.643929</v>
      </c>
      <c r="AD184">
        <v>-89.290992000000003</v>
      </c>
      <c r="AE184" t="s">
        <v>2103</v>
      </c>
      <c r="AH184" t="s">
        <v>1715</v>
      </c>
      <c r="AI184" t="s">
        <v>63</v>
      </c>
      <c r="AJ184" t="s">
        <v>2115</v>
      </c>
      <c r="AK184">
        <v>192561</v>
      </c>
      <c r="AM184" t="s">
        <v>2116</v>
      </c>
      <c r="AN184" t="s">
        <v>2117</v>
      </c>
      <c r="AO184" t="s">
        <v>2118</v>
      </c>
      <c r="AP184" t="s">
        <v>68</v>
      </c>
      <c r="AR184" t="s">
        <v>2119</v>
      </c>
      <c r="AS184" t="s">
        <v>2120</v>
      </c>
      <c r="AT184" t="s">
        <v>2121</v>
      </c>
      <c r="AW184" s="14" t="s">
        <v>72</v>
      </c>
      <c r="AX184" s="14" t="s">
        <v>73</v>
      </c>
      <c r="AY184" s="14" t="s">
        <v>74</v>
      </c>
    </row>
    <row r="185" spans="1:51" ht="15" customHeight="1" x14ac:dyDescent="0.4">
      <c r="A185" s="12">
        <v>3321</v>
      </c>
      <c r="B185" s="21" t="s">
        <v>2122</v>
      </c>
      <c r="C185" s="13" t="s">
        <v>2123</v>
      </c>
      <c r="D185" s="25" t="s">
        <v>2123</v>
      </c>
      <c r="E185" s="13"/>
      <c r="F185" s="41"/>
      <c r="G185" s="41"/>
      <c r="H185" s="41"/>
      <c r="I185" s="14" t="s">
        <v>2006</v>
      </c>
      <c r="J185" s="15">
        <v>44715</v>
      </c>
      <c r="K185" t="s">
        <v>1704</v>
      </c>
      <c r="L185" t="s">
        <v>1705</v>
      </c>
      <c r="M185" t="s">
        <v>1706</v>
      </c>
      <c r="N185" t="s">
        <v>53</v>
      </c>
      <c r="O185" t="s">
        <v>175</v>
      </c>
      <c r="P185" t="s">
        <v>2099</v>
      </c>
      <c r="Q185" t="s">
        <v>56</v>
      </c>
      <c r="R185" s="21" t="s">
        <v>2100</v>
      </c>
      <c r="S185" s="21"/>
      <c r="T185" t="s">
        <v>2124</v>
      </c>
      <c r="U185" t="s">
        <v>2125</v>
      </c>
      <c r="Y185" t="s">
        <v>2009</v>
      </c>
      <c r="AA185" s="15"/>
      <c r="AC185">
        <v>36.644928</v>
      </c>
      <c r="AD185">
        <v>-89.292856</v>
      </c>
      <c r="AE185" t="s">
        <v>2126</v>
      </c>
      <c r="AH185" t="s">
        <v>1715</v>
      </c>
      <c r="AI185" t="s">
        <v>63</v>
      </c>
      <c r="AJ185" t="s">
        <v>2127</v>
      </c>
      <c r="AK185">
        <v>194227</v>
      </c>
      <c r="AM185" t="s">
        <v>2128</v>
      </c>
      <c r="AN185" t="s">
        <v>2129</v>
      </c>
      <c r="AO185" t="s">
        <v>2130</v>
      </c>
      <c r="AP185" t="s">
        <v>68</v>
      </c>
      <c r="AR185" t="s">
        <v>2131</v>
      </c>
      <c r="AS185" t="s">
        <v>2132</v>
      </c>
      <c r="AT185" t="s">
        <v>2133</v>
      </c>
      <c r="AW185" s="14" t="s">
        <v>72</v>
      </c>
      <c r="AX185" s="14" t="s">
        <v>73</v>
      </c>
      <c r="AY185" s="14" t="s">
        <v>74</v>
      </c>
    </row>
    <row r="186" spans="1:51" ht="15" customHeight="1" x14ac:dyDescent="0.4">
      <c r="A186" s="12">
        <v>3322</v>
      </c>
      <c r="B186" s="21" t="s">
        <v>2134</v>
      </c>
      <c r="C186" s="13" t="s">
        <v>2135</v>
      </c>
      <c r="D186" s="25" t="s">
        <v>2135</v>
      </c>
      <c r="E186" s="13"/>
      <c r="F186" s="41"/>
      <c r="G186" s="41"/>
      <c r="H186" s="41"/>
      <c r="I186" s="14" t="s">
        <v>49</v>
      </c>
      <c r="J186" s="15">
        <v>44715</v>
      </c>
      <c r="K186" s="15" t="s">
        <v>1704</v>
      </c>
      <c r="L186" t="s">
        <v>1705</v>
      </c>
      <c r="M186" t="s">
        <v>1706</v>
      </c>
      <c r="N186" t="s">
        <v>53</v>
      </c>
      <c r="O186" t="s">
        <v>175</v>
      </c>
      <c r="P186" t="s">
        <v>2099</v>
      </c>
      <c r="Q186" t="s">
        <v>56</v>
      </c>
      <c r="R186" s="21" t="s">
        <v>2100</v>
      </c>
      <c r="S186" s="21"/>
      <c r="T186" t="s">
        <v>2124</v>
      </c>
      <c r="U186" t="s">
        <v>2136</v>
      </c>
      <c r="Y186" t="s">
        <v>60</v>
      </c>
      <c r="AA186" s="15"/>
      <c r="AC186">
        <v>36.644964999999999</v>
      </c>
      <c r="AD186">
        <v>-89.292918999999998</v>
      </c>
      <c r="AE186" t="s">
        <v>2126</v>
      </c>
      <c r="AH186" t="s">
        <v>1715</v>
      </c>
      <c r="AI186" t="s">
        <v>63</v>
      </c>
      <c r="AJ186" t="s">
        <v>2137</v>
      </c>
      <c r="AK186">
        <v>192563</v>
      </c>
      <c r="AM186" t="s">
        <v>2138</v>
      </c>
      <c r="AN186" t="s">
        <v>2139</v>
      </c>
      <c r="AO186" t="s">
        <v>2140</v>
      </c>
      <c r="AP186" t="s">
        <v>68</v>
      </c>
      <c r="AR186" t="s">
        <v>2141</v>
      </c>
      <c r="AS186" t="s">
        <v>2142</v>
      </c>
      <c r="AT186" t="s">
        <v>2143</v>
      </c>
      <c r="AW186" s="14" t="s">
        <v>72</v>
      </c>
      <c r="AX186" s="14" t="s">
        <v>73</v>
      </c>
      <c r="AY186" s="14" t="s">
        <v>74</v>
      </c>
    </row>
    <row r="187" spans="1:51" ht="15" customHeight="1" x14ac:dyDescent="0.4">
      <c r="A187" s="12">
        <v>3323</v>
      </c>
      <c r="B187" s="21" t="s">
        <v>2144</v>
      </c>
      <c r="C187" s="13" t="s">
        <v>2145</v>
      </c>
      <c r="D187" s="25" t="s">
        <v>2145</v>
      </c>
      <c r="E187" s="13"/>
      <c r="F187" s="41"/>
      <c r="G187" s="41"/>
      <c r="H187" s="41"/>
      <c r="I187" s="14" t="s">
        <v>2006</v>
      </c>
      <c r="J187" s="15">
        <v>44715</v>
      </c>
      <c r="K187" t="s">
        <v>1704</v>
      </c>
      <c r="L187" t="s">
        <v>1705</v>
      </c>
      <c r="M187" t="s">
        <v>1706</v>
      </c>
      <c r="N187" t="s">
        <v>53</v>
      </c>
      <c r="O187" t="s">
        <v>175</v>
      </c>
      <c r="P187" t="s">
        <v>2099</v>
      </c>
      <c r="Q187" t="s">
        <v>56</v>
      </c>
      <c r="R187" s="21" t="s">
        <v>2100</v>
      </c>
      <c r="S187" s="21"/>
      <c r="U187" t="s">
        <v>2146</v>
      </c>
      <c r="Y187" t="s">
        <v>2009</v>
      </c>
      <c r="AA187" s="15"/>
      <c r="AC187">
        <v>36.644699000000003</v>
      </c>
      <c r="AD187">
        <v>-89.294887000000003</v>
      </c>
      <c r="AE187" t="s">
        <v>2147</v>
      </c>
      <c r="AH187" t="s">
        <v>1715</v>
      </c>
      <c r="AI187" t="s">
        <v>63</v>
      </c>
      <c r="AJ187" t="s">
        <v>2148</v>
      </c>
      <c r="AK187">
        <v>194228</v>
      </c>
      <c r="AM187" t="s">
        <v>2149</v>
      </c>
      <c r="AN187" t="s">
        <v>2150</v>
      </c>
      <c r="AO187" t="s">
        <v>2151</v>
      </c>
      <c r="AP187" t="s">
        <v>68</v>
      </c>
      <c r="AR187" t="s">
        <v>2152</v>
      </c>
      <c r="AS187" t="s">
        <v>2153</v>
      </c>
      <c r="AT187" t="s">
        <v>2154</v>
      </c>
      <c r="AW187" s="14" t="s">
        <v>72</v>
      </c>
      <c r="AX187" s="14" t="s">
        <v>73</v>
      </c>
      <c r="AY187" s="14" t="s">
        <v>74</v>
      </c>
    </row>
    <row r="188" spans="1:51" ht="15" customHeight="1" x14ac:dyDescent="0.4">
      <c r="A188" s="12">
        <v>3324</v>
      </c>
      <c r="B188" s="21" t="s">
        <v>2155</v>
      </c>
      <c r="C188" s="13" t="s">
        <v>2156</v>
      </c>
      <c r="D188" s="25" t="s">
        <v>2156</v>
      </c>
      <c r="E188" s="13"/>
      <c r="F188" s="43" t="s">
        <v>49</v>
      </c>
      <c r="G188" s="43" t="s">
        <v>8098</v>
      </c>
      <c r="H188" s="43"/>
      <c r="I188" s="14" t="s">
        <v>49</v>
      </c>
      <c r="J188" s="15">
        <v>44715</v>
      </c>
      <c r="K188" s="15" t="s">
        <v>1704</v>
      </c>
      <c r="L188" t="s">
        <v>1705</v>
      </c>
      <c r="M188" t="s">
        <v>1706</v>
      </c>
      <c r="N188" t="s">
        <v>53</v>
      </c>
      <c r="O188" t="s">
        <v>175</v>
      </c>
      <c r="P188" t="s">
        <v>2099</v>
      </c>
      <c r="Q188" t="s">
        <v>56</v>
      </c>
      <c r="R188" s="21" t="s">
        <v>2100</v>
      </c>
      <c r="S188" s="21"/>
      <c r="U188" t="s">
        <v>2157</v>
      </c>
      <c r="Y188" t="s">
        <v>60</v>
      </c>
      <c r="AA188" s="15"/>
      <c r="AC188">
        <v>36.645049999999998</v>
      </c>
      <c r="AD188">
        <v>-89.294533000000001</v>
      </c>
      <c r="AE188" t="s">
        <v>2158</v>
      </c>
      <c r="AH188" t="s">
        <v>1715</v>
      </c>
      <c r="AI188" t="s">
        <v>63</v>
      </c>
      <c r="AJ188" t="s">
        <v>2159</v>
      </c>
      <c r="AK188">
        <v>194182</v>
      </c>
      <c r="AM188" t="s">
        <v>2160</v>
      </c>
      <c r="AN188" t="s">
        <v>2161</v>
      </c>
      <c r="AO188" t="s">
        <v>2162</v>
      </c>
      <c r="AP188" t="s">
        <v>68</v>
      </c>
      <c r="AR188" t="s">
        <v>2163</v>
      </c>
      <c r="AS188" t="s">
        <v>2164</v>
      </c>
      <c r="AT188" t="s">
        <v>2165</v>
      </c>
      <c r="AW188" s="14" t="s">
        <v>72</v>
      </c>
      <c r="AX188" s="14" t="s">
        <v>73</v>
      </c>
      <c r="AY188" s="14" t="s">
        <v>74</v>
      </c>
    </row>
    <row r="189" spans="1:51" ht="15" customHeight="1" x14ac:dyDescent="0.4">
      <c r="A189" s="12">
        <v>3325</v>
      </c>
      <c r="B189" s="21" t="s">
        <v>2166</v>
      </c>
      <c r="C189" s="13" t="s">
        <v>2167</v>
      </c>
      <c r="D189" s="25" t="s">
        <v>2167</v>
      </c>
      <c r="E189" s="13"/>
      <c r="F189" s="41"/>
      <c r="G189" s="41"/>
      <c r="H189" s="41"/>
      <c r="I189" s="14" t="s">
        <v>49</v>
      </c>
      <c r="J189" s="15">
        <v>44715</v>
      </c>
      <c r="K189" t="s">
        <v>1704</v>
      </c>
      <c r="L189" t="s">
        <v>1705</v>
      </c>
      <c r="M189" t="s">
        <v>1706</v>
      </c>
      <c r="N189" t="s">
        <v>53</v>
      </c>
      <c r="O189" t="s">
        <v>175</v>
      </c>
      <c r="P189" t="s">
        <v>2099</v>
      </c>
      <c r="Q189" t="s">
        <v>56</v>
      </c>
      <c r="R189" s="21" t="s">
        <v>2100</v>
      </c>
      <c r="S189" s="21"/>
      <c r="T189" t="s">
        <v>2168</v>
      </c>
      <c r="U189" t="s">
        <v>2169</v>
      </c>
      <c r="Y189" t="s">
        <v>60</v>
      </c>
      <c r="AA189" s="15"/>
      <c r="AH189" t="s">
        <v>1715</v>
      </c>
      <c r="AI189" t="s">
        <v>63</v>
      </c>
      <c r="AJ189" t="s">
        <v>2170</v>
      </c>
      <c r="AK189">
        <v>192665</v>
      </c>
      <c r="AM189" t="s">
        <v>2171</v>
      </c>
      <c r="AN189" t="s">
        <v>2172</v>
      </c>
      <c r="AO189" t="s">
        <v>2173</v>
      </c>
      <c r="AP189" t="s">
        <v>68</v>
      </c>
      <c r="AR189" t="s">
        <v>2174</v>
      </c>
      <c r="AS189" t="s">
        <v>2175</v>
      </c>
      <c r="AT189" t="s">
        <v>2176</v>
      </c>
      <c r="AW189" s="14" t="s">
        <v>72</v>
      </c>
      <c r="AX189" s="14" t="s">
        <v>73</v>
      </c>
      <c r="AY189" s="14" t="s">
        <v>74</v>
      </c>
    </row>
    <row r="190" spans="1:51" ht="15" customHeight="1" x14ac:dyDescent="0.4">
      <c r="A190" s="12">
        <v>3326</v>
      </c>
      <c r="B190" s="21" t="s">
        <v>2177</v>
      </c>
      <c r="C190" s="13" t="s">
        <v>2178</v>
      </c>
      <c r="D190" s="25" t="s">
        <v>2178</v>
      </c>
      <c r="E190" s="13"/>
      <c r="F190" s="41"/>
      <c r="G190" s="41"/>
      <c r="H190" s="41"/>
      <c r="I190" s="14" t="s">
        <v>1703</v>
      </c>
      <c r="J190" s="15">
        <v>44715</v>
      </c>
      <c r="K190" s="15" t="s">
        <v>1704</v>
      </c>
      <c r="L190" t="s">
        <v>1705</v>
      </c>
      <c r="M190" t="s">
        <v>1706</v>
      </c>
      <c r="N190" t="s">
        <v>53</v>
      </c>
      <c r="O190" t="s">
        <v>175</v>
      </c>
      <c r="P190" t="s">
        <v>2099</v>
      </c>
      <c r="Q190" t="s">
        <v>56</v>
      </c>
      <c r="R190" s="21" t="s">
        <v>2100</v>
      </c>
      <c r="S190" s="21"/>
      <c r="T190" t="s">
        <v>2179</v>
      </c>
      <c r="U190" t="s">
        <v>2180</v>
      </c>
      <c r="Y190" t="s">
        <v>1713</v>
      </c>
      <c r="AA190" s="15"/>
      <c r="AH190" t="s">
        <v>1715</v>
      </c>
      <c r="AI190" t="s">
        <v>63</v>
      </c>
      <c r="AJ190" t="s">
        <v>2181</v>
      </c>
      <c r="AK190">
        <v>193763</v>
      </c>
      <c r="AM190" t="s">
        <v>2182</v>
      </c>
      <c r="AN190" t="s">
        <v>2183</v>
      </c>
      <c r="AO190" t="s">
        <v>2184</v>
      </c>
      <c r="AP190" t="s">
        <v>68</v>
      </c>
      <c r="AR190" t="s">
        <v>2185</v>
      </c>
      <c r="AS190" t="s">
        <v>2186</v>
      </c>
      <c r="AT190" t="s">
        <v>2187</v>
      </c>
      <c r="AW190" s="14" t="s">
        <v>72</v>
      </c>
      <c r="AX190" s="14" t="s">
        <v>73</v>
      </c>
      <c r="AY190" s="14" t="s">
        <v>1723</v>
      </c>
    </row>
    <row r="191" spans="1:51" ht="15" customHeight="1" x14ac:dyDescent="0.4">
      <c r="A191" s="12">
        <v>3327</v>
      </c>
      <c r="B191" s="21" t="s">
        <v>2188</v>
      </c>
      <c r="C191" s="13" t="s">
        <v>2189</v>
      </c>
      <c r="D191" s="25" t="s">
        <v>2189</v>
      </c>
      <c r="E191" s="13"/>
      <c r="F191" s="41"/>
      <c r="G191" s="41"/>
      <c r="H191" s="41"/>
      <c r="I191" s="14" t="s">
        <v>49</v>
      </c>
      <c r="J191" s="15">
        <v>44715</v>
      </c>
      <c r="K191" t="s">
        <v>1704</v>
      </c>
      <c r="L191" t="s">
        <v>1705</v>
      </c>
      <c r="M191" t="s">
        <v>1706</v>
      </c>
      <c r="N191" t="s">
        <v>53</v>
      </c>
      <c r="O191" t="s">
        <v>175</v>
      </c>
      <c r="P191" t="s">
        <v>2099</v>
      </c>
      <c r="Q191" t="s">
        <v>56</v>
      </c>
      <c r="R191" s="21" t="s">
        <v>2100</v>
      </c>
      <c r="S191" s="21"/>
      <c r="T191" t="s">
        <v>2190</v>
      </c>
      <c r="U191" t="s">
        <v>2191</v>
      </c>
      <c r="Y191" t="s">
        <v>60</v>
      </c>
      <c r="AA191" s="15"/>
      <c r="AH191" t="s">
        <v>1715</v>
      </c>
      <c r="AI191" t="s">
        <v>63</v>
      </c>
      <c r="AJ191" t="s">
        <v>2192</v>
      </c>
      <c r="AK191">
        <v>192664</v>
      </c>
      <c r="AM191" t="s">
        <v>2193</v>
      </c>
      <c r="AN191" t="s">
        <v>2194</v>
      </c>
      <c r="AO191" t="s">
        <v>2195</v>
      </c>
      <c r="AP191" t="s">
        <v>68</v>
      </c>
      <c r="AR191" t="s">
        <v>2196</v>
      </c>
      <c r="AS191" t="s">
        <v>2197</v>
      </c>
      <c r="AT191" t="s">
        <v>2198</v>
      </c>
      <c r="AW191" s="14" t="s">
        <v>72</v>
      </c>
      <c r="AX191" s="14" t="s">
        <v>73</v>
      </c>
      <c r="AY191" s="14" t="s">
        <v>74</v>
      </c>
    </row>
    <row r="192" spans="1:51" ht="15" customHeight="1" x14ac:dyDescent="0.4">
      <c r="A192" s="12">
        <v>3328</v>
      </c>
      <c r="B192" s="21" t="s">
        <v>2199</v>
      </c>
      <c r="C192" s="13" t="s">
        <v>2200</v>
      </c>
      <c r="D192" s="25" t="s">
        <v>2200</v>
      </c>
      <c r="E192" s="13"/>
      <c r="F192" s="41"/>
      <c r="G192" s="41"/>
      <c r="H192" s="41"/>
      <c r="I192" s="14" t="s">
        <v>1703</v>
      </c>
      <c r="J192" s="15">
        <v>44715</v>
      </c>
      <c r="K192" s="15" t="s">
        <v>1704</v>
      </c>
      <c r="L192" t="s">
        <v>1705</v>
      </c>
      <c r="M192" t="s">
        <v>1706</v>
      </c>
      <c r="N192" t="s">
        <v>53</v>
      </c>
      <c r="O192" t="s">
        <v>175</v>
      </c>
      <c r="P192" t="s">
        <v>2099</v>
      </c>
      <c r="Q192" t="s">
        <v>56</v>
      </c>
      <c r="R192" s="21" t="s">
        <v>2100</v>
      </c>
      <c r="S192" s="21"/>
      <c r="T192" t="s">
        <v>2201</v>
      </c>
      <c r="U192">
        <v>0</v>
      </c>
      <c r="Y192" t="s">
        <v>1713</v>
      </c>
      <c r="AA192" s="15"/>
      <c r="AH192" t="s">
        <v>1715</v>
      </c>
      <c r="AI192" t="s">
        <v>63</v>
      </c>
      <c r="AJ192" t="s">
        <v>2202</v>
      </c>
      <c r="AK192">
        <v>193764</v>
      </c>
      <c r="AM192" t="s">
        <v>2203</v>
      </c>
      <c r="AN192" t="s">
        <v>2204</v>
      </c>
      <c r="AO192" t="s">
        <v>2205</v>
      </c>
      <c r="AP192" t="s">
        <v>68</v>
      </c>
      <c r="AR192" t="s">
        <v>2206</v>
      </c>
      <c r="AS192" t="s">
        <v>2207</v>
      </c>
      <c r="AT192" t="s">
        <v>2208</v>
      </c>
      <c r="AW192" s="14" t="s">
        <v>72</v>
      </c>
      <c r="AX192" s="14" t="s">
        <v>73</v>
      </c>
      <c r="AY192" s="14" t="s">
        <v>1723</v>
      </c>
    </row>
    <row r="193" spans="1:51" ht="15" customHeight="1" x14ac:dyDescent="0.4">
      <c r="A193" s="12">
        <v>3329</v>
      </c>
      <c r="B193" s="21" t="s">
        <v>2209</v>
      </c>
      <c r="C193" s="13" t="s">
        <v>2210</v>
      </c>
      <c r="D193" s="25" t="s">
        <v>2210</v>
      </c>
      <c r="E193" s="13"/>
      <c r="F193" s="43" t="s">
        <v>1703</v>
      </c>
      <c r="G193" s="43" t="s">
        <v>8099</v>
      </c>
      <c r="H193" s="43"/>
      <c r="I193" s="14" t="s">
        <v>1703</v>
      </c>
      <c r="J193" s="15">
        <v>44715</v>
      </c>
      <c r="K193" t="s">
        <v>1704</v>
      </c>
      <c r="L193" t="s">
        <v>1705</v>
      </c>
      <c r="M193" t="s">
        <v>1706</v>
      </c>
      <c r="N193" t="s">
        <v>53</v>
      </c>
      <c r="O193" t="s">
        <v>175</v>
      </c>
      <c r="P193" t="s">
        <v>2099</v>
      </c>
      <c r="Q193" t="s">
        <v>56</v>
      </c>
      <c r="R193" s="21" t="s">
        <v>2100</v>
      </c>
      <c r="S193" s="21"/>
      <c r="T193" t="s">
        <v>2211</v>
      </c>
      <c r="U193" t="s">
        <v>2212</v>
      </c>
      <c r="Y193" t="s">
        <v>1713</v>
      </c>
      <c r="AA193" s="15"/>
      <c r="AH193" t="s">
        <v>1715</v>
      </c>
      <c r="AI193" t="s">
        <v>63</v>
      </c>
      <c r="AJ193" t="s">
        <v>2213</v>
      </c>
      <c r="AK193">
        <v>192574</v>
      </c>
      <c r="AM193" t="s">
        <v>2214</v>
      </c>
      <c r="AN193" t="s">
        <v>2215</v>
      </c>
      <c r="AO193" t="s">
        <v>2216</v>
      </c>
      <c r="AP193" t="s">
        <v>68</v>
      </c>
      <c r="AR193" t="s">
        <v>2217</v>
      </c>
      <c r="AS193" t="s">
        <v>2218</v>
      </c>
      <c r="AT193" t="s">
        <v>2219</v>
      </c>
      <c r="AW193" s="14" t="s">
        <v>72</v>
      </c>
      <c r="AX193" s="14" t="s">
        <v>73</v>
      </c>
      <c r="AY193" s="14" t="s">
        <v>1723</v>
      </c>
    </row>
    <row r="194" spans="1:51" ht="15" customHeight="1" x14ac:dyDescent="0.4">
      <c r="A194" s="12">
        <v>3330</v>
      </c>
      <c r="B194" s="21" t="s">
        <v>2220</v>
      </c>
      <c r="C194" s="13" t="s">
        <v>2221</v>
      </c>
      <c r="D194" s="25" t="s">
        <v>2221</v>
      </c>
      <c r="E194" s="13"/>
      <c r="F194" s="41" t="s">
        <v>49</v>
      </c>
      <c r="G194" s="41"/>
      <c r="H194" s="41"/>
      <c r="I194" s="14" t="s">
        <v>2222</v>
      </c>
      <c r="J194" s="15">
        <v>44715</v>
      </c>
      <c r="K194" s="15" t="s">
        <v>1704</v>
      </c>
      <c r="L194" t="s">
        <v>1705</v>
      </c>
      <c r="M194" t="s">
        <v>1706</v>
      </c>
      <c r="N194" t="s">
        <v>53</v>
      </c>
      <c r="O194" t="s">
        <v>175</v>
      </c>
      <c r="P194" t="s">
        <v>2099</v>
      </c>
      <c r="Q194" t="s">
        <v>56</v>
      </c>
      <c r="R194" s="21" t="s">
        <v>2100</v>
      </c>
      <c r="S194" s="21"/>
      <c r="T194" t="s">
        <v>2223</v>
      </c>
      <c r="U194" t="s">
        <v>2224</v>
      </c>
      <c r="Y194" t="s">
        <v>2225</v>
      </c>
      <c r="AA194" s="15"/>
      <c r="AH194" t="s">
        <v>1715</v>
      </c>
      <c r="AI194" t="s">
        <v>63</v>
      </c>
      <c r="AJ194" t="s">
        <v>2226</v>
      </c>
      <c r="AK194">
        <v>192675</v>
      </c>
      <c r="AM194" t="s">
        <v>2227</v>
      </c>
      <c r="AN194" t="s">
        <v>2228</v>
      </c>
      <c r="AO194" t="s">
        <v>2229</v>
      </c>
      <c r="AP194" t="s">
        <v>68</v>
      </c>
      <c r="AR194" t="s">
        <v>2230</v>
      </c>
      <c r="AS194" t="s">
        <v>2231</v>
      </c>
      <c r="AT194" t="s">
        <v>2232</v>
      </c>
      <c r="AW194" s="14" t="s">
        <v>72</v>
      </c>
      <c r="AX194" s="14" t="s">
        <v>73</v>
      </c>
      <c r="AY194" s="14" t="s">
        <v>74</v>
      </c>
    </row>
    <row r="195" spans="1:51" ht="15" customHeight="1" x14ac:dyDescent="0.4">
      <c r="A195" s="12">
        <v>3331</v>
      </c>
      <c r="B195" s="21" t="s">
        <v>2233</v>
      </c>
      <c r="C195" s="13" t="s">
        <v>2234</v>
      </c>
      <c r="D195" s="25" t="s">
        <v>2234</v>
      </c>
      <c r="E195" s="13"/>
      <c r="F195" s="41"/>
      <c r="G195" s="41"/>
      <c r="H195" s="41"/>
      <c r="I195" s="14" t="s">
        <v>2006</v>
      </c>
      <c r="J195" s="15">
        <v>44715</v>
      </c>
      <c r="K195" t="s">
        <v>1704</v>
      </c>
      <c r="L195" t="s">
        <v>1705</v>
      </c>
      <c r="M195" t="s">
        <v>1706</v>
      </c>
      <c r="N195" t="s">
        <v>53</v>
      </c>
      <c r="O195" t="s">
        <v>175</v>
      </c>
      <c r="P195" t="s">
        <v>2099</v>
      </c>
      <c r="Q195" t="s">
        <v>56</v>
      </c>
      <c r="R195" s="21" t="s">
        <v>2100</v>
      </c>
      <c r="S195" s="21"/>
      <c r="T195" t="s">
        <v>2235</v>
      </c>
      <c r="U195" t="s">
        <v>2236</v>
      </c>
      <c r="Y195" t="s">
        <v>2009</v>
      </c>
      <c r="AA195" s="15"/>
      <c r="AH195" t="s">
        <v>1715</v>
      </c>
      <c r="AI195" t="s">
        <v>63</v>
      </c>
      <c r="AJ195" t="s">
        <v>2237</v>
      </c>
      <c r="AK195">
        <v>194229</v>
      </c>
      <c r="AM195" t="s">
        <v>2238</v>
      </c>
      <c r="AN195" t="s">
        <v>2239</v>
      </c>
      <c r="AO195" t="s">
        <v>2240</v>
      </c>
      <c r="AP195" t="s">
        <v>68</v>
      </c>
      <c r="AR195" t="s">
        <v>2241</v>
      </c>
      <c r="AS195" t="s">
        <v>2242</v>
      </c>
      <c r="AT195" t="s">
        <v>2243</v>
      </c>
      <c r="AW195" s="14" t="s">
        <v>72</v>
      </c>
      <c r="AX195" s="14" t="s">
        <v>73</v>
      </c>
      <c r="AY195" s="14" t="s">
        <v>74</v>
      </c>
    </row>
    <row r="196" spans="1:51" ht="15" customHeight="1" x14ac:dyDescent="0.4">
      <c r="A196" s="12">
        <v>3332</v>
      </c>
      <c r="B196" s="21" t="s">
        <v>2244</v>
      </c>
      <c r="C196" s="13" t="s">
        <v>2245</v>
      </c>
      <c r="D196" s="25" t="s">
        <v>2245</v>
      </c>
      <c r="E196" s="13"/>
      <c r="F196" s="44" t="s">
        <v>49</v>
      </c>
      <c r="G196" s="44" t="s">
        <v>8100</v>
      </c>
      <c r="H196" s="44"/>
      <c r="I196" s="14" t="s">
        <v>2222</v>
      </c>
      <c r="J196" s="15">
        <v>44715</v>
      </c>
      <c r="K196" s="15" t="s">
        <v>1704</v>
      </c>
      <c r="L196" t="s">
        <v>1705</v>
      </c>
      <c r="M196" t="s">
        <v>1706</v>
      </c>
      <c r="N196" t="s">
        <v>53</v>
      </c>
      <c r="O196" t="s">
        <v>175</v>
      </c>
      <c r="P196" t="s">
        <v>2099</v>
      </c>
      <c r="Q196" t="s">
        <v>56</v>
      </c>
      <c r="R196" s="21" t="s">
        <v>2100</v>
      </c>
      <c r="T196" t="s">
        <v>2246</v>
      </c>
      <c r="U196" t="s">
        <v>2247</v>
      </c>
      <c r="Y196" t="s">
        <v>2225</v>
      </c>
      <c r="AA196" s="15"/>
      <c r="AH196" t="s">
        <v>1715</v>
      </c>
      <c r="AI196" t="s">
        <v>63</v>
      </c>
      <c r="AJ196" t="s">
        <v>2248</v>
      </c>
      <c r="AK196">
        <v>192571</v>
      </c>
      <c r="AM196" t="s">
        <v>2249</v>
      </c>
      <c r="AN196" t="s">
        <v>2250</v>
      </c>
      <c r="AO196" t="s">
        <v>2251</v>
      </c>
      <c r="AP196" t="s">
        <v>68</v>
      </c>
      <c r="AR196" t="s">
        <v>2252</v>
      </c>
      <c r="AS196" t="s">
        <v>2253</v>
      </c>
      <c r="AT196" t="s">
        <v>2254</v>
      </c>
      <c r="AW196" s="14" t="s">
        <v>72</v>
      </c>
      <c r="AX196" s="14" t="s">
        <v>73</v>
      </c>
      <c r="AY196" s="14" t="s">
        <v>74</v>
      </c>
    </row>
    <row r="197" spans="1:51" ht="15" customHeight="1" x14ac:dyDescent="0.4">
      <c r="A197" s="12">
        <v>3523</v>
      </c>
      <c r="B197" s="19" t="s">
        <v>2255</v>
      </c>
      <c r="C197" s="13" t="s">
        <v>2256</v>
      </c>
      <c r="D197" s="18" t="s">
        <v>2256</v>
      </c>
      <c r="E197" s="13"/>
      <c r="F197" s="43" t="s">
        <v>49</v>
      </c>
      <c r="G197" s="41"/>
      <c r="H197" s="41"/>
      <c r="I197" s="14" t="s">
        <v>49</v>
      </c>
      <c r="J197" s="15">
        <v>44714</v>
      </c>
      <c r="K197" s="28" t="s">
        <v>1992</v>
      </c>
      <c r="L197" t="s">
        <v>1705</v>
      </c>
      <c r="M197" t="s">
        <v>1706</v>
      </c>
      <c r="N197" t="s">
        <v>53</v>
      </c>
      <c r="O197" t="s">
        <v>1707</v>
      </c>
      <c r="P197" t="s">
        <v>1993</v>
      </c>
      <c r="Q197" t="s">
        <v>56</v>
      </c>
      <c r="R197" s="21" t="s">
        <v>1994</v>
      </c>
      <c r="S197" s="21"/>
      <c r="T197" t="s">
        <v>2075</v>
      </c>
      <c r="U197" t="s">
        <v>2257</v>
      </c>
      <c r="Y197" t="s">
        <v>49</v>
      </c>
      <c r="AA197" s="15"/>
      <c r="AC197">
        <v>37.676003501399997</v>
      </c>
      <c r="AD197">
        <v>-89.4129653209</v>
      </c>
      <c r="AG197" s="29" t="s">
        <v>2010</v>
      </c>
      <c r="AH197" t="s">
        <v>1715</v>
      </c>
      <c r="AI197" t="s">
        <v>63</v>
      </c>
      <c r="AJ197" t="s">
        <v>2258</v>
      </c>
      <c r="AK197">
        <v>192550</v>
      </c>
      <c r="AM197" t="s">
        <v>2259</v>
      </c>
      <c r="AN197" t="s">
        <v>2260</v>
      </c>
      <c r="AO197" t="s">
        <v>2261</v>
      </c>
      <c r="AP197" t="s">
        <v>68</v>
      </c>
      <c r="AR197" t="s">
        <v>2262</v>
      </c>
      <c r="AS197" t="s">
        <v>2263</v>
      </c>
      <c r="AT197" t="s">
        <v>2264</v>
      </c>
      <c r="AW197" s="14" t="s">
        <v>72</v>
      </c>
      <c r="AX197" s="14" t="s">
        <v>73</v>
      </c>
      <c r="AY197" s="14" t="s">
        <v>74</v>
      </c>
    </row>
    <row r="198" spans="1:51" ht="15" customHeight="1" x14ac:dyDescent="0.4">
      <c r="A198" s="12">
        <v>3528</v>
      </c>
      <c r="B198" s="21" t="s">
        <v>2265</v>
      </c>
      <c r="C198" s="13" t="s">
        <v>2266</v>
      </c>
      <c r="D198" s="25" t="s">
        <v>2266</v>
      </c>
      <c r="E198" s="13" t="s">
        <v>2267</v>
      </c>
      <c r="F198" s="41"/>
      <c r="G198" s="41"/>
      <c r="H198" s="41"/>
      <c r="I198" s="14" t="s">
        <v>49</v>
      </c>
      <c r="J198" s="15">
        <v>44705</v>
      </c>
      <c r="K198" t="s">
        <v>2268</v>
      </c>
      <c r="L198" t="s">
        <v>51</v>
      </c>
      <c r="M198" t="s">
        <v>52</v>
      </c>
      <c r="N198" t="s">
        <v>53</v>
      </c>
      <c r="O198" t="s">
        <v>1707</v>
      </c>
      <c r="P198" t="s">
        <v>2269</v>
      </c>
      <c r="Q198" t="s">
        <v>56</v>
      </c>
      <c r="R198" s="21" t="s">
        <v>2270</v>
      </c>
      <c r="S198" s="21"/>
      <c r="T198" t="s">
        <v>2271</v>
      </c>
      <c r="U198" t="s">
        <v>2272</v>
      </c>
      <c r="X198" t="s">
        <v>1758</v>
      </c>
      <c r="Y198" t="s">
        <v>60</v>
      </c>
      <c r="AA198" s="15"/>
      <c r="AC198">
        <v>41.813830000000003</v>
      </c>
      <c r="AD198">
        <v>-88.062933000000001</v>
      </c>
      <c r="AE198" t="s">
        <v>2273</v>
      </c>
      <c r="AH198" t="s">
        <v>1715</v>
      </c>
      <c r="AI198" t="s">
        <v>63</v>
      </c>
      <c r="AJ198" t="s">
        <v>2274</v>
      </c>
      <c r="AK198">
        <v>194200</v>
      </c>
      <c r="AM198" t="s">
        <v>2275</v>
      </c>
      <c r="AN198" t="s">
        <v>2276</v>
      </c>
      <c r="AO198" t="s">
        <v>2277</v>
      </c>
      <c r="AP198" t="s">
        <v>68</v>
      </c>
      <c r="AR198" t="s">
        <v>2278</v>
      </c>
      <c r="AS198" t="s">
        <v>2279</v>
      </c>
      <c r="AT198" t="s">
        <v>2280</v>
      </c>
      <c r="AW198" s="14" t="s">
        <v>72</v>
      </c>
      <c r="AX198" s="14" t="s">
        <v>73</v>
      </c>
      <c r="AY198" s="14" t="s">
        <v>74</v>
      </c>
    </row>
    <row r="199" spans="1:51" ht="15" customHeight="1" x14ac:dyDescent="0.4">
      <c r="A199" s="12">
        <v>3529</v>
      </c>
      <c r="B199" s="21" t="s">
        <v>2281</v>
      </c>
      <c r="C199" s="13" t="s">
        <v>2282</v>
      </c>
      <c r="D199" s="25" t="s">
        <v>2282</v>
      </c>
      <c r="E199" s="13" t="s">
        <v>2283</v>
      </c>
      <c r="F199" s="41"/>
      <c r="G199" s="41"/>
      <c r="H199" s="41"/>
      <c r="I199" s="14" t="s">
        <v>1878</v>
      </c>
      <c r="J199" s="15">
        <v>44705</v>
      </c>
      <c r="K199" t="s">
        <v>2268</v>
      </c>
      <c r="L199" t="s">
        <v>51</v>
      </c>
      <c r="M199" t="s">
        <v>52</v>
      </c>
      <c r="N199" t="s">
        <v>53</v>
      </c>
      <c r="O199" t="s">
        <v>1707</v>
      </c>
      <c r="P199" t="s">
        <v>2269</v>
      </c>
      <c r="Q199" t="s">
        <v>56</v>
      </c>
      <c r="R199" s="21" t="s">
        <v>2270</v>
      </c>
      <c r="S199" s="21"/>
      <c r="T199" t="s">
        <v>2271</v>
      </c>
      <c r="U199" t="s">
        <v>2284</v>
      </c>
      <c r="Y199" t="s">
        <v>1881</v>
      </c>
      <c r="AA199" s="15"/>
      <c r="AC199">
        <v>41.813921999999998</v>
      </c>
      <c r="AD199">
        <v>-88.062901999999994</v>
      </c>
      <c r="AE199" t="s">
        <v>2285</v>
      </c>
      <c r="AH199" t="s">
        <v>1715</v>
      </c>
      <c r="AI199" t="s">
        <v>63</v>
      </c>
      <c r="AJ199" t="s">
        <v>2286</v>
      </c>
      <c r="AK199">
        <v>192541</v>
      </c>
      <c r="AM199" t="s">
        <v>2287</v>
      </c>
      <c r="AN199" t="s">
        <v>2288</v>
      </c>
      <c r="AO199" t="s">
        <v>2289</v>
      </c>
      <c r="AP199" t="s">
        <v>68</v>
      </c>
      <c r="AR199" t="s">
        <v>2290</v>
      </c>
      <c r="AS199" t="s">
        <v>2291</v>
      </c>
      <c r="AT199" t="s">
        <v>2292</v>
      </c>
      <c r="AW199" s="14" t="s">
        <v>72</v>
      </c>
      <c r="AX199" s="14" t="s">
        <v>73</v>
      </c>
      <c r="AY199" s="14" t="s">
        <v>1723</v>
      </c>
    </row>
    <row r="200" spans="1:51" ht="15" customHeight="1" x14ac:dyDescent="0.4">
      <c r="A200" s="12">
        <v>3530</v>
      </c>
      <c r="B200" s="21" t="s">
        <v>2293</v>
      </c>
      <c r="C200" s="13" t="s">
        <v>2294</v>
      </c>
      <c r="D200" s="25" t="s">
        <v>2294</v>
      </c>
      <c r="E200" s="13" t="s">
        <v>2295</v>
      </c>
      <c r="F200" s="41"/>
      <c r="G200" s="41"/>
      <c r="H200" s="41"/>
      <c r="I200" s="14" t="s">
        <v>49</v>
      </c>
      <c r="J200" s="15">
        <v>44705</v>
      </c>
      <c r="K200" t="s">
        <v>2268</v>
      </c>
      <c r="L200" t="s">
        <v>51</v>
      </c>
      <c r="M200" t="s">
        <v>52</v>
      </c>
      <c r="N200" t="s">
        <v>53</v>
      </c>
      <c r="O200" t="s">
        <v>1707</v>
      </c>
      <c r="P200" t="s">
        <v>2269</v>
      </c>
      <c r="Q200" t="s">
        <v>56</v>
      </c>
      <c r="R200" s="21" t="s">
        <v>2270</v>
      </c>
      <c r="S200" s="21"/>
      <c r="T200" t="s">
        <v>2271</v>
      </c>
      <c r="U200" t="s">
        <v>2296</v>
      </c>
      <c r="Y200" t="s">
        <v>60</v>
      </c>
      <c r="AA200" s="15"/>
      <c r="AC200">
        <v>41.813960999999999</v>
      </c>
      <c r="AD200">
        <v>-88.063804000000005</v>
      </c>
      <c r="AE200" t="s">
        <v>2297</v>
      </c>
      <c r="AH200" t="s">
        <v>1715</v>
      </c>
      <c r="AI200" t="s">
        <v>63</v>
      </c>
      <c r="AJ200" t="s">
        <v>2298</v>
      </c>
      <c r="AK200">
        <v>194203</v>
      </c>
      <c r="AM200" t="s">
        <v>2299</v>
      </c>
      <c r="AN200" t="s">
        <v>2300</v>
      </c>
      <c r="AO200" t="s">
        <v>2301</v>
      </c>
      <c r="AP200" t="s">
        <v>68</v>
      </c>
      <c r="AR200" t="s">
        <v>2302</v>
      </c>
      <c r="AS200" t="s">
        <v>2303</v>
      </c>
      <c r="AT200" t="s">
        <v>2304</v>
      </c>
      <c r="AW200" s="14" t="s">
        <v>72</v>
      </c>
      <c r="AX200" s="14" t="s">
        <v>73</v>
      </c>
      <c r="AY200" s="14" t="s">
        <v>74</v>
      </c>
    </row>
    <row r="201" spans="1:51" ht="15" customHeight="1" x14ac:dyDescent="0.4">
      <c r="A201" s="12">
        <v>3531</v>
      </c>
      <c r="B201" s="21" t="s">
        <v>2305</v>
      </c>
      <c r="C201" s="13" t="s">
        <v>2306</v>
      </c>
      <c r="D201" s="25" t="s">
        <v>2306</v>
      </c>
      <c r="E201" s="13" t="s">
        <v>2307</v>
      </c>
      <c r="F201" s="41"/>
      <c r="G201" s="41"/>
      <c r="H201" s="41"/>
      <c r="I201" s="14" t="s">
        <v>1878</v>
      </c>
      <c r="J201" s="15">
        <v>44705</v>
      </c>
      <c r="K201" t="s">
        <v>2268</v>
      </c>
      <c r="L201" t="s">
        <v>51</v>
      </c>
      <c r="M201" t="s">
        <v>52</v>
      </c>
      <c r="N201" t="s">
        <v>53</v>
      </c>
      <c r="O201" t="s">
        <v>1707</v>
      </c>
      <c r="P201" t="s">
        <v>2269</v>
      </c>
      <c r="Q201" t="s">
        <v>56</v>
      </c>
      <c r="R201" s="21" t="s">
        <v>2270</v>
      </c>
      <c r="S201" s="21"/>
      <c r="T201" t="s">
        <v>2271</v>
      </c>
      <c r="U201" t="s">
        <v>2308</v>
      </c>
      <c r="Y201" t="s">
        <v>1881</v>
      </c>
      <c r="AA201" s="15"/>
      <c r="AC201">
        <v>41.813845999999998</v>
      </c>
      <c r="AD201">
        <v>-88.063775000000007</v>
      </c>
      <c r="AE201" t="s">
        <v>225</v>
      </c>
      <c r="AH201" t="s">
        <v>1715</v>
      </c>
      <c r="AI201" t="s">
        <v>63</v>
      </c>
      <c r="AJ201" t="s">
        <v>2309</v>
      </c>
      <c r="AK201">
        <v>193918</v>
      </c>
      <c r="AM201" t="s">
        <v>2310</v>
      </c>
      <c r="AN201" t="s">
        <v>2311</v>
      </c>
      <c r="AO201" t="s">
        <v>2312</v>
      </c>
      <c r="AP201" t="s">
        <v>68</v>
      </c>
      <c r="AR201" t="s">
        <v>2313</v>
      </c>
      <c r="AS201" t="s">
        <v>2314</v>
      </c>
      <c r="AT201" t="s">
        <v>2315</v>
      </c>
      <c r="AW201" s="14" t="s">
        <v>72</v>
      </c>
      <c r="AX201" s="14" t="s">
        <v>73</v>
      </c>
      <c r="AY201" s="14" t="s">
        <v>1723</v>
      </c>
    </row>
    <row r="202" spans="1:51" ht="15" customHeight="1" x14ac:dyDescent="0.4">
      <c r="A202" s="12">
        <v>3532</v>
      </c>
      <c r="B202" s="21" t="s">
        <v>2316</v>
      </c>
      <c r="C202" s="13" t="s">
        <v>2317</v>
      </c>
      <c r="D202" s="25" t="s">
        <v>2317</v>
      </c>
      <c r="E202" s="13" t="s">
        <v>2318</v>
      </c>
      <c r="F202" s="41" t="s">
        <v>2222</v>
      </c>
      <c r="G202" s="41"/>
      <c r="H202" s="41"/>
      <c r="I202" s="14" t="s">
        <v>2319</v>
      </c>
      <c r="J202" s="15">
        <v>44705</v>
      </c>
      <c r="K202" t="s">
        <v>2268</v>
      </c>
      <c r="L202" t="s">
        <v>51</v>
      </c>
      <c r="M202" t="s">
        <v>52</v>
      </c>
      <c r="N202" t="s">
        <v>53</v>
      </c>
      <c r="O202" t="s">
        <v>1707</v>
      </c>
      <c r="P202" t="s">
        <v>2269</v>
      </c>
      <c r="Q202" t="s">
        <v>56</v>
      </c>
      <c r="R202" s="21" t="s">
        <v>2270</v>
      </c>
      <c r="S202" s="21"/>
      <c r="T202" t="s">
        <v>2271</v>
      </c>
      <c r="U202" t="s">
        <v>2320</v>
      </c>
      <c r="X202" t="s">
        <v>2321</v>
      </c>
      <c r="Y202" t="s">
        <v>2322</v>
      </c>
      <c r="AA202" s="15"/>
      <c r="AC202">
        <v>41.815708999999998</v>
      </c>
      <c r="AD202">
        <v>-88.061440000000005</v>
      </c>
      <c r="AE202" t="s">
        <v>2323</v>
      </c>
      <c r="AH202" t="s">
        <v>1715</v>
      </c>
      <c r="AI202" t="s">
        <v>63</v>
      </c>
      <c r="AJ202" t="s">
        <v>2324</v>
      </c>
      <c r="AK202">
        <v>192568</v>
      </c>
      <c r="AM202" t="s">
        <v>2325</v>
      </c>
      <c r="AN202" t="s">
        <v>2326</v>
      </c>
      <c r="AO202" t="s">
        <v>2327</v>
      </c>
      <c r="AP202" t="s">
        <v>68</v>
      </c>
      <c r="AR202" t="s">
        <v>2328</v>
      </c>
      <c r="AS202" t="s">
        <v>2329</v>
      </c>
      <c r="AT202" t="s">
        <v>2330</v>
      </c>
      <c r="AW202" s="14" t="e">
        <v>#N/A</v>
      </c>
      <c r="AX202" s="14" t="e">
        <v>#N/A</v>
      </c>
      <c r="AY202" s="14" t="e">
        <v>#N/A</v>
      </c>
    </row>
    <row r="203" spans="1:51" ht="15" customHeight="1" x14ac:dyDescent="0.4">
      <c r="A203" s="12">
        <v>3533</v>
      </c>
      <c r="B203" s="21" t="s">
        <v>2331</v>
      </c>
      <c r="C203" s="13" t="s">
        <v>2332</v>
      </c>
      <c r="D203" s="25" t="s">
        <v>2332</v>
      </c>
      <c r="E203" s="13" t="s">
        <v>2333</v>
      </c>
      <c r="F203" s="41"/>
      <c r="G203" s="41"/>
      <c r="H203" s="41"/>
      <c r="I203" s="14" t="s">
        <v>1878</v>
      </c>
      <c r="J203" s="15">
        <v>44705</v>
      </c>
      <c r="K203" t="s">
        <v>2268</v>
      </c>
      <c r="L203" t="s">
        <v>51</v>
      </c>
      <c r="M203" t="s">
        <v>52</v>
      </c>
      <c r="N203" t="s">
        <v>53</v>
      </c>
      <c r="O203" t="s">
        <v>1707</v>
      </c>
      <c r="P203" t="s">
        <v>2269</v>
      </c>
      <c r="Q203" t="s">
        <v>56</v>
      </c>
      <c r="R203" s="21" t="s">
        <v>2270</v>
      </c>
      <c r="S203" s="21"/>
      <c r="T203" t="s">
        <v>2334</v>
      </c>
      <c r="U203" t="s">
        <v>2335</v>
      </c>
      <c r="X203" t="s">
        <v>2336</v>
      </c>
      <c r="Y203" t="s">
        <v>1881</v>
      </c>
      <c r="AA203" s="15"/>
      <c r="AC203">
        <v>41.815707000000003</v>
      </c>
      <c r="AD203">
        <v>-88.061199999999999</v>
      </c>
      <c r="AE203" t="s">
        <v>2337</v>
      </c>
      <c r="AH203" t="s">
        <v>1715</v>
      </c>
      <c r="AI203" t="s">
        <v>63</v>
      </c>
      <c r="AJ203" t="s">
        <v>2338</v>
      </c>
      <c r="AK203">
        <v>193919</v>
      </c>
      <c r="AM203" t="s">
        <v>2339</v>
      </c>
      <c r="AN203" t="s">
        <v>2340</v>
      </c>
      <c r="AO203" t="s">
        <v>2341</v>
      </c>
      <c r="AP203" t="s">
        <v>68</v>
      </c>
      <c r="AR203" t="s">
        <v>2342</v>
      </c>
      <c r="AS203" t="s">
        <v>2343</v>
      </c>
      <c r="AT203" t="s">
        <v>2344</v>
      </c>
      <c r="AW203" s="14" t="s">
        <v>72</v>
      </c>
      <c r="AX203" s="14" t="s">
        <v>73</v>
      </c>
      <c r="AY203" s="14" t="s">
        <v>1723</v>
      </c>
    </row>
    <row r="204" spans="1:51" ht="15" customHeight="1" x14ac:dyDescent="0.4">
      <c r="A204" s="12">
        <v>3534</v>
      </c>
      <c r="B204" s="21" t="s">
        <v>2345</v>
      </c>
      <c r="C204" s="13" t="s">
        <v>2346</v>
      </c>
      <c r="D204" s="25" t="s">
        <v>2346</v>
      </c>
      <c r="E204" s="13" t="s">
        <v>2347</v>
      </c>
      <c r="F204" s="41"/>
      <c r="G204" s="41"/>
      <c r="H204" s="41"/>
      <c r="I204" s="14" t="s">
        <v>49</v>
      </c>
      <c r="J204" s="15">
        <v>44705</v>
      </c>
      <c r="K204" t="s">
        <v>2268</v>
      </c>
      <c r="L204" t="s">
        <v>51</v>
      </c>
      <c r="M204" t="s">
        <v>52</v>
      </c>
      <c r="N204" t="s">
        <v>53</v>
      </c>
      <c r="O204" t="s">
        <v>1707</v>
      </c>
      <c r="P204" t="s">
        <v>2269</v>
      </c>
      <c r="Q204" t="s">
        <v>56</v>
      </c>
      <c r="R204" s="21" t="s">
        <v>2270</v>
      </c>
      <c r="S204" s="21"/>
      <c r="T204" t="s">
        <v>2348</v>
      </c>
      <c r="U204" t="s">
        <v>2349</v>
      </c>
      <c r="Y204" t="s">
        <v>60</v>
      </c>
      <c r="AA204" s="15"/>
      <c r="AC204">
        <v>41.815863</v>
      </c>
      <c r="AD204">
        <v>-88.060169999999999</v>
      </c>
      <c r="AE204" t="s">
        <v>2350</v>
      </c>
      <c r="AH204" t="s">
        <v>1715</v>
      </c>
      <c r="AI204" t="s">
        <v>63</v>
      </c>
      <c r="AJ204" t="s">
        <v>2351</v>
      </c>
      <c r="AK204">
        <v>194204</v>
      </c>
      <c r="AM204" t="s">
        <v>2352</v>
      </c>
      <c r="AN204" t="s">
        <v>2353</v>
      </c>
      <c r="AO204" t="s">
        <v>2354</v>
      </c>
      <c r="AP204" t="s">
        <v>68</v>
      </c>
      <c r="AR204" t="s">
        <v>2355</v>
      </c>
      <c r="AS204" t="s">
        <v>2356</v>
      </c>
      <c r="AT204" t="s">
        <v>2357</v>
      </c>
      <c r="AW204" s="14" t="s">
        <v>72</v>
      </c>
      <c r="AX204" s="14" t="s">
        <v>73</v>
      </c>
      <c r="AY204" s="14" t="s">
        <v>74</v>
      </c>
    </row>
    <row r="205" spans="1:51" ht="15" customHeight="1" x14ac:dyDescent="0.4">
      <c r="A205" s="12">
        <v>3535</v>
      </c>
      <c r="B205" s="21" t="s">
        <v>2358</v>
      </c>
      <c r="C205" s="13" t="s">
        <v>2359</v>
      </c>
      <c r="D205" s="25" t="s">
        <v>2359</v>
      </c>
      <c r="E205" s="13" t="s">
        <v>2360</v>
      </c>
      <c r="F205" s="41"/>
      <c r="G205" s="41"/>
      <c r="H205" s="41"/>
      <c r="I205" s="14" t="s">
        <v>1878</v>
      </c>
      <c r="J205" s="15">
        <v>44705</v>
      </c>
      <c r="K205" t="s">
        <v>2268</v>
      </c>
      <c r="L205" t="s">
        <v>51</v>
      </c>
      <c r="M205" t="s">
        <v>52</v>
      </c>
      <c r="N205" t="s">
        <v>53</v>
      </c>
      <c r="O205" t="s">
        <v>1707</v>
      </c>
      <c r="P205" t="s">
        <v>2269</v>
      </c>
      <c r="Q205" t="s">
        <v>56</v>
      </c>
      <c r="R205" s="21" t="s">
        <v>2270</v>
      </c>
      <c r="S205" s="21"/>
      <c r="T205" t="s">
        <v>2348</v>
      </c>
      <c r="U205" t="s">
        <v>2361</v>
      </c>
      <c r="X205" t="s">
        <v>2336</v>
      </c>
      <c r="Y205" t="s">
        <v>1881</v>
      </c>
      <c r="AA205" s="15"/>
      <c r="AC205">
        <v>41.815891999999998</v>
      </c>
      <c r="AD205">
        <v>-88.060242000000002</v>
      </c>
      <c r="AE205" t="s">
        <v>2350</v>
      </c>
      <c r="AH205" t="s">
        <v>1715</v>
      </c>
      <c r="AI205" t="s">
        <v>63</v>
      </c>
      <c r="AJ205" t="s">
        <v>2362</v>
      </c>
      <c r="AK205">
        <v>193920</v>
      </c>
      <c r="AM205" t="s">
        <v>2363</v>
      </c>
      <c r="AN205" t="s">
        <v>2364</v>
      </c>
      <c r="AO205" t="s">
        <v>2365</v>
      </c>
      <c r="AP205" t="s">
        <v>68</v>
      </c>
      <c r="AR205" t="s">
        <v>2366</v>
      </c>
      <c r="AS205" t="s">
        <v>2367</v>
      </c>
      <c r="AT205" t="s">
        <v>2368</v>
      </c>
      <c r="AW205" s="14" t="s">
        <v>72</v>
      </c>
      <c r="AX205" s="14" t="s">
        <v>73</v>
      </c>
      <c r="AY205" s="14" t="s">
        <v>1723</v>
      </c>
    </row>
    <row r="206" spans="1:51" ht="15" customHeight="1" x14ac:dyDescent="0.4">
      <c r="A206" s="12">
        <v>3536</v>
      </c>
      <c r="B206" s="21" t="s">
        <v>2369</v>
      </c>
      <c r="C206" s="13" t="s">
        <v>2370</v>
      </c>
      <c r="D206" s="25" t="s">
        <v>2370</v>
      </c>
      <c r="E206" s="13" t="s">
        <v>2371</v>
      </c>
      <c r="F206" s="41"/>
      <c r="G206" s="41"/>
      <c r="H206" s="41"/>
      <c r="I206" s="14" t="s">
        <v>49</v>
      </c>
      <c r="J206" s="15">
        <v>44705</v>
      </c>
      <c r="K206" t="s">
        <v>2268</v>
      </c>
      <c r="L206" t="s">
        <v>51</v>
      </c>
      <c r="M206" t="s">
        <v>52</v>
      </c>
      <c r="N206" t="s">
        <v>53</v>
      </c>
      <c r="O206" t="s">
        <v>1707</v>
      </c>
      <c r="P206" t="s">
        <v>2269</v>
      </c>
      <c r="Q206" t="s">
        <v>56</v>
      </c>
      <c r="R206" s="21" t="s">
        <v>2270</v>
      </c>
      <c r="S206" s="21"/>
      <c r="T206" t="s">
        <v>2372</v>
      </c>
      <c r="U206" t="s">
        <v>2373</v>
      </c>
      <c r="X206" t="s">
        <v>1758</v>
      </c>
      <c r="Y206" t="s">
        <v>60</v>
      </c>
      <c r="AA206" s="15"/>
      <c r="AC206">
        <v>41.814978000000004</v>
      </c>
      <c r="AD206">
        <v>-88.061147000000005</v>
      </c>
      <c r="AE206" t="s">
        <v>2337</v>
      </c>
      <c r="AH206" t="s">
        <v>1715</v>
      </c>
      <c r="AI206" t="s">
        <v>63</v>
      </c>
      <c r="AJ206" t="s">
        <v>2374</v>
      </c>
      <c r="AK206">
        <v>194205</v>
      </c>
      <c r="AM206" t="s">
        <v>2375</v>
      </c>
      <c r="AN206" t="s">
        <v>2376</v>
      </c>
      <c r="AO206" t="s">
        <v>2377</v>
      </c>
      <c r="AP206" t="s">
        <v>68</v>
      </c>
      <c r="AR206" t="s">
        <v>2378</v>
      </c>
      <c r="AS206" t="s">
        <v>2379</v>
      </c>
      <c r="AT206" t="s">
        <v>2380</v>
      </c>
      <c r="AW206" s="14" t="s">
        <v>72</v>
      </c>
      <c r="AX206" s="14" t="s">
        <v>73</v>
      </c>
      <c r="AY206" s="14" t="s">
        <v>74</v>
      </c>
    </row>
    <row r="207" spans="1:51" ht="15" customHeight="1" x14ac:dyDescent="0.4">
      <c r="A207" s="12">
        <v>3537</v>
      </c>
      <c r="B207" s="21" t="s">
        <v>2381</v>
      </c>
      <c r="C207" s="13" t="s">
        <v>2382</v>
      </c>
      <c r="D207" s="25" t="s">
        <v>2382</v>
      </c>
      <c r="E207" s="13" t="s">
        <v>2383</v>
      </c>
      <c r="F207" s="41"/>
      <c r="G207" s="41"/>
      <c r="H207" s="41"/>
      <c r="I207" s="14" t="s">
        <v>49</v>
      </c>
      <c r="J207" s="15">
        <v>44705</v>
      </c>
      <c r="K207" t="s">
        <v>2268</v>
      </c>
      <c r="L207" t="s">
        <v>51</v>
      </c>
      <c r="M207" t="s">
        <v>52</v>
      </c>
      <c r="N207" t="s">
        <v>53</v>
      </c>
      <c r="O207" t="s">
        <v>1707</v>
      </c>
      <c r="P207" t="s">
        <v>2269</v>
      </c>
      <c r="Q207" t="s">
        <v>56</v>
      </c>
      <c r="R207" s="21" t="s">
        <v>2270</v>
      </c>
      <c r="S207" s="21"/>
      <c r="T207" t="s">
        <v>2384</v>
      </c>
      <c r="U207" t="s">
        <v>2385</v>
      </c>
      <c r="Y207" t="s">
        <v>60</v>
      </c>
      <c r="AA207" s="15"/>
      <c r="AC207">
        <v>41.819274999999998</v>
      </c>
      <c r="AD207">
        <v>-88.050901999999994</v>
      </c>
      <c r="AE207" t="s">
        <v>2386</v>
      </c>
      <c r="AH207" t="s">
        <v>1715</v>
      </c>
      <c r="AI207" t="s">
        <v>63</v>
      </c>
      <c r="AJ207" t="s">
        <v>2387</v>
      </c>
      <c r="AK207">
        <v>194206</v>
      </c>
      <c r="AM207" t="s">
        <v>2388</v>
      </c>
      <c r="AN207" t="s">
        <v>2389</v>
      </c>
      <c r="AO207" t="s">
        <v>2390</v>
      </c>
      <c r="AP207" t="s">
        <v>68</v>
      </c>
      <c r="AR207" t="s">
        <v>2391</v>
      </c>
      <c r="AS207" t="s">
        <v>2392</v>
      </c>
      <c r="AT207" t="s">
        <v>2393</v>
      </c>
      <c r="AW207" s="14" t="s">
        <v>72</v>
      </c>
      <c r="AX207" s="14" t="s">
        <v>73</v>
      </c>
      <c r="AY207" s="14" t="s">
        <v>74</v>
      </c>
    </row>
    <row r="208" spans="1:51" ht="15" customHeight="1" x14ac:dyDescent="0.4">
      <c r="A208" s="12">
        <v>3538</v>
      </c>
      <c r="B208" s="21" t="s">
        <v>2394</v>
      </c>
      <c r="C208" s="13" t="s">
        <v>2395</v>
      </c>
      <c r="D208" s="25" t="s">
        <v>2395</v>
      </c>
      <c r="E208" s="13" t="s">
        <v>2396</v>
      </c>
      <c r="F208" s="41"/>
      <c r="G208" s="41"/>
      <c r="H208" s="41"/>
      <c r="I208" s="14" t="s">
        <v>1878</v>
      </c>
      <c r="J208" s="15">
        <v>44705</v>
      </c>
      <c r="K208" t="s">
        <v>2268</v>
      </c>
      <c r="L208" t="s">
        <v>51</v>
      </c>
      <c r="M208" t="s">
        <v>52</v>
      </c>
      <c r="N208" t="s">
        <v>53</v>
      </c>
      <c r="O208" t="s">
        <v>1707</v>
      </c>
      <c r="P208" t="s">
        <v>2269</v>
      </c>
      <c r="Q208" t="s">
        <v>56</v>
      </c>
      <c r="R208" s="21" t="s">
        <v>2270</v>
      </c>
      <c r="S208" s="21"/>
      <c r="T208" t="s">
        <v>2397</v>
      </c>
      <c r="U208" t="s">
        <v>2398</v>
      </c>
      <c r="Y208" t="s">
        <v>1881</v>
      </c>
      <c r="AA208" s="15"/>
      <c r="AC208">
        <v>41.819198</v>
      </c>
      <c r="AD208">
        <v>-88.051045999999999</v>
      </c>
      <c r="AE208" t="s">
        <v>2399</v>
      </c>
      <c r="AH208" t="s">
        <v>1715</v>
      </c>
      <c r="AI208" t="s">
        <v>63</v>
      </c>
      <c r="AJ208" t="s">
        <v>2400</v>
      </c>
      <c r="AK208">
        <v>193921</v>
      </c>
      <c r="AM208" t="s">
        <v>2401</v>
      </c>
      <c r="AN208" t="s">
        <v>2402</v>
      </c>
      <c r="AO208" t="s">
        <v>2403</v>
      </c>
      <c r="AP208" t="s">
        <v>68</v>
      </c>
      <c r="AR208" t="s">
        <v>2404</v>
      </c>
      <c r="AS208" t="s">
        <v>2405</v>
      </c>
      <c r="AT208" t="s">
        <v>2406</v>
      </c>
      <c r="AW208" s="14" t="s">
        <v>72</v>
      </c>
      <c r="AX208" s="14" t="s">
        <v>73</v>
      </c>
      <c r="AY208" s="14" t="s">
        <v>1723</v>
      </c>
    </row>
    <row r="209" spans="1:51" ht="15" customHeight="1" x14ac:dyDescent="0.4">
      <c r="A209" s="12">
        <v>3539</v>
      </c>
      <c r="B209" s="21" t="s">
        <v>2407</v>
      </c>
      <c r="C209" s="13" t="s">
        <v>2408</v>
      </c>
      <c r="D209" s="25" t="s">
        <v>2408</v>
      </c>
      <c r="E209" s="13" t="s">
        <v>2409</v>
      </c>
      <c r="F209" s="41"/>
      <c r="G209" s="41"/>
      <c r="H209" s="41"/>
      <c r="I209" s="14" t="s">
        <v>49</v>
      </c>
      <c r="J209" s="15">
        <v>44705</v>
      </c>
      <c r="K209" t="s">
        <v>2268</v>
      </c>
      <c r="L209" t="s">
        <v>51</v>
      </c>
      <c r="M209" t="s">
        <v>52</v>
      </c>
      <c r="N209" t="s">
        <v>53</v>
      </c>
      <c r="O209" t="s">
        <v>1707</v>
      </c>
      <c r="P209" t="s">
        <v>2269</v>
      </c>
      <c r="Q209" t="s">
        <v>56</v>
      </c>
      <c r="R209" s="21" t="s">
        <v>2270</v>
      </c>
      <c r="S209" s="21"/>
      <c r="T209" t="s">
        <v>2410</v>
      </c>
      <c r="U209" t="s">
        <v>2411</v>
      </c>
      <c r="Y209" t="s">
        <v>60</v>
      </c>
      <c r="AA209" s="15"/>
      <c r="AC209">
        <v>41.820968000000001</v>
      </c>
      <c r="AD209">
        <v>-88.052361000000005</v>
      </c>
      <c r="AE209" t="s">
        <v>2412</v>
      </c>
      <c r="AH209" t="s">
        <v>1715</v>
      </c>
      <c r="AI209" t="s">
        <v>63</v>
      </c>
      <c r="AJ209" t="s">
        <v>2413</v>
      </c>
      <c r="AK209">
        <v>194415</v>
      </c>
      <c r="AM209" t="s">
        <v>2414</v>
      </c>
      <c r="AN209" t="s">
        <v>2415</v>
      </c>
      <c r="AO209" t="s">
        <v>2416</v>
      </c>
      <c r="AP209" t="s">
        <v>68</v>
      </c>
      <c r="AR209" t="s">
        <v>2417</v>
      </c>
      <c r="AS209" t="s">
        <v>2418</v>
      </c>
      <c r="AT209" t="s">
        <v>2419</v>
      </c>
      <c r="AW209" s="14" t="s">
        <v>72</v>
      </c>
      <c r="AX209" s="14" t="s">
        <v>73</v>
      </c>
      <c r="AY209" s="14" t="s">
        <v>74</v>
      </c>
    </row>
    <row r="210" spans="1:51" ht="15" customHeight="1" x14ac:dyDescent="0.4">
      <c r="A210" s="12">
        <v>3540</v>
      </c>
      <c r="B210" s="21" t="s">
        <v>2420</v>
      </c>
      <c r="C210" s="13" t="s">
        <v>2421</v>
      </c>
      <c r="D210" s="25" t="s">
        <v>2421</v>
      </c>
      <c r="E210" s="13" t="s">
        <v>2422</v>
      </c>
      <c r="F210" s="41"/>
      <c r="G210" s="41"/>
      <c r="H210" s="41"/>
      <c r="I210" s="14" t="s">
        <v>1878</v>
      </c>
      <c r="J210" s="15">
        <v>44705</v>
      </c>
      <c r="K210" t="s">
        <v>2268</v>
      </c>
      <c r="L210" t="s">
        <v>51</v>
      </c>
      <c r="M210" t="s">
        <v>52</v>
      </c>
      <c r="N210" t="s">
        <v>53</v>
      </c>
      <c r="O210" t="s">
        <v>1707</v>
      </c>
      <c r="P210" t="s">
        <v>2269</v>
      </c>
      <c r="Q210" t="s">
        <v>56</v>
      </c>
      <c r="R210" s="21" t="s">
        <v>2270</v>
      </c>
      <c r="S210" s="21"/>
      <c r="T210" t="s">
        <v>2410</v>
      </c>
      <c r="U210" t="s">
        <v>2423</v>
      </c>
      <c r="X210" t="s">
        <v>2336</v>
      </c>
      <c r="Y210" t="s">
        <v>1881</v>
      </c>
      <c r="AA210" s="15"/>
      <c r="AC210">
        <v>41.820900999999999</v>
      </c>
      <c r="AD210">
        <v>-88.052706999999998</v>
      </c>
      <c r="AE210" t="s">
        <v>2424</v>
      </c>
      <c r="AH210" t="s">
        <v>1715</v>
      </c>
      <c r="AI210" t="s">
        <v>63</v>
      </c>
      <c r="AJ210" t="s">
        <v>2425</v>
      </c>
      <c r="AK210">
        <v>193922</v>
      </c>
      <c r="AM210" t="s">
        <v>2426</v>
      </c>
      <c r="AN210" t="s">
        <v>2427</v>
      </c>
      <c r="AO210" t="s">
        <v>2428</v>
      </c>
      <c r="AP210" t="s">
        <v>68</v>
      </c>
      <c r="AR210" t="s">
        <v>2429</v>
      </c>
      <c r="AS210" t="s">
        <v>2430</v>
      </c>
      <c r="AT210" t="s">
        <v>2431</v>
      </c>
      <c r="AW210" s="14" t="s">
        <v>72</v>
      </c>
      <c r="AX210" s="14" t="s">
        <v>73</v>
      </c>
      <c r="AY210" s="14" t="s">
        <v>1723</v>
      </c>
    </row>
    <row r="211" spans="1:51" ht="15" customHeight="1" x14ac:dyDescent="0.4">
      <c r="A211" s="12">
        <v>3541</v>
      </c>
      <c r="B211" s="21" t="s">
        <v>2432</v>
      </c>
      <c r="C211" s="13" t="s">
        <v>2433</v>
      </c>
      <c r="D211" s="25" t="s">
        <v>2433</v>
      </c>
      <c r="E211" s="13"/>
      <c r="F211" s="41"/>
      <c r="G211" s="41"/>
      <c r="H211" s="41"/>
      <c r="I211" s="14" t="s">
        <v>49</v>
      </c>
      <c r="J211" s="15">
        <v>44720</v>
      </c>
      <c r="K211" t="s">
        <v>2434</v>
      </c>
      <c r="L211" t="s">
        <v>51</v>
      </c>
      <c r="M211" t="s">
        <v>52</v>
      </c>
      <c r="N211" t="s">
        <v>53</v>
      </c>
      <c r="O211" t="s">
        <v>2435</v>
      </c>
      <c r="P211" t="s">
        <v>2436</v>
      </c>
      <c r="Q211" t="s">
        <v>56</v>
      </c>
      <c r="R211" s="21" t="s">
        <v>2437</v>
      </c>
      <c r="S211" s="21"/>
      <c r="T211" t="s">
        <v>2438</v>
      </c>
      <c r="U211" t="s">
        <v>2439</v>
      </c>
      <c r="X211" t="s">
        <v>2440</v>
      </c>
      <c r="Y211" t="s">
        <v>60</v>
      </c>
      <c r="AA211" s="15"/>
      <c r="AC211">
        <v>42.031072379999998</v>
      </c>
      <c r="AD211">
        <v>-93.630173009999993</v>
      </c>
      <c r="AH211" t="s">
        <v>1715</v>
      </c>
      <c r="AI211" t="s">
        <v>63</v>
      </c>
      <c r="AJ211" t="s">
        <v>2441</v>
      </c>
      <c r="AK211">
        <v>192666</v>
      </c>
      <c r="AM211" t="s">
        <v>2442</v>
      </c>
      <c r="AN211" t="s">
        <v>2443</v>
      </c>
      <c r="AO211" t="s">
        <v>2444</v>
      </c>
      <c r="AP211" t="s">
        <v>68</v>
      </c>
      <c r="AR211" t="s">
        <v>2445</v>
      </c>
      <c r="AS211" t="s">
        <v>2446</v>
      </c>
      <c r="AT211" t="s">
        <v>2447</v>
      </c>
      <c r="AW211" s="14" t="s">
        <v>72</v>
      </c>
      <c r="AX211" s="14" t="s">
        <v>73</v>
      </c>
      <c r="AY211" s="14" t="s">
        <v>74</v>
      </c>
    </row>
    <row r="212" spans="1:51" ht="15" customHeight="1" x14ac:dyDescent="0.4">
      <c r="A212" s="12">
        <v>3542</v>
      </c>
      <c r="B212" s="21" t="s">
        <v>2448</v>
      </c>
      <c r="C212" s="13" t="s">
        <v>2449</v>
      </c>
      <c r="D212" s="25" t="s">
        <v>2449</v>
      </c>
      <c r="E212" s="13"/>
      <c r="F212" s="41"/>
      <c r="G212" s="41"/>
      <c r="H212" s="41"/>
      <c r="I212" s="14" t="s">
        <v>49</v>
      </c>
      <c r="J212" s="15">
        <v>44720</v>
      </c>
      <c r="K212" t="s">
        <v>2434</v>
      </c>
      <c r="L212" t="s">
        <v>51</v>
      </c>
      <c r="M212" t="s">
        <v>52</v>
      </c>
      <c r="N212" t="s">
        <v>53</v>
      </c>
      <c r="O212" t="s">
        <v>2435</v>
      </c>
      <c r="P212" t="s">
        <v>2436</v>
      </c>
      <c r="Q212" t="s">
        <v>56</v>
      </c>
      <c r="R212" s="21" t="s">
        <v>2437</v>
      </c>
      <c r="S212" s="21"/>
      <c r="T212" t="s">
        <v>2450</v>
      </c>
      <c r="U212" t="s">
        <v>2451</v>
      </c>
      <c r="X212" t="s">
        <v>2452</v>
      </c>
      <c r="Y212" t="s">
        <v>60</v>
      </c>
      <c r="AA212" s="15"/>
      <c r="AC212">
        <v>42.03371379</v>
      </c>
      <c r="AD212">
        <v>-93.630409979999996</v>
      </c>
      <c r="AH212" t="s">
        <v>1715</v>
      </c>
      <c r="AI212" t="s">
        <v>63</v>
      </c>
      <c r="AJ212" t="s">
        <v>2453</v>
      </c>
      <c r="AK212">
        <v>192663</v>
      </c>
      <c r="AM212" t="s">
        <v>2454</v>
      </c>
      <c r="AN212" t="s">
        <v>2455</v>
      </c>
      <c r="AO212" t="s">
        <v>2456</v>
      </c>
      <c r="AP212" t="s">
        <v>68</v>
      </c>
      <c r="AR212" t="s">
        <v>2457</v>
      </c>
      <c r="AS212" t="s">
        <v>2458</v>
      </c>
      <c r="AT212" t="s">
        <v>2459</v>
      </c>
      <c r="AW212" s="14" t="s">
        <v>72</v>
      </c>
      <c r="AX212" s="14" t="s">
        <v>73</v>
      </c>
      <c r="AY212" s="14" t="s">
        <v>74</v>
      </c>
    </row>
    <row r="213" spans="1:51" ht="15" customHeight="1" x14ac:dyDescent="0.4">
      <c r="A213" s="12">
        <v>3543</v>
      </c>
      <c r="B213" s="21" t="s">
        <v>2460</v>
      </c>
      <c r="C213" s="13" t="s">
        <v>2461</v>
      </c>
      <c r="D213" s="25" t="s">
        <v>2461</v>
      </c>
      <c r="E213" s="13"/>
      <c r="F213" s="41"/>
      <c r="G213" s="41"/>
      <c r="H213" s="41"/>
      <c r="I213" s="14" t="s">
        <v>49</v>
      </c>
      <c r="J213" s="15">
        <v>44720</v>
      </c>
      <c r="K213" t="s">
        <v>2434</v>
      </c>
      <c r="L213" t="s">
        <v>51</v>
      </c>
      <c r="M213" t="s">
        <v>52</v>
      </c>
      <c r="N213" t="s">
        <v>53</v>
      </c>
      <c r="O213" t="s">
        <v>2435</v>
      </c>
      <c r="P213" t="s">
        <v>2436</v>
      </c>
      <c r="Q213" t="s">
        <v>56</v>
      </c>
      <c r="R213" s="21" t="s">
        <v>2437</v>
      </c>
      <c r="S213" s="21"/>
      <c r="T213" t="s">
        <v>2462</v>
      </c>
      <c r="U213" t="s">
        <v>2463</v>
      </c>
      <c r="Y213" t="s">
        <v>60</v>
      </c>
      <c r="AA213" s="15"/>
      <c r="AC213">
        <v>42.034319250000003</v>
      </c>
      <c r="AD213">
        <v>-93.630245009999996</v>
      </c>
      <c r="AH213" t="s">
        <v>1715</v>
      </c>
      <c r="AI213" t="s">
        <v>63</v>
      </c>
      <c r="AJ213" t="s">
        <v>2464</v>
      </c>
      <c r="AK213">
        <v>194191</v>
      </c>
      <c r="AM213" t="s">
        <v>2465</v>
      </c>
      <c r="AN213" t="s">
        <v>2466</v>
      </c>
      <c r="AO213" t="s">
        <v>2467</v>
      </c>
      <c r="AP213" t="s">
        <v>68</v>
      </c>
      <c r="AR213" t="s">
        <v>2468</v>
      </c>
      <c r="AS213" t="s">
        <v>2469</v>
      </c>
      <c r="AT213" t="s">
        <v>2470</v>
      </c>
      <c r="AW213" s="14" t="s">
        <v>72</v>
      </c>
      <c r="AX213" s="14" t="s">
        <v>73</v>
      </c>
      <c r="AY213" s="14" t="s">
        <v>74</v>
      </c>
    </row>
    <row r="214" spans="1:51" ht="15" customHeight="1" x14ac:dyDescent="0.4">
      <c r="A214" s="12">
        <v>3544</v>
      </c>
      <c r="B214" s="21" t="s">
        <v>2471</v>
      </c>
      <c r="C214" s="13" t="s">
        <v>2472</v>
      </c>
      <c r="D214" s="25" t="s">
        <v>2472</v>
      </c>
      <c r="E214" s="13"/>
      <c r="F214" s="41"/>
      <c r="G214" s="41"/>
      <c r="H214" s="41"/>
      <c r="I214" s="14" t="s">
        <v>49</v>
      </c>
      <c r="J214" s="15">
        <v>44720</v>
      </c>
      <c r="K214" t="s">
        <v>2434</v>
      </c>
      <c r="L214" t="s">
        <v>51</v>
      </c>
      <c r="M214" t="s">
        <v>52</v>
      </c>
      <c r="N214" t="s">
        <v>53</v>
      </c>
      <c r="O214" t="s">
        <v>2435</v>
      </c>
      <c r="P214" t="s">
        <v>2436</v>
      </c>
      <c r="Q214" t="s">
        <v>56</v>
      </c>
      <c r="R214" s="21" t="s">
        <v>2437</v>
      </c>
      <c r="S214" s="21"/>
      <c r="T214" t="s">
        <v>2473</v>
      </c>
      <c r="U214" t="s">
        <v>2474</v>
      </c>
      <c r="Y214" t="s">
        <v>60</v>
      </c>
      <c r="AA214" s="15"/>
      <c r="AC214">
        <v>42.029397359999997</v>
      </c>
      <c r="AD214">
        <v>-93.628202259999995</v>
      </c>
      <c r="AH214" t="s">
        <v>1715</v>
      </c>
      <c r="AI214" t="s">
        <v>63</v>
      </c>
      <c r="AJ214" t="s">
        <v>2475</v>
      </c>
      <c r="AK214">
        <v>194192</v>
      </c>
      <c r="AM214" t="s">
        <v>2476</v>
      </c>
      <c r="AN214" t="s">
        <v>2477</v>
      </c>
      <c r="AO214" t="s">
        <v>2478</v>
      </c>
      <c r="AP214" t="s">
        <v>68</v>
      </c>
      <c r="AR214" t="s">
        <v>2479</v>
      </c>
      <c r="AS214" t="s">
        <v>2480</v>
      </c>
      <c r="AT214" t="s">
        <v>2481</v>
      </c>
      <c r="AW214" s="14" t="s">
        <v>72</v>
      </c>
      <c r="AX214" s="14" t="s">
        <v>73</v>
      </c>
      <c r="AY214" s="14" t="s">
        <v>74</v>
      </c>
    </row>
    <row r="215" spans="1:51" ht="15" customHeight="1" x14ac:dyDescent="0.4">
      <c r="A215" s="12">
        <v>3545</v>
      </c>
      <c r="B215" s="21" t="s">
        <v>2482</v>
      </c>
      <c r="C215" s="13" t="s">
        <v>2483</v>
      </c>
      <c r="D215" s="25" t="s">
        <v>2483</v>
      </c>
      <c r="E215" s="13"/>
      <c r="F215" s="41"/>
      <c r="G215" s="41"/>
      <c r="H215" s="41"/>
      <c r="I215" s="14" t="s">
        <v>49</v>
      </c>
      <c r="J215" s="15">
        <v>44720</v>
      </c>
      <c r="K215" t="s">
        <v>2434</v>
      </c>
      <c r="L215" t="s">
        <v>51</v>
      </c>
      <c r="M215" t="s">
        <v>52</v>
      </c>
      <c r="N215" t="s">
        <v>53</v>
      </c>
      <c r="O215" t="s">
        <v>2435</v>
      </c>
      <c r="P215" t="s">
        <v>2436</v>
      </c>
      <c r="Q215" t="s">
        <v>56</v>
      </c>
      <c r="R215" s="21" t="s">
        <v>2437</v>
      </c>
      <c r="S215" s="21"/>
      <c r="T215" t="s">
        <v>2438</v>
      </c>
      <c r="U215" t="s">
        <v>2484</v>
      </c>
      <c r="Y215" t="s">
        <v>60</v>
      </c>
      <c r="AA215" s="15"/>
      <c r="AC215">
        <v>42.028730779999997</v>
      </c>
      <c r="AD215">
        <v>-93.628244769999995</v>
      </c>
      <c r="AH215" t="s">
        <v>1715</v>
      </c>
      <c r="AI215" t="s">
        <v>63</v>
      </c>
      <c r="AJ215" t="s">
        <v>2485</v>
      </c>
      <c r="AK215">
        <v>194193</v>
      </c>
      <c r="AM215" t="s">
        <v>2486</v>
      </c>
      <c r="AN215" t="s">
        <v>2487</v>
      </c>
      <c r="AO215" t="s">
        <v>2488</v>
      </c>
      <c r="AP215" t="s">
        <v>68</v>
      </c>
      <c r="AR215" t="s">
        <v>2489</v>
      </c>
      <c r="AS215" t="s">
        <v>2490</v>
      </c>
      <c r="AT215" t="s">
        <v>2491</v>
      </c>
      <c r="AW215" s="14" t="s">
        <v>72</v>
      </c>
      <c r="AX215" s="14" t="s">
        <v>73</v>
      </c>
      <c r="AY215" s="14" t="s">
        <v>74</v>
      </c>
    </row>
    <row r="216" spans="1:51" ht="15" customHeight="1" x14ac:dyDescent="0.4">
      <c r="A216" s="12">
        <v>3546</v>
      </c>
      <c r="B216" s="21" t="s">
        <v>2492</v>
      </c>
      <c r="C216" s="13" t="s">
        <v>2493</v>
      </c>
      <c r="D216" s="25" t="s">
        <v>2493</v>
      </c>
      <c r="E216" s="13"/>
      <c r="F216" s="41"/>
      <c r="G216" s="41"/>
      <c r="H216" s="41"/>
      <c r="I216" s="14" t="s">
        <v>1878</v>
      </c>
      <c r="J216" s="15">
        <v>44721</v>
      </c>
      <c r="K216" t="s">
        <v>2434</v>
      </c>
      <c r="L216" t="s">
        <v>51</v>
      </c>
      <c r="M216" t="s">
        <v>52</v>
      </c>
      <c r="N216" t="s">
        <v>53</v>
      </c>
      <c r="O216" t="s">
        <v>2435</v>
      </c>
      <c r="P216" t="s">
        <v>2494</v>
      </c>
      <c r="Q216" t="s">
        <v>56</v>
      </c>
      <c r="R216" s="21" t="s">
        <v>2495</v>
      </c>
      <c r="S216" s="21"/>
      <c r="T216" t="s">
        <v>2496</v>
      </c>
      <c r="U216">
        <v>0</v>
      </c>
      <c r="Y216" t="s">
        <v>1881</v>
      </c>
      <c r="AA216" s="15"/>
      <c r="AC216">
        <v>40.710377000000001</v>
      </c>
      <c r="AD216">
        <v>-91.797389440000003</v>
      </c>
      <c r="AH216" t="s">
        <v>1715</v>
      </c>
      <c r="AI216" t="s">
        <v>63</v>
      </c>
      <c r="AJ216" t="s">
        <v>2497</v>
      </c>
      <c r="AK216">
        <v>193753</v>
      </c>
      <c r="AM216" t="s">
        <v>2498</v>
      </c>
      <c r="AN216" t="s">
        <v>2499</v>
      </c>
      <c r="AO216" t="s">
        <v>2500</v>
      </c>
      <c r="AP216" t="s">
        <v>68</v>
      </c>
      <c r="AR216" t="s">
        <v>2501</v>
      </c>
      <c r="AS216" t="s">
        <v>2502</v>
      </c>
      <c r="AT216" t="s">
        <v>2503</v>
      </c>
      <c r="AW216" s="14" t="s">
        <v>72</v>
      </c>
      <c r="AX216" s="14" t="s">
        <v>73</v>
      </c>
      <c r="AY216" s="14" t="s">
        <v>1723</v>
      </c>
    </row>
    <row r="217" spans="1:51" ht="15" customHeight="1" x14ac:dyDescent="0.4">
      <c r="A217" s="12">
        <v>3547</v>
      </c>
      <c r="B217" s="21" t="s">
        <v>2504</v>
      </c>
      <c r="C217" s="13" t="s">
        <v>2505</v>
      </c>
      <c r="D217" s="25" t="s">
        <v>2505</v>
      </c>
      <c r="E217" s="13"/>
      <c r="F217" s="41"/>
      <c r="G217" s="41"/>
      <c r="H217" s="41"/>
      <c r="I217" s="14" t="s">
        <v>1878</v>
      </c>
      <c r="J217" s="15">
        <v>44721</v>
      </c>
      <c r="K217" t="s">
        <v>2434</v>
      </c>
      <c r="L217" t="s">
        <v>51</v>
      </c>
      <c r="M217" t="s">
        <v>52</v>
      </c>
      <c r="N217" t="s">
        <v>53</v>
      </c>
      <c r="O217" t="s">
        <v>2435</v>
      </c>
      <c r="P217" t="s">
        <v>2494</v>
      </c>
      <c r="Q217" t="s">
        <v>56</v>
      </c>
      <c r="R217" s="21" t="s">
        <v>2495</v>
      </c>
      <c r="S217" s="21"/>
      <c r="T217" t="s">
        <v>2506</v>
      </c>
      <c r="U217" t="s">
        <v>2507</v>
      </c>
      <c r="Y217" t="s">
        <v>1881</v>
      </c>
      <c r="AA217" s="15"/>
      <c r="AC217">
        <v>40.709859000000002</v>
      </c>
      <c r="AD217">
        <v>-91.796244999999999</v>
      </c>
      <c r="AH217" t="s">
        <v>1715</v>
      </c>
      <c r="AI217" t="s">
        <v>63</v>
      </c>
      <c r="AJ217" t="s">
        <v>2508</v>
      </c>
      <c r="AK217">
        <v>193755</v>
      </c>
      <c r="AM217" t="s">
        <v>2509</v>
      </c>
      <c r="AN217" t="s">
        <v>2510</v>
      </c>
      <c r="AO217" t="s">
        <v>2511</v>
      </c>
      <c r="AP217" t="s">
        <v>68</v>
      </c>
      <c r="AR217" t="s">
        <v>2512</v>
      </c>
      <c r="AS217" t="s">
        <v>2513</v>
      </c>
      <c r="AT217" t="s">
        <v>2514</v>
      </c>
      <c r="AW217" s="14" t="s">
        <v>72</v>
      </c>
      <c r="AX217" s="14" t="s">
        <v>73</v>
      </c>
      <c r="AY217" s="14" t="s">
        <v>1723</v>
      </c>
    </row>
    <row r="218" spans="1:51" ht="15" customHeight="1" x14ac:dyDescent="0.4">
      <c r="A218" s="12">
        <v>3548</v>
      </c>
      <c r="B218" s="21" t="s">
        <v>2515</v>
      </c>
      <c r="C218" s="13" t="s">
        <v>2516</v>
      </c>
      <c r="D218" s="25" t="s">
        <v>2516</v>
      </c>
      <c r="E218" s="13"/>
      <c r="F218" s="41"/>
      <c r="G218" s="41"/>
      <c r="H218" s="41"/>
      <c r="I218" s="14" t="s">
        <v>1878</v>
      </c>
      <c r="J218" s="15">
        <v>44721</v>
      </c>
      <c r="K218" t="s">
        <v>2434</v>
      </c>
      <c r="L218" t="s">
        <v>51</v>
      </c>
      <c r="M218" t="s">
        <v>52</v>
      </c>
      <c r="N218" t="s">
        <v>53</v>
      </c>
      <c r="O218" t="s">
        <v>2435</v>
      </c>
      <c r="P218" t="s">
        <v>2494</v>
      </c>
      <c r="Q218" t="s">
        <v>56</v>
      </c>
      <c r="R218" s="21" t="s">
        <v>2495</v>
      </c>
      <c r="S218" s="21"/>
      <c r="T218" t="s">
        <v>2517</v>
      </c>
      <c r="U218" t="s">
        <v>2518</v>
      </c>
      <c r="Y218" t="s">
        <v>1881</v>
      </c>
      <c r="AA218" s="15"/>
      <c r="AC218">
        <v>40.710200999999998</v>
      </c>
      <c r="AD218">
        <v>-91.794681999999995</v>
      </c>
      <c r="AH218" t="s">
        <v>1715</v>
      </c>
      <c r="AI218" t="s">
        <v>63</v>
      </c>
      <c r="AJ218" t="s">
        <v>2519</v>
      </c>
      <c r="AK218">
        <v>192540</v>
      </c>
      <c r="AM218" t="s">
        <v>2520</v>
      </c>
      <c r="AN218" t="s">
        <v>2521</v>
      </c>
      <c r="AO218" t="s">
        <v>2522</v>
      </c>
      <c r="AP218" t="s">
        <v>68</v>
      </c>
      <c r="AR218" t="s">
        <v>2523</v>
      </c>
      <c r="AS218" t="s">
        <v>2524</v>
      </c>
      <c r="AT218" t="s">
        <v>2525</v>
      </c>
      <c r="AW218" s="14" t="s">
        <v>72</v>
      </c>
      <c r="AX218" s="14" t="s">
        <v>73</v>
      </c>
      <c r="AY218" s="14" t="s">
        <v>1723</v>
      </c>
    </row>
    <row r="219" spans="1:51" ht="15" customHeight="1" x14ac:dyDescent="0.4">
      <c r="A219" s="12">
        <v>3549</v>
      </c>
      <c r="B219" s="21" t="s">
        <v>2526</v>
      </c>
      <c r="C219" s="13" t="s">
        <v>2527</v>
      </c>
      <c r="D219" s="25" t="s">
        <v>2527</v>
      </c>
      <c r="E219" s="13"/>
      <c r="F219" s="41"/>
      <c r="G219" s="41"/>
      <c r="H219" s="41"/>
      <c r="I219" s="14" t="s">
        <v>1878</v>
      </c>
      <c r="J219" s="15">
        <v>44721</v>
      </c>
      <c r="K219" t="s">
        <v>2434</v>
      </c>
      <c r="L219" t="s">
        <v>51</v>
      </c>
      <c r="M219" t="s">
        <v>52</v>
      </c>
      <c r="N219" t="s">
        <v>53</v>
      </c>
      <c r="O219" t="s">
        <v>2435</v>
      </c>
      <c r="P219" t="s">
        <v>2494</v>
      </c>
      <c r="Q219" t="s">
        <v>56</v>
      </c>
      <c r="R219" s="21" t="s">
        <v>2495</v>
      </c>
      <c r="S219" s="21"/>
      <c r="T219" t="s">
        <v>2528</v>
      </c>
      <c r="U219" t="s">
        <v>2529</v>
      </c>
      <c r="Y219" t="s">
        <v>1881</v>
      </c>
      <c r="AA219" s="15"/>
      <c r="AC219">
        <v>40.710552999999997</v>
      </c>
      <c r="AD219">
        <v>-91.792546000000002</v>
      </c>
      <c r="AH219" t="s">
        <v>1715</v>
      </c>
      <c r="AI219" t="s">
        <v>63</v>
      </c>
      <c r="AJ219" t="s">
        <v>2530</v>
      </c>
      <c r="AK219">
        <v>193756</v>
      </c>
      <c r="AM219" t="s">
        <v>2531</v>
      </c>
      <c r="AN219" t="s">
        <v>2532</v>
      </c>
      <c r="AO219" t="s">
        <v>2533</v>
      </c>
      <c r="AP219" t="s">
        <v>68</v>
      </c>
      <c r="AR219" t="s">
        <v>2534</v>
      </c>
      <c r="AS219" t="s">
        <v>2535</v>
      </c>
      <c r="AT219" t="s">
        <v>2536</v>
      </c>
      <c r="AW219" s="14" t="s">
        <v>72</v>
      </c>
      <c r="AX219" s="14" t="s">
        <v>73</v>
      </c>
      <c r="AY219" s="14" t="s">
        <v>1723</v>
      </c>
    </row>
    <row r="220" spans="1:51" ht="15" customHeight="1" x14ac:dyDescent="0.4">
      <c r="A220" s="12">
        <v>3550</v>
      </c>
      <c r="B220" s="21" t="s">
        <v>2537</v>
      </c>
      <c r="C220" s="13" t="s">
        <v>2538</v>
      </c>
      <c r="D220" s="25" t="s">
        <v>2538</v>
      </c>
      <c r="E220" s="13"/>
      <c r="F220" s="41"/>
      <c r="G220" s="41"/>
      <c r="H220" s="41"/>
      <c r="I220" s="14" t="s">
        <v>1829</v>
      </c>
      <c r="J220" s="15">
        <v>44721</v>
      </c>
      <c r="K220" t="s">
        <v>2434</v>
      </c>
      <c r="L220" t="s">
        <v>51</v>
      </c>
      <c r="M220" t="s">
        <v>52</v>
      </c>
      <c r="N220" t="s">
        <v>53</v>
      </c>
      <c r="O220" t="s">
        <v>2435</v>
      </c>
      <c r="P220" t="s">
        <v>2494</v>
      </c>
      <c r="Q220" t="s">
        <v>56</v>
      </c>
      <c r="R220" s="21" t="s">
        <v>2495</v>
      </c>
      <c r="S220" s="21"/>
      <c r="T220" t="s">
        <v>2539</v>
      </c>
      <c r="U220" t="s">
        <v>2540</v>
      </c>
      <c r="Y220" t="s">
        <v>1832</v>
      </c>
      <c r="AA220" s="15"/>
      <c r="AC220">
        <v>40.708615999999999</v>
      </c>
      <c r="AD220">
        <v>-91.787231000000006</v>
      </c>
      <c r="AE220" t="s">
        <v>2541</v>
      </c>
      <c r="AH220" t="s">
        <v>1715</v>
      </c>
      <c r="AI220" t="s">
        <v>63</v>
      </c>
      <c r="AJ220" t="s">
        <v>2542</v>
      </c>
      <c r="AK220">
        <v>194513</v>
      </c>
      <c r="AM220" t="s">
        <v>2543</v>
      </c>
      <c r="AN220" t="s">
        <v>2544</v>
      </c>
      <c r="AO220" t="s">
        <v>2545</v>
      </c>
      <c r="AP220" t="s">
        <v>68</v>
      </c>
      <c r="AR220" t="s">
        <v>2546</v>
      </c>
      <c r="AS220" t="s">
        <v>2547</v>
      </c>
      <c r="AT220" t="s">
        <v>2548</v>
      </c>
      <c r="AW220" s="14" t="s">
        <v>72</v>
      </c>
      <c r="AX220" s="14" t="s">
        <v>73</v>
      </c>
      <c r="AY220" s="14" t="s">
        <v>74</v>
      </c>
    </row>
    <row r="221" spans="1:51" ht="15" customHeight="1" x14ac:dyDescent="0.4">
      <c r="A221" s="12">
        <v>3551</v>
      </c>
      <c r="B221" s="21" t="s">
        <v>2549</v>
      </c>
      <c r="C221" s="13" t="s">
        <v>2550</v>
      </c>
      <c r="D221" s="25" t="s">
        <v>2550</v>
      </c>
      <c r="E221" s="13"/>
      <c r="F221" s="41"/>
      <c r="G221" s="41"/>
      <c r="H221" s="41"/>
      <c r="I221" s="14" t="s">
        <v>1829</v>
      </c>
      <c r="J221" s="15">
        <v>44721</v>
      </c>
      <c r="K221" t="s">
        <v>2434</v>
      </c>
      <c r="L221" t="s">
        <v>51</v>
      </c>
      <c r="M221" t="s">
        <v>52</v>
      </c>
      <c r="N221" t="s">
        <v>53</v>
      </c>
      <c r="O221" t="s">
        <v>2435</v>
      </c>
      <c r="P221" t="s">
        <v>2494</v>
      </c>
      <c r="Q221" t="s">
        <v>56</v>
      </c>
      <c r="R221" s="21" t="s">
        <v>2495</v>
      </c>
      <c r="S221" s="21"/>
      <c r="T221" t="s">
        <v>2551</v>
      </c>
      <c r="U221" t="s">
        <v>2552</v>
      </c>
      <c r="Y221" t="s">
        <v>1832</v>
      </c>
      <c r="AA221" s="15"/>
      <c r="AC221">
        <v>40.707864999999998</v>
      </c>
      <c r="AD221">
        <v>-91.788325</v>
      </c>
      <c r="AE221" t="s">
        <v>1856</v>
      </c>
      <c r="AH221" t="s">
        <v>1715</v>
      </c>
      <c r="AI221" t="s">
        <v>63</v>
      </c>
      <c r="AJ221" t="s">
        <v>2553</v>
      </c>
      <c r="AK221">
        <v>194514</v>
      </c>
      <c r="AM221" t="s">
        <v>2554</v>
      </c>
      <c r="AN221" t="s">
        <v>2555</v>
      </c>
      <c r="AO221" t="s">
        <v>2556</v>
      </c>
      <c r="AP221" t="s">
        <v>68</v>
      </c>
      <c r="AR221" t="s">
        <v>2557</v>
      </c>
      <c r="AS221" t="s">
        <v>2558</v>
      </c>
      <c r="AT221" t="s">
        <v>2559</v>
      </c>
      <c r="AW221" s="14" t="s">
        <v>72</v>
      </c>
      <c r="AX221" s="14" t="s">
        <v>73</v>
      </c>
      <c r="AY221" s="14" t="s">
        <v>74</v>
      </c>
    </row>
    <row r="222" spans="1:51" ht="15" customHeight="1" x14ac:dyDescent="0.4">
      <c r="A222" s="12">
        <v>3552</v>
      </c>
      <c r="B222" s="21" t="s">
        <v>2560</v>
      </c>
      <c r="C222" s="13" t="s">
        <v>2561</v>
      </c>
      <c r="D222" s="25" t="s">
        <v>2561</v>
      </c>
      <c r="E222" s="13"/>
      <c r="F222" s="41"/>
      <c r="G222" s="41"/>
      <c r="H222" s="41"/>
      <c r="I222" s="14" t="s">
        <v>1829</v>
      </c>
      <c r="J222" s="15">
        <v>44721</v>
      </c>
      <c r="K222" t="s">
        <v>2434</v>
      </c>
      <c r="L222" t="s">
        <v>51</v>
      </c>
      <c r="M222" t="s">
        <v>52</v>
      </c>
      <c r="N222" t="s">
        <v>53</v>
      </c>
      <c r="O222" t="s">
        <v>2435</v>
      </c>
      <c r="P222" t="s">
        <v>2494</v>
      </c>
      <c r="Q222" t="s">
        <v>56</v>
      </c>
      <c r="R222" s="21" t="s">
        <v>2495</v>
      </c>
      <c r="S222" s="21"/>
      <c r="T222" t="s">
        <v>2562</v>
      </c>
      <c r="U222" t="s">
        <v>2563</v>
      </c>
      <c r="Y222" t="s">
        <v>1832</v>
      </c>
      <c r="AA222" s="15"/>
      <c r="AC222">
        <v>40.707006</v>
      </c>
      <c r="AD222">
        <v>-91.789440999999997</v>
      </c>
      <c r="AE222" t="s">
        <v>2564</v>
      </c>
      <c r="AH222" t="s">
        <v>1715</v>
      </c>
      <c r="AI222" t="s">
        <v>63</v>
      </c>
      <c r="AJ222" t="s">
        <v>2565</v>
      </c>
      <c r="AK222">
        <v>194515</v>
      </c>
      <c r="AM222" t="s">
        <v>2566</v>
      </c>
      <c r="AN222" t="s">
        <v>2567</v>
      </c>
      <c r="AO222" t="s">
        <v>2568</v>
      </c>
      <c r="AP222" t="s">
        <v>68</v>
      </c>
      <c r="AR222" t="s">
        <v>2569</v>
      </c>
      <c r="AS222" t="s">
        <v>2570</v>
      </c>
      <c r="AT222" t="s">
        <v>2571</v>
      </c>
      <c r="AW222" s="14" t="s">
        <v>72</v>
      </c>
      <c r="AX222" s="14" t="s">
        <v>73</v>
      </c>
      <c r="AY222" s="14" t="s">
        <v>74</v>
      </c>
    </row>
    <row r="223" spans="1:51" ht="15" customHeight="1" x14ac:dyDescent="0.4">
      <c r="A223" s="12">
        <v>3553</v>
      </c>
      <c r="B223" s="21" t="s">
        <v>2572</v>
      </c>
      <c r="C223" s="13" t="s">
        <v>2573</v>
      </c>
      <c r="D223" s="25" t="s">
        <v>2573</v>
      </c>
      <c r="E223" s="13"/>
      <c r="F223" s="41"/>
      <c r="G223" s="41"/>
      <c r="H223" s="41"/>
      <c r="I223" s="14" t="s">
        <v>1829</v>
      </c>
      <c r="J223" s="15">
        <v>44721</v>
      </c>
      <c r="K223" t="s">
        <v>2434</v>
      </c>
      <c r="L223" t="s">
        <v>51</v>
      </c>
      <c r="M223" t="s">
        <v>52</v>
      </c>
      <c r="N223" t="s">
        <v>53</v>
      </c>
      <c r="O223" t="s">
        <v>2435</v>
      </c>
      <c r="P223" t="s">
        <v>2494</v>
      </c>
      <c r="Q223" t="s">
        <v>56</v>
      </c>
      <c r="R223" s="21" t="s">
        <v>2495</v>
      </c>
      <c r="S223" s="21"/>
      <c r="T223" t="s">
        <v>2574</v>
      </c>
      <c r="U223" t="s">
        <v>2575</v>
      </c>
      <c r="Y223" t="s">
        <v>1832</v>
      </c>
      <c r="AA223" s="15"/>
      <c r="AC223">
        <v>40.706792</v>
      </c>
      <c r="AD223">
        <v>-91.790750000000003</v>
      </c>
      <c r="AE223" t="s">
        <v>2576</v>
      </c>
      <c r="AH223" t="s">
        <v>1715</v>
      </c>
      <c r="AI223" t="s">
        <v>63</v>
      </c>
      <c r="AJ223" t="s">
        <v>2577</v>
      </c>
      <c r="AK223">
        <v>194516</v>
      </c>
      <c r="AM223" t="s">
        <v>2578</v>
      </c>
      <c r="AN223" t="s">
        <v>2579</v>
      </c>
      <c r="AO223" t="s">
        <v>2580</v>
      </c>
      <c r="AP223" t="s">
        <v>68</v>
      </c>
      <c r="AR223" t="s">
        <v>2581</v>
      </c>
      <c r="AS223" t="s">
        <v>2582</v>
      </c>
      <c r="AT223" t="s">
        <v>2583</v>
      </c>
      <c r="AW223" s="14" t="s">
        <v>72</v>
      </c>
      <c r="AX223" s="14" t="s">
        <v>73</v>
      </c>
      <c r="AY223" s="14" t="s">
        <v>74</v>
      </c>
    </row>
    <row r="224" spans="1:51" ht="15" customHeight="1" x14ac:dyDescent="0.4">
      <c r="A224" s="12">
        <v>3554</v>
      </c>
      <c r="B224" s="21" t="s">
        <v>2584</v>
      </c>
      <c r="C224" s="13" t="s">
        <v>2585</v>
      </c>
      <c r="D224" s="25" t="s">
        <v>2585</v>
      </c>
      <c r="E224" s="13"/>
      <c r="F224" s="41"/>
      <c r="G224" s="41"/>
      <c r="H224" s="41"/>
      <c r="I224" s="14" t="s">
        <v>49</v>
      </c>
      <c r="J224" s="15">
        <v>44721</v>
      </c>
      <c r="K224" t="s">
        <v>2434</v>
      </c>
      <c r="L224" t="s">
        <v>51</v>
      </c>
      <c r="M224" t="s">
        <v>52</v>
      </c>
      <c r="N224" t="s">
        <v>53</v>
      </c>
      <c r="O224" t="s">
        <v>2435</v>
      </c>
      <c r="P224" t="s">
        <v>2494</v>
      </c>
      <c r="Q224" t="s">
        <v>56</v>
      </c>
      <c r="R224" s="21" t="s">
        <v>2495</v>
      </c>
      <c r="S224" s="21"/>
      <c r="T224" t="s">
        <v>2586</v>
      </c>
      <c r="U224" t="s">
        <v>2587</v>
      </c>
      <c r="Y224" t="s">
        <v>60</v>
      </c>
      <c r="AA224" s="15"/>
      <c r="AC224">
        <v>40.707563999999998</v>
      </c>
      <c r="AD224">
        <v>-91.792401999999996</v>
      </c>
      <c r="AE224" t="s">
        <v>2541</v>
      </c>
      <c r="AH224" t="s">
        <v>1715</v>
      </c>
      <c r="AI224" t="s">
        <v>63</v>
      </c>
      <c r="AJ224" t="s">
        <v>2588</v>
      </c>
      <c r="AK224">
        <v>194194</v>
      </c>
      <c r="AM224" t="s">
        <v>2589</v>
      </c>
      <c r="AN224" t="s">
        <v>2590</v>
      </c>
      <c r="AO224" t="s">
        <v>2591</v>
      </c>
      <c r="AP224" t="s">
        <v>68</v>
      </c>
      <c r="AR224" t="s">
        <v>2592</v>
      </c>
      <c r="AS224" t="s">
        <v>2593</v>
      </c>
      <c r="AT224" t="s">
        <v>2594</v>
      </c>
      <c r="AW224" s="14" t="s">
        <v>72</v>
      </c>
      <c r="AX224" s="14" t="s">
        <v>73</v>
      </c>
      <c r="AY224" s="14" t="s">
        <v>74</v>
      </c>
    </row>
    <row r="225" spans="1:51" ht="15" customHeight="1" x14ac:dyDescent="0.4">
      <c r="A225" s="12">
        <v>3555</v>
      </c>
      <c r="B225" s="21" t="s">
        <v>2595</v>
      </c>
      <c r="C225" s="13" t="s">
        <v>2596</v>
      </c>
      <c r="D225" s="25" t="s">
        <v>2596</v>
      </c>
      <c r="E225" s="13"/>
      <c r="F225" s="41"/>
      <c r="G225" s="41"/>
      <c r="H225" s="41"/>
      <c r="I225" s="14" t="s">
        <v>49</v>
      </c>
      <c r="J225" s="15">
        <v>44721</v>
      </c>
      <c r="K225" t="s">
        <v>2434</v>
      </c>
      <c r="L225" t="s">
        <v>51</v>
      </c>
      <c r="M225" t="s">
        <v>52</v>
      </c>
      <c r="N225" t="s">
        <v>53</v>
      </c>
      <c r="O225" t="s">
        <v>2435</v>
      </c>
      <c r="P225" t="s">
        <v>2494</v>
      </c>
      <c r="Q225" t="s">
        <v>56</v>
      </c>
      <c r="R225" s="21" t="s">
        <v>2495</v>
      </c>
      <c r="S225" s="21"/>
      <c r="T225" t="s">
        <v>2597</v>
      </c>
      <c r="U225" t="s">
        <v>2598</v>
      </c>
      <c r="Y225" t="s">
        <v>60</v>
      </c>
      <c r="AA225" s="15"/>
      <c r="AC225">
        <v>40.707349999999998</v>
      </c>
      <c r="AD225">
        <v>-91.793153000000004</v>
      </c>
      <c r="AE225" t="s">
        <v>1856</v>
      </c>
      <c r="AH225" t="s">
        <v>1715</v>
      </c>
      <c r="AI225" t="s">
        <v>63</v>
      </c>
      <c r="AJ225" t="s">
        <v>2599</v>
      </c>
      <c r="AK225">
        <v>194195</v>
      </c>
      <c r="AM225" t="s">
        <v>2600</v>
      </c>
      <c r="AN225" t="s">
        <v>2601</v>
      </c>
      <c r="AO225" t="s">
        <v>2602</v>
      </c>
      <c r="AP225" t="s">
        <v>68</v>
      </c>
      <c r="AR225" t="s">
        <v>2603</v>
      </c>
      <c r="AS225" t="s">
        <v>2604</v>
      </c>
      <c r="AT225" t="s">
        <v>2605</v>
      </c>
      <c r="AW225" s="14" t="s">
        <v>72</v>
      </c>
      <c r="AX225" s="14" t="s">
        <v>73</v>
      </c>
      <c r="AY225" s="14" t="s">
        <v>74</v>
      </c>
    </row>
    <row r="226" spans="1:51" ht="15" customHeight="1" x14ac:dyDescent="0.4">
      <c r="A226" s="12">
        <v>3556</v>
      </c>
      <c r="B226" s="21" t="s">
        <v>2606</v>
      </c>
      <c r="C226" s="13" t="s">
        <v>2607</v>
      </c>
      <c r="D226" s="25" t="s">
        <v>2607</v>
      </c>
      <c r="E226" s="13"/>
      <c r="F226" s="41"/>
      <c r="G226" s="41"/>
      <c r="H226" s="41"/>
      <c r="I226" s="14" t="s">
        <v>1878</v>
      </c>
      <c r="J226" s="15">
        <v>44721</v>
      </c>
      <c r="K226" t="s">
        <v>2434</v>
      </c>
      <c r="L226" t="s">
        <v>51</v>
      </c>
      <c r="M226" t="s">
        <v>52</v>
      </c>
      <c r="N226" t="s">
        <v>53</v>
      </c>
      <c r="O226" t="s">
        <v>2435</v>
      </c>
      <c r="P226" t="s">
        <v>2494</v>
      </c>
      <c r="Q226" t="s">
        <v>56</v>
      </c>
      <c r="R226" s="21" t="s">
        <v>2495</v>
      </c>
      <c r="S226" s="21"/>
      <c r="T226" t="s">
        <v>2608</v>
      </c>
      <c r="U226" t="s">
        <v>2609</v>
      </c>
      <c r="Y226" t="s">
        <v>1881</v>
      </c>
      <c r="AA226" s="15"/>
      <c r="AC226">
        <v>40.706727999999998</v>
      </c>
      <c r="AD226">
        <v>-91.793217999999996</v>
      </c>
      <c r="AE226" t="s">
        <v>2564</v>
      </c>
      <c r="AH226" t="s">
        <v>1715</v>
      </c>
      <c r="AI226" t="s">
        <v>63</v>
      </c>
      <c r="AJ226" t="s">
        <v>2610</v>
      </c>
      <c r="AK226">
        <v>193757</v>
      </c>
      <c r="AM226" t="s">
        <v>2611</v>
      </c>
      <c r="AN226" t="s">
        <v>2612</v>
      </c>
      <c r="AO226" t="s">
        <v>2613</v>
      </c>
      <c r="AP226" t="s">
        <v>68</v>
      </c>
      <c r="AR226" t="s">
        <v>2614</v>
      </c>
      <c r="AS226" t="s">
        <v>2615</v>
      </c>
      <c r="AT226" t="s">
        <v>2616</v>
      </c>
      <c r="AW226" s="14" t="s">
        <v>72</v>
      </c>
      <c r="AX226" s="14" t="s">
        <v>73</v>
      </c>
      <c r="AY226" s="14" t="s">
        <v>1723</v>
      </c>
    </row>
    <row r="227" spans="1:51" ht="15" customHeight="1" x14ac:dyDescent="0.4">
      <c r="A227" s="12">
        <v>3557</v>
      </c>
      <c r="B227" s="21" t="s">
        <v>2617</v>
      </c>
      <c r="C227" s="13" t="s">
        <v>2618</v>
      </c>
      <c r="D227" s="25" t="s">
        <v>2618</v>
      </c>
      <c r="E227" s="13"/>
      <c r="F227" s="41"/>
      <c r="G227" s="41"/>
      <c r="H227" s="41"/>
      <c r="I227" s="14" t="s">
        <v>1829</v>
      </c>
      <c r="J227" s="15">
        <v>44721</v>
      </c>
      <c r="K227" t="s">
        <v>2434</v>
      </c>
      <c r="L227" t="s">
        <v>51</v>
      </c>
      <c r="M227" t="s">
        <v>52</v>
      </c>
      <c r="N227" t="s">
        <v>53</v>
      </c>
      <c r="O227" t="s">
        <v>2435</v>
      </c>
      <c r="P227" t="s">
        <v>2494</v>
      </c>
      <c r="Q227" t="s">
        <v>56</v>
      </c>
      <c r="R227" s="21" t="s">
        <v>2495</v>
      </c>
      <c r="S227" s="21"/>
      <c r="T227" t="s">
        <v>2619</v>
      </c>
      <c r="U227" t="s">
        <v>2620</v>
      </c>
      <c r="Y227" t="s">
        <v>1832</v>
      </c>
      <c r="AA227" s="15"/>
      <c r="AC227">
        <v>40.706856000000002</v>
      </c>
      <c r="AD227">
        <v>-91.793689999999998</v>
      </c>
      <c r="AE227" t="s">
        <v>2541</v>
      </c>
      <c r="AH227" t="s">
        <v>1715</v>
      </c>
      <c r="AI227" t="s">
        <v>63</v>
      </c>
      <c r="AJ227" t="s">
        <v>2621</v>
      </c>
      <c r="AK227">
        <v>194517</v>
      </c>
      <c r="AM227" t="s">
        <v>2622</v>
      </c>
      <c r="AN227" t="s">
        <v>2623</v>
      </c>
      <c r="AO227" t="s">
        <v>2624</v>
      </c>
      <c r="AP227" t="s">
        <v>68</v>
      </c>
      <c r="AR227" t="s">
        <v>2625</v>
      </c>
      <c r="AS227" t="s">
        <v>2626</v>
      </c>
      <c r="AT227" t="s">
        <v>2627</v>
      </c>
      <c r="AW227" s="14" t="s">
        <v>72</v>
      </c>
      <c r="AX227" s="14" t="s">
        <v>73</v>
      </c>
      <c r="AY227" s="14" t="s">
        <v>74</v>
      </c>
    </row>
    <row r="228" spans="1:51" ht="15" customHeight="1" x14ac:dyDescent="0.4">
      <c r="A228" s="12">
        <v>3558</v>
      </c>
      <c r="B228" s="21" t="s">
        <v>2628</v>
      </c>
      <c r="C228" s="13" t="s">
        <v>2629</v>
      </c>
      <c r="D228" s="25" t="s">
        <v>2629</v>
      </c>
      <c r="E228" s="13"/>
      <c r="F228" s="41" t="s">
        <v>1829</v>
      </c>
      <c r="G228" s="41"/>
      <c r="H228" s="41"/>
      <c r="I228" s="14" t="s">
        <v>2222</v>
      </c>
      <c r="J228" s="15">
        <v>44721</v>
      </c>
      <c r="K228" t="s">
        <v>2434</v>
      </c>
      <c r="L228" t="s">
        <v>51</v>
      </c>
      <c r="M228" t="s">
        <v>52</v>
      </c>
      <c r="N228" t="s">
        <v>53</v>
      </c>
      <c r="O228" t="s">
        <v>2435</v>
      </c>
      <c r="P228" t="s">
        <v>2494</v>
      </c>
      <c r="Q228" t="s">
        <v>56</v>
      </c>
      <c r="R228" s="21" t="s">
        <v>2495</v>
      </c>
      <c r="S228" s="21"/>
      <c r="T228" t="s">
        <v>2619</v>
      </c>
      <c r="U228" t="s">
        <v>2630</v>
      </c>
      <c r="Y228" t="s">
        <v>2225</v>
      </c>
      <c r="AA228" s="15"/>
      <c r="AC228">
        <v>40.704425000000001</v>
      </c>
      <c r="AD228">
        <v>-91.796592000000004</v>
      </c>
      <c r="AE228" t="s">
        <v>2631</v>
      </c>
      <c r="AH228" t="s">
        <v>1715</v>
      </c>
      <c r="AI228" t="s">
        <v>63</v>
      </c>
      <c r="AJ228" t="s">
        <v>2632</v>
      </c>
      <c r="AK228">
        <v>192674</v>
      </c>
      <c r="AM228" t="s">
        <v>2633</v>
      </c>
      <c r="AN228" t="s">
        <v>2634</v>
      </c>
      <c r="AO228" t="s">
        <v>2635</v>
      </c>
      <c r="AP228" t="s">
        <v>68</v>
      </c>
      <c r="AR228" t="s">
        <v>2636</v>
      </c>
      <c r="AS228" t="s">
        <v>2637</v>
      </c>
      <c r="AT228" t="s">
        <v>2638</v>
      </c>
      <c r="AW228" s="14" t="s">
        <v>72</v>
      </c>
      <c r="AX228" s="14" t="s">
        <v>73</v>
      </c>
      <c r="AY228" s="14" t="s">
        <v>74</v>
      </c>
    </row>
    <row r="229" spans="1:51" ht="15" customHeight="1" x14ac:dyDescent="0.4">
      <c r="A229" s="12">
        <v>3559</v>
      </c>
      <c r="B229" s="21" t="s">
        <v>2639</v>
      </c>
      <c r="C229" s="13" t="s">
        <v>2640</v>
      </c>
      <c r="D229" s="25" t="s">
        <v>2640</v>
      </c>
      <c r="E229" s="13"/>
      <c r="F229" s="41"/>
      <c r="G229" s="41"/>
      <c r="H229" s="41"/>
      <c r="I229" s="14" t="s">
        <v>2222</v>
      </c>
      <c r="J229" s="15">
        <v>44721</v>
      </c>
      <c r="K229" t="s">
        <v>2434</v>
      </c>
      <c r="L229" t="s">
        <v>51</v>
      </c>
      <c r="M229" t="s">
        <v>52</v>
      </c>
      <c r="N229" t="s">
        <v>53</v>
      </c>
      <c r="O229" t="s">
        <v>2435</v>
      </c>
      <c r="P229" t="s">
        <v>2494</v>
      </c>
      <c r="Q229" t="s">
        <v>56</v>
      </c>
      <c r="R229" s="21" t="s">
        <v>2495</v>
      </c>
      <c r="S229" s="21"/>
      <c r="T229" t="s">
        <v>2619</v>
      </c>
      <c r="U229" t="s">
        <v>2641</v>
      </c>
      <c r="Y229" t="s">
        <v>2225</v>
      </c>
      <c r="AA229" s="15"/>
      <c r="AC229">
        <v>40.703988000000003</v>
      </c>
      <c r="AD229">
        <v>-91.796583999999996</v>
      </c>
      <c r="AE229" t="s">
        <v>2576</v>
      </c>
      <c r="AH229" t="s">
        <v>1715</v>
      </c>
      <c r="AI229" t="s">
        <v>63</v>
      </c>
      <c r="AJ229" t="s">
        <v>2642</v>
      </c>
      <c r="AK229">
        <v>192662</v>
      </c>
      <c r="AM229" t="s">
        <v>2643</v>
      </c>
      <c r="AN229" t="s">
        <v>2644</v>
      </c>
      <c r="AO229" t="s">
        <v>2645</v>
      </c>
      <c r="AP229" t="s">
        <v>68</v>
      </c>
      <c r="AR229" t="s">
        <v>2646</v>
      </c>
      <c r="AS229" t="s">
        <v>2647</v>
      </c>
      <c r="AT229" t="s">
        <v>2648</v>
      </c>
      <c r="AW229" s="14" t="s">
        <v>72</v>
      </c>
      <c r="AX229" s="14" t="s">
        <v>73</v>
      </c>
      <c r="AY229" s="14" t="s">
        <v>74</v>
      </c>
    </row>
    <row r="230" spans="1:51" ht="15" customHeight="1" x14ac:dyDescent="0.4">
      <c r="A230" s="12">
        <v>3560</v>
      </c>
      <c r="B230" s="21" t="s">
        <v>2649</v>
      </c>
      <c r="C230" s="13" t="s">
        <v>2650</v>
      </c>
      <c r="D230" s="25" t="s">
        <v>2650</v>
      </c>
      <c r="E230" s="13"/>
      <c r="F230" s="41"/>
      <c r="G230" s="41"/>
      <c r="H230" s="41"/>
      <c r="I230" s="14" t="s">
        <v>2222</v>
      </c>
      <c r="J230" s="15">
        <v>44721</v>
      </c>
      <c r="K230" t="s">
        <v>2434</v>
      </c>
      <c r="L230" t="s">
        <v>51</v>
      </c>
      <c r="M230" t="s">
        <v>52</v>
      </c>
      <c r="N230" t="s">
        <v>53</v>
      </c>
      <c r="O230" t="s">
        <v>2435</v>
      </c>
      <c r="P230" t="s">
        <v>2494</v>
      </c>
      <c r="Q230" t="s">
        <v>56</v>
      </c>
      <c r="R230" s="21" t="s">
        <v>2495</v>
      </c>
      <c r="S230" s="21"/>
      <c r="T230" t="s">
        <v>2651</v>
      </c>
      <c r="U230" t="s">
        <v>2652</v>
      </c>
      <c r="X230" t="s">
        <v>1758</v>
      </c>
      <c r="Y230" t="s">
        <v>2225</v>
      </c>
      <c r="AA230" s="15"/>
      <c r="AC230">
        <v>40.703502</v>
      </c>
      <c r="AD230">
        <v>-91.796851000000004</v>
      </c>
      <c r="AE230" t="s">
        <v>2576</v>
      </c>
      <c r="AH230" t="s">
        <v>1715</v>
      </c>
      <c r="AI230" t="s">
        <v>63</v>
      </c>
      <c r="AJ230" t="s">
        <v>2653</v>
      </c>
      <c r="AK230">
        <v>192655</v>
      </c>
      <c r="AM230" t="s">
        <v>2654</v>
      </c>
      <c r="AN230" t="s">
        <v>2655</v>
      </c>
      <c r="AO230" t="s">
        <v>2656</v>
      </c>
      <c r="AP230" t="s">
        <v>68</v>
      </c>
      <c r="AR230" t="s">
        <v>2657</v>
      </c>
      <c r="AS230" t="s">
        <v>2658</v>
      </c>
      <c r="AT230" t="s">
        <v>2659</v>
      </c>
      <c r="AW230" s="14" t="s">
        <v>72</v>
      </c>
      <c r="AX230" s="14" t="s">
        <v>73</v>
      </c>
      <c r="AY230" s="14" t="s">
        <v>74</v>
      </c>
    </row>
    <row r="231" spans="1:51" ht="15" customHeight="1" x14ac:dyDescent="0.4">
      <c r="A231" s="12">
        <v>3561</v>
      </c>
      <c r="B231" s="21" t="s">
        <v>2660</v>
      </c>
      <c r="C231" s="13" t="s">
        <v>2661</v>
      </c>
      <c r="D231" s="25" t="s">
        <v>2661</v>
      </c>
      <c r="E231" s="13"/>
      <c r="F231" s="41"/>
      <c r="G231" s="41"/>
      <c r="H231" s="41"/>
      <c r="I231" s="14" t="s">
        <v>49</v>
      </c>
      <c r="J231" s="15">
        <v>44721</v>
      </c>
      <c r="K231" t="s">
        <v>2434</v>
      </c>
      <c r="L231" t="s">
        <v>51</v>
      </c>
      <c r="M231" t="s">
        <v>52</v>
      </c>
      <c r="N231" t="s">
        <v>53</v>
      </c>
      <c r="O231" t="s">
        <v>2435</v>
      </c>
      <c r="P231" t="s">
        <v>2662</v>
      </c>
      <c r="Q231" t="s">
        <v>56</v>
      </c>
      <c r="R231" s="21" t="s">
        <v>2663</v>
      </c>
      <c r="S231" s="21"/>
      <c r="T231" t="s">
        <v>2664</v>
      </c>
      <c r="U231" t="s">
        <v>2665</v>
      </c>
      <c r="X231" t="s">
        <v>2666</v>
      </c>
      <c r="Y231" t="s">
        <v>60</v>
      </c>
      <c r="AA231" s="15"/>
      <c r="AC231">
        <v>41.9747171319</v>
      </c>
      <c r="AD231">
        <v>-91.721692700000006</v>
      </c>
      <c r="AH231" t="s">
        <v>1715</v>
      </c>
      <c r="AI231" t="s">
        <v>63</v>
      </c>
      <c r="AJ231" t="s">
        <v>2667</v>
      </c>
      <c r="AK231">
        <v>194196</v>
      </c>
      <c r="AM231" t="s">
        <v>2668</v>
      </c>
      <c r="AN231" t="s">
        <v>2669</v>
      </c>
      <c r="AO231" t="s">
        <v>2670</v>
      </c>
      <c r="AP231" t="s">
        <v>68</v>
      </c>
      <c r="AR231" t="s">
        <v>2671</v>
      </c>
      <c r="AS231" t="s">
        <v>2672</v>
      </c>
      <c r="AT231" t="s">
        <v>2673</v>
      </c>
      <c r="AW231" s="14" t="s">
        <v>72</v>
      </c>
      <c r="AX231" s="14" t="s">
        <v>73</v>
      </c>
      <c r="AY231" s="14" t="s">
        <v>74</v>
      </c>
    </row>
    <row r="232" spans="1:51" ht="15" customHeight="1" x14ac:dyDescent="0.4">
      <c r="A232" s="12">
        <v>3562</v>
      </c>
      <c r="B232" s="21" t="s">
        <v>2674</v>
      </c>
      <c r="C232" s="13" t="s">
        <v>2675</v>
      </c>
      <c r="D232" s="25" t="s">
        <v>2675</v>
      </c>
      <c r="E232" s="13"/>
      <c r="F232" s="41"/>
      <c r="G232" s="41"/>
      <c r="H232" s="41"/>
      <c r="I232" s="14" t="s">
        <v>49</v>
      </c>
      <c r="J232" s="15">
        <v>44721</v>
      </c>
      <c r="K232" t="s">
        <v>2434</v>
      </c>
      <c r="L232" t="s">
        <v>51</v>
      </c>
      <c r="M232" t="s">
        <v>52</v>
      </c>
      <c r="N232" t="s">
        <v>53</v>
      </c>
      <c r="O232" t="s">
        <v>2435</v>
      </c>
      <c r="P232" t="s">
        <v>2662</v>
      </c>
      <c r="Q232" t="s">
        <v>56</v>
      </c>
      <c r="R232" s="21" t="s">
        <v>2663</v>
      </c>
      <c r="S232" s="21"/>
      <c r="T232" t="s">
        <v>2676</v>
      </c>
      <c r="U232" t="s">
        <v>2677</v>
      </c>
      <c r="X232" t="s">
        <v>2666</v>
      </c>
      <c r="Y232" t="s">
        <v>60</v>
      </c>
      <c r="AA232" s="15"/>
      <c r="AC232">
        <v>41.973659062599999</v>
      </c>
      <c r="AD232">
        <v>-91.725383465099995</v>
      </c>
      <c r="AH232" t="s">
        <v>1715</v>
      </c>
      <c r="AI232" t="s">
        <v>63</v>
      </c>
      <c r="AJ232" t="s">
        <v>2678</v>
      </c>
      <c r="AK232">
        <v>194197</v>
      </c>
      <c r="AM232" t="s">
        <v>2679</v>
      </c>
      <c r="AN232" t="s">
        <v>2680</v>
      </c>
      <c r="AO232" t="s">
        <v>2681</v>
      </c>
      <c r="AP232" t="s">
        <v>68</v>
      </c>
      <c r="AR232" t="s">
        <v>2682</v>
      </c>
      <c r="AS232" t="s">
        <v>2683</v>
      </c>
      <c r="AT232" t="s">
        <v>2684</v>
      </c>
      <c r="AW232" s="14" t="s">
        <v>72</v>
      </c>
      <c r="AX232" s="14" t="s">
        <v>73</v>
      </c>
      <c r="AY232" s="14" t="s">
        <v>74</v>
      </c>
    </row>
    <row r="233" spans="1:51" ht="15" customHeight="1" x14ac:dyDescent="0.4">
      <c r="A233" s="12">
        <v>3563</v>
      </c>
      <c r="B233" s="21" t="s">
        <v>2685</v>
      </c>
      <c r="C233" s="13" t="s">
        <v>2686</v>
      </c>
      <c r="D233" s="25" t="s">
        <v>2686</v>
      </c>
      <c r="E233" s="13"/>
      <c r="F233" s="41" t="s">
        <v>2222</v>
      </c>
      <c r="G233" s="41" t="s">
        <v>8102</v>
      </c>
      <c r="H233" s="41"/>
      <c r="I233" s="14" t="s">
        <v>2222</v>
      </c>
      <c r="J233" s="15">
        <v>44721</v>
      </c>
      <c r="K233" t="s">
        <v>2434</v>
      </c>
      <c r="L233" t="s">
        <v>51</v>
      </c>
      <c r="M233" t="s">
        <v>52</v>
      </c>
      <c r="N233" t="s">
        <v>53</v>
      </c>
      <c r="O233" t="s">
        <v>2435</v>
      </c>
      <c r="P233" t="s">
        <v>2662</v>
      </c>
      <c r="Q233" t="s">
        <v>56</v>
      </c>
      <c r="R233" s="21" t="s">
        <v>2663</v>
      </c>
      <c r="S233" s="21"/>
      <c r="T233" t="s">
        <v>2676</v>
      </c>
      <c r="U233" t="s">
        <v>2687</v>
      </c>
      <c r="X233" t="s">
        <v>1758</v>
      </c>
      <c r="Y233" t="s">
        <v>2225</v>
      </c>
      <c r="AA233" s="15"/>
      <c r="AC233">
        <v>41.973334453100001</v>
      </c>
      <c r="AD233">
        <v>-91.724763996999997</v>
      </c>
      <c r="AH233" t="s">
        <v>1715</v>
      </c>
      <c r="AI233" t="s">
        <v>63</v>
      </c>
      <c r="AJ233" t="s">
        <v>2688</v>
      </c>
      <c r="AK233">
        <v>192564</v>
      </c>
      <c r="AM233" t="s">
        <v>2689</v>
      </c>
      <c r="AN233" t="s">
        <v>2690</v>
      </c>
      <c r="AO233" t="s">
        <v>2691</v>
      </c>
      <c r="AP233" t="s">
        <v>68</v>
      </c>
      <c r="AR233" t="s">
        <v>2692</v>
      </c>
      <c r="AS233" t="s">
        <v>2693</v>
      </c>
      <c r="AT233" t="s">
        <v>2694</v>
      </c>
      <c r="AW233" s="14" t="s">
        <v>72</v>
      </c>
      <c r="AX233" s="14" t="s">
        <v>73</v>
      </c>
      <c r="AY233" s="14" t="s">
        <v>74</v>
      </c>
    </row>
    <row r="234" spans="1:51" ht="15" customHeight="1" x14ac:dyDescent="0.4">
      <c r="A234" s="12">
        <v>3564</v>
      </c>
      <c r="B234" s="21" t="s">
        <v>2695</v>
      </c>
      <c r="C234" s="13" t="s">
        <v>2696</v>
      </c>
      <c r="D234" s="25" t="s">
        <v>2696</v>
      </c>
      <c r="E234" s="13"/>
      <c r="F234" s="41"/>
      <c r="G234" s="41"/>
      <c r="H234" s="41"/>
      <c r="I234" s="14" t="s">
        <v>49</v>
      </c>
      <c r="J234" s="15">
        <v>44721</v>
      </c>
      <c r="K234" t="s">
        <v>2434</v>
      </c>
      <c r="L234" t="s">
        <v>51</v>
      </c>
      <c r="M234" t="s">
        <v>52</v>
      </c>
      <c r="N234" t="s">
        <v>53</v>
      </c>
      <c r="O234" t="s">
        <v>2435</v>
      </c>
      <c r="P234" t="s">
        <v>2662</v>
      </c>
      <c r="Q234" t="s">
        <v>56</v>
      </c>
      <c r="R234" s="21" t="s">
        <v>2663</v>
      </c>
      <c r="S234" s="21"/>
      <c r="T234" t="s">
        <v>2697</v>
      </c>
      <c r="U234" t="s">
        <v>2698</v>
      </c>
      <c r="Y234" t="s">
        <v>60</v>
      </c>
      <c r="AA234" s="15"/>
      <c r="AC234">
        <v>41.973905999999999</v>
      </c>
      <c r="AD234">
        <v>-91.722928999999993</v>
      </c>
      <c r="AE234" t="s">
        <v>1087</v>
      </c>
      <c r="AH234" t="s">
        <v>1715</v>
      </c>
      <c r="AI234" t="s">
        <v>63</v>
      </c>
      <c r="AJ234" t="s">
        <v>2699</v>
      </c>
      <c r="AK234">
        <v>194198</v>
      </c>
      <c r="AM234" t="s">
        <v>2700</v>
      </c>
      <c r="AN234" t="s">
        <v>2701</v>
      </c>
      <c r="AO234" t="s">
        <v>2702</v>
      </c>
      <c r="AP234" t="s">
        <v>68</v>
      </c>
      <c r="AR234" t="s">
        <v>2703</v>
      </c>
      <c r="AS234" t="s">
        <v>2704</v>
      </c>
      <c r="AT234" t="s">
        <v>2705</v>
      </c>
      <c r="AW234" s="14" t="s">
        <v>72</v>
      </c>
      <c r="AX234" s="14" t="s">
        <v>73</v>
      </c>
      <c r="AY234" s="14" t="s">
        <v>74</v>
      </c>
    </row>
    <row r="235" spans="1:51" ht="15" customHeight="1" x14ac:dyDescent="0.4">
      <c r="A235" s="12">
        <v>3565</v>
      </c>
      <c r="B235" s="21" t="s">
        <v>2706</v>
      </c>
      <c r="C235" s="13" t="s">
        <v>2707</v>
      </c>
      <c r="D235" s="25" t="s">
        <v>2707</v>
      </c>
      <c r="E235" s="13"/>
      <c r="F235" s="41"/>
      <c r="G235" s="41"/>
      <c r="H235" s="41"/>
      <c r="I235" s="14" t="s">
        <v>49</v>
      </c>
      <c r="J235" s="15">
        <v>44721</v>
      </c>
      <c r="K235" t="s">
        <v>2434</v>
      </c>
      <c r="L235" t="s">
        <v>51</v>
      </c>
      <c r="M235" t="s">
        <v>52</v>
      </c>
      <c r="N235" t="s">
        <v>53</v>
      </c>
      <c r="O235" t="s">
        <v>2435</v>
      </c>
      <c r="P235" t="s">
        <v>2662</v>
      </c>
      <c r="Q235" t="s">
        <v>56</v>
      </c>
      <c r="R235" s="21" t="s">
        <v>2663</v>
      </c>
      <c r="S235" s="21"/>
      <c r="T235" t="s">
        <v>2697</v>
      </c>
      <c r="U235" t="s">
        <v>2708</v>
      </c>
      <c r="X235" t="s">
        <v>2321</v>
      </c>
      <c r="Y235" t="s">
        <v>60</v>
      </c>
      <c r="AA235" s="15"/>
      <c r="AC235">
        <v>41.983480999999998</v>
      </c>
      <c r="AD235">
        <v>-91.797434999999993</v>
      </c>
      <c r="AE235" t="s">
        <v>2709</v>
      </c>
      <c r="AH235" t="s">
        <v>1715</v>
      </c>
      <c r="AI235" t="s">
        <v>63</v>
      </c>
      <c r="AJ235" t="s">
        <v>2710</v>
      </c>
      <c r="AK235">
        <v>194199</v>
      </c>
      <c r="AM235" t="s">
        <v>2711</v>
      </c>
      <c r="AN235" t="s">
        <v>2712</v>
      </c>
      <c r="AO235" t="s">
        <v>2713</v>
      </c>
      <c r="AP235" t="s">
        <v>68</v>
      </c>
      <c r="AR235" t="s">
        <v>2714</v>
      </c>
      <c r="AS235" t="s">
        <v>2715</v>
      </c>
      <c r="AT235" t="s">
        <v>2716</v>
      </c>
      <c r="AW235" s="14" t="s">
        <v>72</v>
      </c>
      <c r="AX235" s="14" t="s">
        <v>73</v>
      </c>
      <c r="AY235" s="14" t="s">
        <v>74</v>
      </c>
    </row>
    <row r="236" spans="1:51" ht="15" customHeight="1" x14ac:dyDescent="0.4">
      <c r="A236" s="12">
        <v>3566</v>
      </c>
      <c r="B236" s="21" t="s">
        <v>2717</v>
      </c>
      <c r="C236" s="13" t="s">
        <v>2718</v>
      </c>
      <c r="D236" s="25" t="s">
        <v>2718</v>
      </c>
      <c r="E236" s="13"/>
      <c r="F236" s="41"/>
      <c r="G236" s="41"/>
      <c r="H236" s="41"/>
      <c r="I236" s="14" t="s">
        <v>49</v>
      </c>
      <c r="J236" s="15">
        <v>44732</v>
      </c>
      <c r="K236" t="s">
        <v>2719</v>
      </c>
      <c r="L236" t="s">
        <v>51</v>
      </c>
      <c r="M236" t="s">
        <v>52</v>
      </c>
      <c r="N236" t="s">
        <v>53</v>
      </c>
      <c r="O236" t="s">
        <v>175</v>
      </c>
      <c r="P236" t="s">
        <v>2720</v>
      </c>
      <c r="Q236" t="s">
        <v>56</v>
      </c>
      <c r="R236" s="21" t="s">
        <v>2721</v>
      </c>
      <c r="S236" s="21"/>
      <c r="T236" t="s">
        <v>2722</v>
      </c>
      <c r="U236" t="s">
        <v>2723</v>
      </c>
      <c r="Y236" t="s">
        <v>60</v>
      </c>
      <c r="AA236" s="15"/>
      <c r="AC236">
        <v>38.545696999999997</v>
      </c>
      <c r="AD236">
        <v>-90.535657</v>
      </c>
      <c r="AE236" t="s">
        <v>2724</v>
      </c>
      <c r="AH236" t="s">
        <v>1715</v>
      </c>
      <c r="AI236" t="s">
        <v>63</v>
      </c>
      <c r="AJ236" t="s">
        <v>2725</v>
      </c>
      <c r="AK236">
        <v>192542</v>
      </c>
      <c r="AM236" t="s">
        <v>2726</v>
      </c>
      <c r="AN236" t="s">
        <v>2727</v>
      </c>
      <c r="AO236" t="s">
        <v>2728</v>
      </c>
      <c r="AP236" t="s">
        <v>68</v>
      </c>
      <c r="AR236" t="s">
        <v>2729</v>
      </c>
      <c r="AS236" t="s">
        <v>2730</v>
      </c>
      <c r="AT236" t="s">
        <v>2731</v>
      </c>
      <c r="AW236" s="14" t="s">
        <v>72</v>
      </c>
      <c r="AX236" s="14" t="s">
        <v>73</v>
      </c>
      <c r="AY236" s="14" t="s">
        <v>74</v>
      </c>
    </row>
    <row r="237" spans="1:51" ht="15" customHeight="1" x14ac:dyDescent="0.4">
      <c r="A237" s="12">
        <v>3567</v>
      </c>
      <c r="B237" s="21" t="s">
        <v>2732</v>
      </c>
      <c r="C237" s="13" t="s">
        <v>2733</v>
      </c>
      <c r="D237" s="25" t="s">
        <v>2733</v>
      </c>
      <c r="E237" s="13"/>
      <c r="F237" s="41"/>
      <c r="G237" s="41"/>
      <c r="H237" s="41"/>
      <c r="I237" s="14" t="s">
        <v>49</v>
      </c>
      <c r="J237" s="15">
        <v>44732</v>
      </c>
      <c r="K237" t="s">
        <v>2719</v>
      </c>
      <c r="L237" t="s">
        <v>51</v>
      </c>
      <c r="M237" t="s">
        <v>52</v>
      </c>
      <c r="N237" t="s">
        <v>53</v>
      </c>
      <c r="O237" t="s">
        <v>175</v>
      </c>
      <c r="P237" t="s">
        <v>2720</v>
      </c>
      <c r="Q237" t="s">
        <v>56</v>
      </c>
      <c r="R237" s="21" t="s">
        <v>2721</v>
      </c>
      <c r="S237" s="21"/>
      <c r="T237" t="s">
        <v>2734</v>
      </c>
      <c r="U237" t="s">
        <v>2735</v>
      </c>
      <c r="Y237" t="s">
        <v>60</v>
      </c>
      <c r="AA237" s="15"/>
      <c r="AC237">
        <v>38.546835000000002</v>
      </c>
      <c r="AD237">
        <v>-90.537024000000002</v>
      </c>
      <c r="AE237" t="s">
        <v>2736</v>
      </c>
      <c r="AH237" t="s">
        <v>1715</v>
      </c>
      <c r="AI237" t="s">
        <v>63</v>
      </c>
      <c r="AJ237" t="s">
        <v>2737</v>
      </c>
      <c r="AK237">
        <v>194183</v>
      </c>
      <c r="AM237" t="s">
        <v>2738</v>
      </c>
      <c r="AN237" t="s">
        <v>2739</v>
      </c>
      <c r="AO237" t="s">
        <v>2740</v>
      </c>
      <c r="AP237" t="s">
        <v>68</v>
      </c>
      <c r="AR237" t="s">
        <v>2741</v>
      </c>
      <c r="AS237" t="s">
        <v>2742</v>
      </c>
      <c r="AT237" t="s">
        <v>2743</v>
      </c>
      <c r="AW237" s="14" t="s">
        <v>72</v>
      </c>
      <c r="AX237" s="14" t="s">
        <v>73</v>
      </c>
      <c r="AY237" s="14" t="s">
        <v>74</v>
      </c>
    </row>
    <row r="238" spans="1:51" ht="15" customHeight="1" x14ac:dyDescent="0.4">
      <c r="A238" s="12">
        <v>3568</v>
      </c>
      <c r="B238" s="21" t="s">
        <v>2744</v>
      </c>
      <c r="C238" s="13" t="s">
        <v>2745</v>
      </c>
      <c r="D238" s="25" t="s">
        <v>2745</v>
      </c>
      <c r="E238" s="13"/>
      <c r="F238" s="41"/>
      <c r="G238" s="41"/>
      <c r="H238" s="41"/>
      <c r="I238" s="14" t="s">
        <v>49</v>
      </c>
      <c r="J238" s="15">
        <v>44732</v>
      </c>
      <c r="K238" t="s">
        <v>2719</v>
      </c>
      <c r="L238" t="s">
        <v>51</v>
      </c>
      <c r="M238" t="s">
        <v>52</v>
      </c>
      <c r="N238" t="s">
        <v>53</v>
      </c>
      <c r="O238" t="s">
        <v>175</v>
      </c>
      <c r="P238" t="s">
        <v>2720</v>
      </c>
      <c r="Q238" t="s">
        <v>56</v>
      </c>
      <c r="R238" s="21" t="s">
        <v>2721</v>
      </c>
      <c r="S238" s="21"/>
      <c r="T238" t="s">
        <v>2746</v>
      </c>
      <c r="U238" t="s">
        <v>2747</v>
      </c>
      <c r="X238" t="s">
        <v>1758</v>
      </c>
      <c r="Y238" t="s">
        <v>60</v>
      </c>
      <c r="AA238" s="15"/>
      <c r="AC238">
        <v>38.547165999999997</v>
      </c>
      <c r="AD238">
        <v>-90.536985999999999</v>
      </c>
      <c r="AE238" t="s">
        <v>2748</v>
      </c>
      <c r="AH238" t="s">
        <v>1715</v>
      </c>
      <c r="AI238" t="s">
        <v>63</v>
      </c>
      <c r="AJ238" t="s">
        <v>2749</v>
      </c>
      <c r="AK238">
        <v>194184</v>
      </c>
      <c r="AM238" t="s">
        <v>2750</v>
      </c>
      <c r="AN238" t="s">
        <v>2751</v>
      </c>
      <c r="AO238" t="s">
        <v>2752</v>
      </c>
      <c r="AP238" t="s">
        <v>68</v>
      </c>
      <c r="AR238" t="s">
        <v>2753</v>
      </c>
      <c r="AS238" t="s">
        <v>2754</v>
      </c>
      <c r="AT238" t="s">
        <v>2755</v>
      </c>
      <c r="AW238" s="14" t="s">
        <v>72</v>
      </c>
      <c r="AX238" s="14" t="s">
        <v>73</v>
      </c>
      <c r="AY238" s="14" t="s">
        <v>74</v>
      </c>
    </row>
    <row r="239" spans="1:51" ht="15" customHeight="1" x14ac:dyDescent="0.4">
      <c r="A239" s="12">
        <v>3569</v>
      </c>
      <c r="B239" s="21" t="s">
        <v>2756</v>
      </c>
      <c r="C239" s="13" t="s">
        <v>2757</v>
      </c>
      <c r="D239" s="25" t="s">
        <v>2757</v>
      </c>
      <c r="E239" s="13"/>
      <c r="F239" s="41"/>
      <c r="G239" s="41"/>
      <c r="H239" s="41"/>
      <c r="I239" s="14" t="s">
        <v>1752</v>
      </c>
      <c r="J239" s="15">
        <v>44733</v>
      </c>
      <c r="K239" t="s">
        <v>2758</v>
      </c>
      <c r="L239" t="s">
        <v>51</v>
      </c>
      <c r="M239" t="s">
        <v>52</v>
      </c>
      <c r="N239" t="s">
        <v>53</v>
      </c>
      <c r="O239" t="s">
        <v>175</v>
      </c>
      <c r="P239" t="s">
        <v>2720</v>
      </c>
      <c r="Q239" t="s">
        <v>56</v>
      </c>
      <c r="R239" s="21" t="s">
        <v>2759</v>
      </c>
      <c r="S239" s="21"/>
      <c r="T239" t="s">
        <v>2760</v>
      </c>
      <c r="U239" t="s">
        <v>2761</v>
      </c>
      <c r="Y239" t="s">
        <v>1759</v>
      </c>
      <c r="AA239" s="15"/>
      <c r="AC239">
        <v>38.512087999999999</v>
      </c>
      <c r="AD239">
        <v>-90.575698000000003</v>
      </c>
      <c r="AE239" t="s">
        <v>793</v>
      </c>
      <c r="AH239" t="s">
        <v>1715</v>
      </c>
      <c r="AI239" t="s">
        <v>63</v>
      </c>
      <c r="AJ239" t="s">
        <v>2762</v>
      </c>
      <c r="AK239">
        <v>193532</v>
      </c>
      <c r="AM239" t="s">
        <v>2763</v>
      </c>
      <c r="AN239" t="s">
        <v>2764</v>
      </c>
      <c r="AO239" t="s">
        <v>2765</v>
      </c>
      <c r="AP239" t="s">
        <v>68</v>
      </c>
      <c r="AR239" t="s">
        <v>2766</v>
      </c>
      <c r="AS239" t="s">
        <v>2767</v>
      </c>
      <c r="AT239" t="s">
        <v>2768</v>
      </c>
      <c r="AW239" s="14" t="s">
        <v>72</v>
      </c>
      <c r="AX239" s="14" t="s">
        <v>73</v>
      </c>
      <c r="AY239" s="14" t="s">
        <v>1768</v>
      </c>
    </row>
    <row r="240" spans="1:51" ht="15" customHeight="1" x14ac:dyDescent="0.4">
      <c r="A240" s="12">
        <v>3570</v>
      </c>
      <c r="B240" s="21" t="s">
        <v>2769</v>
      </c>
      <c r="C240" s="13" t="s">
        <v>2770</v>
      </c>
      <c r="D240" s="25" t="s">
        <v>2770</v>
      </c>
      <c r="E240" s="13"/>
      <c r="F240" s="41"/>
      <c r="G240" s="41"/>
      <c r="H240" s="41"/>
      <c r="I240" s="14" t="s">
        <v>1829</v>
      </c>
      <c r="J240" s="15">
        <v>44733</v>
      </c>
      <c r="K240" t="s">
        <v>2758</v>
      </c>
      <c r="L240" t="s">
        <v>51</v>
      </c>
      <c r="M240" t="s">
        <v>52</v>
      </c>
      <c r="N240" t="s">
        <v>53</v>
      </c>
      <c r="O240" t="s">
        <v>175</v>
      </c>
      <c r="P240" t="s">
        <v>2720</v>
      </c>
      <c r="Q240" t="s">
        <v>56</v>
      </c>
      <c r="R240" s="21" t="s">
        <v>2759</v>
      </c>
      <c r="S240" s="21"/>
      <c r="T240" t="s">
        <v>2771</v>
      </c>
      <c r="U240" t="s">
        <v>2772</v>
      </c>
      <c r="X240" t="s">
        <v>2440</v>
      </c>
      <c r="Y240" t="s">
        <v>1832</v>
      </c>
      <c r="AA240" s="15"/>
      <c r="AC240">
        <v>38.512208999999999</v>
      </c>
      <c r="AD240">
        <v>-90.576047000000003</v>
      </c>
      <c r="AE240" t="s">
        <v>2773</v>
      </c>
      <c r="AH240" t="s">
        <v>1715</v>
      </c>
      <c r="AI240" t="s">
        <v>63</v>
      </c>
      <c r="AJ240" t="s">
        <v>2774</v>
      </c>
      <c r="AK240">
        <v>194518</v>
      </c>
      <c r="AM240" t="s">
        <v>2775</v>
      </c>
      <c r="AN240" t="s">
        <v>2776</v>
      </c>
      <c r="AO240" t="s">
        <v>2777</v>
      </c>
      <c r="AP240" t="s">
        <v>68</v>
      </c>
      <c r="AR240" t="s">
        <v>2778</v>
      </c>
      <c r="AS240" t="s">
        <v>2779</v>
      </c>
      <c r="AT240" t="s">
        <v>2780</v>
      </c>
      <c r="AW240" s="14" t="s">
        <v>72</v>
      </c>
      <c r="AX240" s="14" t="s">
        <v>73</v>
      </c>
      <c r="AY240" s="14" t="s">
        <v>74</v>
      </c>
    </row>
    <row r="241" spans="1:51" ht="15" customHeight="1" x14ac:dyDescent="0.4">
      <c r="A241" s="12">
        <v>3571</v>
      </c>
      <c r="B241" s="21" t="s">
        <v>2781</v>
      </c>
      <c r="C241" s="13" t="s">
        <v>2782</v>
      </c>
      <c r="D241" s="25" t="s">
        <v>2782</v>
      </c>
      <c r="E241" s="13"/>
      <c r="F241" s="41"/>
      <c r="G241" s="41"/>
      <c r="H241" s="41"/>
      <c r="I241" s="14" t="s">
        <v>1878</v>
      </c>
      <c r="J241" s="15">
        <v>44733</v>
      </c>
      <c r="K241" t="s">
        <v>2758</v>
      </c>
      <c r="L241" t="s">
        <v>51</v>
      </c>
      <c r="M241" t="s">
        <v>52</v>
      </c>
      <c r="N241" t="s">
        <v>53</v>
      </c>
      <c r="O241" t="s">
        <v>175</v>
      </c>
      <c r="P241" t="s">
        <v>2720</v>
      </c>
      <c r="Q241" t="s">
        <v>56</v>
      </c>
      <c r="R241" s="21" t="s">
        <v>2759</v>
      </c>
      <c r="S241" s="21"/>
      <c r="T241" t="s">
        <v>2783</v>
      </c>
      <c r="U241" t="s">
        <v>2784</v>
      </c>
      <c r="X241" t="s">
        <v>2440</v>
      </c>
      <c r="Y241" t="s">
        <v>1881</v>
      </c>
      <c r="AA241" s="15"/>
      <c r="AC241">
        <v>38.512383999999997</v>
      </c>
      <c r="AD241">
        <v>-90.575894000000005</v>
      </c>
      <c r="AE241" t="s">
        <v>2785</v>
      </c>
      <c r="AH241" t="s">
        <v>1715</v>
      </c>
      <c r="AI241" t="s">
        <v>63</v>
      </c>
      <c r="AJ241" t="s">
        <v>2786</v>
      </c>
      <c r="AK241">
        <v>193758</v>
      </c>
      <c r="AM241" t="s">
        <v>2787</v>
      </c>
      <c r="AN241" t="s">
        <v>2788</v>
      </c>
      <c r="AO241" t="s">
        <v>2789</v>
      </c>
      <c r="AP241" t="s">
        <v>68</v>
      </c>
      <c r="AR241" t="s">
        <v>2790</v>
      </c>
      <c r="AS241" t="s">
        <v>2791</v>
      </c>
      <c r="AT241" t="s">
        <v>2792</v>
      </c>
      <c r="AW241" s="14" t="s">
        <v>72</v>
      </c>
      <c r="AX241" s="14" t="s">
        <v>73</v>
      </c>
      <c r="AY241" s="14" t="s">
        <v>1723</v>
      </c>
    </row>
    <row r="242" spans="1:51" ht="15" customHeight="1" x14ac:dyDescent="0.4">
      <c r="A242" s="12">
        <v>3572</v>
      </c>
      <c r="B242" s="21" t="s">
        <v>2793</v>
      </c>
      <c r="C242" s="13" t="s">
        <v>2794</v>
      </c>
      <c r="D242" s="25" t="s">
        <v>2794</v>
      </c>
      <c r="E242" s="13"/>
      <c r="F242" s="41"/>
      <c r="G242" s="41"/>
      <c r="H242" s="41"/>
      <c r="I242" s="14" t="s">
        <v>1829</v>
      </c>
      <c r="J242" s="15">
        <v>44733</v>
      </c>
      <c r="K242" t="s">
        <v>2758</v>
      </c>
      <c r="L242" t="s">
        <v>51</v>
      </c>
      <c r="M242" t="s">
        <v>52</v>
      </c>
      <c r="N242" t="s">
        <v>53</v>
      </c>
      <c r="O242" t="s">
        <v>175</v>
      </c>
      <c r="P242" t="s">
        <v>2720</v>
      </c>
      <c r="Q242" t="s">
        <v>56</v>
      </c>
      <c r="R242" s="21" t="s">
        <v>2759</v>
      </c>
      <c r="S242" s="21"/>
      <c r="T242" t="s">
        <v>2795</v>
      </c>
      <c r="U242" t="s">
        <v>2796</v>
      </c>
      <c r="X242" t="s">
        <v>2440</v>
      </c>
      <c r="Y242" t="s">
        <v>1832</v>
      </c>
      <c r="AA242" s="15"/>
      <c r="AC242">
        <v>38.512354999999999</v>
      </c>
      <c r="AD242">
        <v>-90.576186000000007</v>
      </c>
      <c r="AE242" t="s">
        <v>2785</v>
      </c>
      <c r="AH242" t="s">
        <v>1715</v>
      </c>
      <c r="AI242" t="s">
        <v>63</v>
      </c>
      <c r="AJ242" t="s">
        <v>2797</v>
      </c>
      <c r="AK242">
        <v>194519</v>
      </c>
      <c r="AM242" t="s">
        <v>2798</v>
      </c>
      <c r="AN242" t="s">
        <v>2799</v>
      </c>
      <c r="AO242" t="s">
        <v>2800</v>
      </c>
      <c r="AP242" t="s">
        <v>68</v>
      </c>
      <c r="AR242" t="s">
        <v>2801</v>
      </c>
      <c r="AS242" t="s">
        <v>2802</v>
      </c>
      <c r="AT242" t="s">
        <v>2803</v>
      </c>
      <c r="AW242" s="14" t="s">
        <v>72</v>
      </c>
      <c r="AX242" s="14" t="s">
        <v>73</v>
      </c>
      <c r="AY242" s="14" t="s">
        <v>74</v>
      </c>
    </row>
    <row r="243" spans="1:51" ht="15" customHeight="1" x14ac:dyDescent="0.4">
      <c r="A243" s="12">
        <v>3573</v>
      </c>
      <c r="B243" s="21" t="s">
        <v>2804</v>
      </c>
      <c r="C243" s="13" t="s">
        <v>2805</v>
      </c>
      <c r="D243" s="25" t="s">
        <v>2805</v>
      </c>
      <c r="E243" s="13"/>
      <c r="F243" s="41"/>
      <c r="G243" s="41"/>
      <c r="H243" s="41"/>
      <c r="I243" s="14" t="s">
        <v>1878</v>
      </c>
      <c r="J243" s="15">
        <v>44733</v>
      </c>
      <c r="K243" t="s">
        <v>2758</v>
      </c>
      <c r="L243" t="s">
        <v>51</v>
      </c>
      <c r="M243" t="s">
        <v>52</v>
      </c>
      <c r="N243" t="s">
        <v>53</v>
      </c>
      <c r="O243" t="s">
        <v>175</v>
      </c>
      <c r="P243" t="s">
        <v>2720</v>
      </c>
      <c r="Q243" t="s">
        <v>56</v>
      </c>
      <c r="R243" s="21" t="s">
        <v>2759</v>
      </c>
      <c r="S243" s="21"/>
      <c r="T243" t="s">
        <v>2806</v>
      </c>
      <c r="U243" t="s">
        <v>2807</v>
      </c>
      <c r="X243" t="s">
        <v>2440</v>
      </c>
      <c r="Y243" t="s">
        <v>1881</v>
      </c>
      <c r="AA243" s="15"/>
      <c r="AC243">
        <v>38.512345000000003</v>
      </c>
      <c r="AD243">
        <v>-90.576353999999995</v>
      </c>
      <c r="AE243" t="s">
        <v>2808</v>
      </c>
      <c r="AH243" t="s">
        <v>1715</v>
      </c>
      <c r="AI243" t="s">
        <v>63</v>
      </c>
      <c r="AJ243" t="s">
        <v>2809</v>
      </c>
      <c r="AK243">
        <v>193759</v>
      </c>
      <c r="AM243" t="s">
        <v>2810</v>
      </c>
      <c r="AN243" t="s">
        <v>2811</v>
      </c>
      <c r="AO243" t="s">
        <v>2812</v>
      </c>
      <c r="AP243" t="s">
        <v>68</v>
      </c>
      <c r="AR243" t="s">
        <v>2813</v>
      </c>
      <c r="AS243" t="s">
        <v>2814</v>
      </c>
      <c r="AT243" t="s">
        <v>2815</v>
      </c>
      <c r="AW243" s="14" t="s">
        <v>72</v>
      </c>
      <c r="AX243" s="14" t="s">
        <v>73</v>
      </c>
      <c r="AY243" s="14" t="s">
        <v>1723</v>
      </c>
    </row>
    <row r="244" spans="1:51" ht="15" customHeight="1" x14ac:dyDescent="0.4">
      <c r="A244" s="12">
        <v>3574</v>
      </c>
      <c r="B244" s="21" t="s">
        <v>2816</v>
      </c>
      <c r="C244" s="13" t="s">
        <v>2817</v>
      </c>
      <c r="D244" s="25" t="s">
        <v>2817</v>
      </c>
      <c r="E244" s="13"/>
      <c r="F244" s="41"/>
      <c r="G244" s="41"/>
      <c r="H244" s="41"/>
      <c r="I244" s="14" t="s">
        <v>1752</v>
      </c>
      <c r="J244" s="15">
        <v>44733</v>
      </c>
      <c r="K244" t="s">
        <v>2758</v>
      </c>
      <c r="L244" t="s">
        <v>51</v>
      </c>
      <c r="M244" t="s">
        <v>52</v>
      </c>
      <c r="N244" t="s">
        <v>53</v>
      </c>
      <c r="O244" t="s">
        <v>175</v>
      </c>
      <c r="P244" t="s">
        <v>2720</v>
      </c>
      <c r="Q244" t="s">
        <v>56</v>
      </c>
      <c r="R244" s="21" t="s">
        <v>2759</v>
      </c>
      <c r="S244" s="21"/>
      <c r="T244" t="s">
        <v>2818</v>
      </c>
      <c r="U244" t="s">
        <v>2819</v>
      </c>
      <c r="X244" t="s">
        <v>2820</v>
      </c>
      <c r="Y244" t="s">
        <v>1759</v>
      </c>
      <c r="AA244" s="15"/>
      <c r="AC244">
        <v>38.512487</v>
      </c>
      <c r="AD244">
        <v>-90.576479000000006</v>
      </c>
      <c r="AE244" t="s">
        <v>2821</v>
      </c>
      <c r="AH244" t="s">
        <v>1715</v>
      </c>
      <c r="AI244" t="s">
        <v>63</v>
      </c>
      <c r="AJ244" t="s">
        <v>2822</v>
      </c>
      <c r="AK244">
        <v>193533</v>
      </c>
      <c r="AM244" t="s">
        <v>2823</v>
      </c>
      <c r="AN244" t="s">
        <v>2824</v>
      </c>
      <c r="AO244" t="s">
        <v>2825</v>
      </c>
      <c r="AP244" t="s">
        <v>68</v>
      </c>
      <c r="AR244" t="s">
        <v>2826</v>
      </c>
      <c r="AS244" t="s">
        <v>2827</v>
      </c>
      <c r="AT244" t="s">
        <v>2828</v>
      </c>
      <c r="AW244" s="14" t="s">
        <v>72</v>
      </c>
      <c r="AX244" s="14" t="s">
        <v>73</v>
      </c>
      <c r="AY244" s="14" t="s">
        <v>1768</v>
      </c>
    </row>
    <row r="245" spans="1:51" ht="15" customHeight="1" x14ac:dyDescent="0.4">
      <c r="A245" s="12">
        <v>3575</v>
      </c>
      <c r="B245" s="21" t="s">
        <v>2829</v>
      </c>
      <c r="C245" s="13" t="s">
        <v>2830</v>
      </c>
      <c r="D245" s="25" t="s">
        <v>2830</v>
      </c>
      <c r="E245" s="13"/>
      <c r="F245" s="41"/>
      <c r="G245" s="41"/>
      <c r="H245" s="41"/>
      <c r="I245" s="14" t="s">
        <v>1829</v>
      </c>
      <c r="J245" s="15">
        <v>44733</v>
      </c>
      <c r="K245" t="s">
        <v>2758</v>
      </c>
      <c r="L245" t="s">
        <v>51</v>
      </c>
      <c r="M245" t="s">
        <v>52</v>
      </c>
      <c r="N245" t="s">
        <v>53</v>
      </c>
      <c r="O245" t="s">
        <v>175</v>
      </c>
      <c r="P245" t="s">
        <v>2720</v>
      </c>
      <c r="Q245" t="s">
        <v>56</v>
      </c>
      <c r="R245" s="21" t="s">
        <v>2759</v>
      </c>
      <c r="S245" s="21"/>
      <c r="T245" t="s">
        <v>2831</v>
      </c>
      <c r="U245" t="s">
        <v>2832</v>
      </c>
      <c r="Y245" t="s">
        <v>1832</v>
      </c>
      <c r="AA245" s="15"/>
      <c r="AC245">
        <v>38.511719999999997</v>
      </c>
      <c r="AD245">
        <v>-90.575335999999993</v>
      </c>
      <c r="AE245" t="s">
        <v>1856</v>
      </c>
      <c r="AH245" t="s">
        <v>1715</v>
      </c>
      <c r="AI245" t="s">
        <v>63</v>
      </c>
      <c r="AJ245" t="s">
        <v>2833</v>
      </c>
      <c r="AK245">
        <v>194520</v>
      </c>
      <c r="AM245" t="s">
        <v>2834</v>
      </c>
      <c r="AN245" t="s">
        <v>2835</v>
      </c>
      <c r="AO245" t="s">
        <v>2836</v>
      </c>
      <c r="AP245" t="s">
        <v>68</v>
      </c>
      <c r="AR245" t="s">
        <v>2837</v>
      </c>
      <c r="AS245" t="s">
        <v>2838</v>
      </c>
      <c r="AT245" t="s">
        <v>2839</v>
      </c>
      <c r="AW245" s="14" t="s">
        <v>72</v>
      </c>
      <c r="AX245" s="14" t="s">
        <v>73</v>
      </c>
      <c r="AY245" s="14" t="s">
        <v>74</v>
      </c>
    </row>
    <row r="246" spans="1:51" ht="15" customHeight="1" x14ac:dyDescent="0.4">
      <c r="A246" s="12">
        <v>3576</v>
      </c>
      <c r="B246" s="21" t="s">
        <v>2840</v>
      </c>
      <c r="C246" s="13" t="s">
        <v>2841</v>
      </c>
      <c r="D246" s="25" t="s">
        <v>2841</v>
      </c>
      <c r="E246" s="13"/>
      <c r="F246" s="41"/>
      <c r="G246" s="41"/>
      <c r="H246" s="41"/>
      <c r="I246" s="14" t="s">
        <v>1829</v>
      </c>
      <c r="J246" s="15">
        <v>44733</v>
      </c>
      <c r="K246" t="s">
        <v>2758</v>
      </c>
      <c r="L246" t="s">
        <v>51</v>
      </c>
      <c r="M246" t="s">
        <v>52</v>
      </c>
      <c r="N246" t="s">
        <v>53</v>
      </c>
      <c r="O246" t="s">
        <v>175</v>
      </c>
      <c r="P246" t="s">
        <v>2720</v>
      </c>
      <c r="Q246" t="s">
        <v>56</v>
      </c>
      <c r="R246" s="21" t="s">
        <v>2759</v>
      </c>
      <c r="S246" s="21"/>
      <c r="T246" t="s">
        <v>2842</v>
      </c>
      <c r="U246" t="s">
        <v>2843</v>
      </c>
      <c r="X246" t="s">
        <v>2440</v>
      </c>
      <c r="Y246" t="s">
        <v>1832</v>
      </c>
      <c r="AA246" s="15"/>
      <c r="AC246">
        <v>38.511583999999999</v>
      </c>
      <c r="AD246">
        <v>-90.574960000000004</v>
      </c>
      <c r="AE246" t="s">
        <v>1856</v>
      </c>
      <c r="AH246" t="s">
        <v>1715</v>
      </c>
      <c r="AI246" t="s">
        <v>63</v>
      </c>
      <c r="AJ246" t="s">
        <v>2844</v>
      </c>
      <c r="AK246">
        <v>194423</v>
      </c>
      <c r="AM246" t="s">
        <v>2845</v>
      </c>
      <c r="AN246" t="s">
        <v>2846</v>
      </c>
      <c r="AO246" t="s">
        <v>2847</v>
      </c>
      <c r="AP246" t="s">
        <v>68</v>
      </c>
      <c r="AR246" t="s">
        <v>2848</v>
      </c>
      <c r="AS246" t="s">
        <v>2849</v>
      </c>
      <c r="AT246" t="s">
        <v>2850</v>
      </c>
      <c r="AW246" s="14" t="s">
        <v>72</v>
      </c>
      <c r="AX246" s="14" t="s">
        <v>73</v>
      </c>
      <c r="AY246" s="14" t="s">
        <v>74</v>
      </c>
    </row>
    <row r="247" spans="1:51" ht="15" customHeight="1" x14ac:dyDescent="0.4">
      <c r="A247" s="12">
        <v>3577</v>
      </c>
      <c r="B247" s="21" t="s">
        <v>2851</v>
      </c>
      <c r="C247" s="13" t="s">
        <v>2852</v>
      </c>
      <c r="D247" s="25" t="s">
        <v>2852</v>
      </c>
      <c r="E247" s="13"/>
      <c r="F247" s="41"/>
      <c r="G247" s="41"/>
      <c r="H247" s="41"/>
      <c r="I247" s="14" t="s">
        <v>1752</v>
      </c>
      <c r="J247" s="15">
        <v>44733</v>
      </c>
      <c r="K247" t="s">
        <v>2758</v>
      </c>
      <c r="L247" t="s">
        <v>51</v>
      </c>
      <c r="M247" t="s">
        <v>52</v>
      </c>
      <c r="N247" t="s">
        <v>53</v>
      </c>
      <c r="O247" t="s">
        <v>175</v>
      </c>
      <c r="P247" t="s">
        <v>2720</v>
      </c>
      <c r="Q247" t="s">
        <v>56</v>
      </c>
      <c r="R247" s="21" t="s">
        <v>2759</v>
      </c>
      <c r="S247" s="21"/>
      <c r="T247" t="s">
        <v>2853</v>
      </c>
      <c r="U247" t="s">
        <v>2854</v>
      </c>
      <c r="X247" t="s">
        <v>2440</v>
      </c>
      <c r="Y247" t="s">
        <v>1759</v>
      </c>
      <c r="AA247" s="15"/>
      <c r="AC247">
        <v>38.513753000000001</v>
      </c>
      <c r="AD247">
        <v>-90.557106000000005</v>
      </c>
      <c r="AE247" t="s">
        <v>2855</v>
      </c>
      <c r="AH247" t="s">
        <v>1715</v>
      </c>
      <c r="AI247" t="s">
        <v>63</v>
      </c>
      <c r="AJ247" t="s">
        <v>2856</v>
      </c>
      <c r="AK247">
        <v>193534</v>
      </c>
      <c r="AM247" t="s">
        <v>2857</v>
      </c>
      <c r="AN247" t="s">
        <v>2858</v>
      </c>
      <c r="AO247" t="s">
        <v>2859</v>
      </c>
      <c r="AP247" t="s">
        <v>68</v>
      </c>
      <c r="AR247" t="s">
        <v>2860</v>
      </c>
      <c r="AS247" t="s">
        <v>2861</v>
      </c>
      <c r="AT247" t="s">
        <v>2862</v>
      </c>
      <c r="AW247" s="14" t="s">
        <v>72</v>
      </c>
      <c r="AX247" s="14" t="s">
        <v>73</v>
      </c>
      <c r="AY247" s="14" t="s">
        <v>1768</v>
      </c>
    </row>
    <row r="248" spans="1:51" ht="15" customHeight="1" x14ac:dyDescent="0.4">
      <c r="A248" s="12">
        <v>3578</v>
      </c>
      <c r="B248" s="21" t="s">
        <v>2863</v>
      </c>
      <c r="C248" s="13" t="s">
        <v>2864</v>
      </c>
      <c r="D248" s="25" t="s">
        <v>2864</v>
      </c>
      <c r="E248" s="13"/>
      <c r="F248" s="41"/>
      <c r="G248" s="41"/>
      <c r="H248" s="41"/>
      <c r="I248" s="14" t="s">
        <v>1752</v>
      </c>
      <c r="J248" s="15">
        <v>44733</v>
      </c>
      <c r="K248" t="s">
        <v>2758</v>
      </c>
      <c r="L248" t="s">
        <v>51</v>
      </c>
      <c r="M248" t="s">
        <v>52</v>
      </c>
      <c r="N248" t="s">
        <v>53</v>
      </c>
      <c r="O248" t="s">
        <v>175</v>
      </c>
      <c r="P248" t="s">
        <v>2720</v>
      </c>
      <c r="Q248" t="s">
        <v>56</v>
      </c>
      <c r="R248" s="21" t="s">
        <v>2759</v>
      </c>
      <c r="S248" s="21"/>
      <c r="T248" t="s">
        <v>2865</v>
      </c>
      <c r="U248" t="s">
        <v>2866</v>
      </c>
      <c r="X248" t="s">
        <v>2440</v>
      </c>
      <c r="Y248" t="s">
        <v>1759</v>
      </c>
      <c r="AA248" s="15"/>
      <c r="AC248">
        <v>38.514397000000002</v>
      </c>
      <c r="AD248">
        <v>-90.555689000000001</v>
      </c>
      <c r="AE248" t="s">
        <v>491</v>
      </c>
      <c r="AH248" t="s">
        <v>1715</v>
      </c>
      <c r="AI248" t="s">
        <v>63</v>
      </c>
      <c r="AJ248" t="s">
        <v>2867</v>
      </c>
      <c r="AK248">
        <v>193535</v>
      </c>
      <c r="AM248" t="s">
        <v>2868</v>
      </c>
      <c r="AN248" t="s">
        <v>2869</v>
      </c>
      <c r="AO248" t="s">
        <v>2870</v>
      </c>
      <c r="AP248" t="s">
        <v>68</v>
      </c>
      <c r="AR248" t="s">
        <v>2871</v>
      </c>
      <c r="AS248" t="s">
        <v>2872</v>
      </c>
      <c r="AT248" t="s">
        <v>2873</v>
      </c>
      <c r="AW248" s="14" t="s">
        <v>72</v>
      </c>
      <c r="AX248" s="14" t="s">
        <v>73</v>
      </c>
      <c r="AY248" s="14" t="s">
        <v>1768</v>
      </c>
    </row>
    <row r="249" spans="1:51" ht="15" customHeight="1" x14ac:dyDescent="0.4">
      <c r="A249" s="12">
        <v>3579</v>
      </c>
      <c r="B249" s="21" t="s">
        <v>2874</v>
      </c>
      <c r="C249" s="13" t="s">
        <v>2875</v>
      </c>
      <c r="D249" s="25" t="s">
        <v>2875</v>
      </c>
      <c r="E249" s="13"/>
      <c r="F249" s="41"/>
      <c r="G249" s="41"/>
      <c r="H249" s="41"/>
      <c r="I249" s="14" t="s">
        <v>1829</v>
      </c>
      <c r="J249" s="15">
        <v>44733</v>
      </c>
      <c r="K249" t="s">
        <v>2758</v>
      </c>
      <c r="L249" t="s">
        <v>51</v>
      </c>
      <c r="M249" t="s">
        <v>52</v>
      </c>
      <c r="N249" t="s">
        <v>53</v>
      </c>
      <c r="O249" t="s">
        <v>175</v>
      </c>
      <c r="P249" t="s">
        <v>2720</v>
      </c>
      <c r="Q249" t="s">
        <v>56</v>
      </c>
      <c r="R249" s="21" t="s">
        <v>2759</v>
      </c>
      <c r="S249" s="21"/>
      <c r="T249" t="s">
        <v>2876</v>
      </c>
      <c r="U249" t="s">
        <v>2877</v>
      </c>
      <c r="Y249" t="s">
        <v>1832</v>
      </c>
      <c r="AA249" s="15"/>
      <c r="AC249">
        <v>38.514482999999998</v>
      </c>
      <c r="AD249">
        <v>-90.555689000000001</v>
      </c>
      <c r="AE249" t="s">
        <v>2878</v>
      </c>
      <c r="AH249" t="s">
        <v>1715</v>
      </c>
      <c r="AI249" t="s">
        <v>63</v>
      </c>
      <c r="AJ249" t="s">
        <v>2879</v>
      </c>
      <c r="AK249">
        <v>194424</v>
      </c>
      <c r="AM249" t="s">
        <v>2880</v>
      </c>
      <c r="AN249" t="s">
        <v>2881</v>
      </c>
      <c r="AO249" t="s">
        <v>2882</v>
      </c>
      <c r="AP249" t="s">
        <v>68</v>
      </c>
      <c r="AR249" t="s">
        <v>2883</v>
      </c>
      <c r="AS249" t="s">
        <v>2884</v>
      </c>
      <c r="AT249" t="s">
        <v>2885</v>
      </c>
      <c r="AW249" s="14" t="s">
        <v>72</v>
      </c>
      <c r="AX249" s="14" t="s">
        <v>73</v>
      </c>
      <c r="AY249" s="14" t="s">
        <v>74</v>
      </c>
    </row>
    <row r="250" spans="1:51" ht="15" customHeight="1" x14ac:dyDescent="0.4">
      <c r="A250" s="12">
        <v>3580</v>
      </c>
      <c r="B250" s="21" t="s">
        <v>2886</v>
      </c>
      <c r="C250" s="13" t="s">
        <v>2887</v>
      </c>
      <c r="D250" s="25" t="s">
        <v>2887</v>
      </c>
      <c r="E250" s="13"/>
      <c r="F250" s="41"/>
      <c r="G250" s="41"/>
      <c r="H250" s="41"/>
      <c r="I250" s="14" t="s">
        <v>1878</v>
      </c>
      <c r="J250" s="15">
        <v>44733</v>
      </c>
      <c r="K250" t="s">
        <v>2758</v>
      </c>
      <c r="L250" t="s">
        <v>51</v>
      </c>
      <c r="M250" t="s">
        <v>52</v>
      </c>
      <c r="N250" t="s">
        <v>53</v>
      </c>
      <c r="O250" t="s">
        <v>175</v>
      </c>
      <c r="P250" t="s">
        <v>2720</v>
      </c>
      <c r="Q250" t="s">
        <v>56</v>
      </c>
      <c r="R250" s="21" t="s">
        <v>2759</v>
      </c>
      <c r="S250" s="21"/>
      <c r="T250" t="s">
        <v>2888</v>
      </c>
      <c r="U250" t="s">
        <v>2889</v>
      </c>
      <c r="X250" t="s">
        <v>2440</v>
      </c>
      <c r="Y250" t="s">
        <v>1881</v>
      </c>
      <c r="AA250" s="15"/>
      <c r="AC250">
        <v>38.51341</v>
      </c>
      <c r="AD250">
        <v>-90.557620999999997</v>
      </c>
      <c r="AE250" t="s">
        <v>2890</v>
      </c>
      <c r="AH250" t="s">
        <v>1715</v>
      </c>
      <c r="AI250" t="s">
        <v>63</v>
      </c>
      <c r="AJ250" t="s">
        <v>2891</v>
      </c>
      <c r="AK250">
        <v>193912</v>
      </c>
      <c r="AM250" t="s">
        <v>2892</v>
      </c>
      <c r="AN250" t="s">
        <v>2893</v>
      </c>
      <c r="AO250" t="s">
        <v>2894</v>
      </c>
      <c r="AP250" t="s">
        <v>68</v>
      </c>
      <c r="AR250" t="s">
        <v>2895</v>
      </c>
      <c r="AS250" t="s">
        <v>2896</v>
      </c>
      <c r="AT250" t="s">
        <v>2897</v>
      </c>
      <c r="AW250" s="14" t="s">
        <v>72</v>
      </c>
      <c r="AX250" s="14" t="s">
        <v>73</v>
      </c>
      <c r="AY250" s="14" t="s">
        <v>1723</v>
      </c>
    </row>
    <row r="251" spans="1:51" ht="15" customHeight="1" x14ac:dyDescent="0.4">
      <c r="A251" s="12">
        <v>3581</v>
      </c>
      <c r="B251" s="21" t="s">
        <v>2898</v>
      </c>
      <c r="C251" s="13" t="s">
        <v>2899</v>
      </c>
      <c r="D251" s="25" t="s">
        <v>2899</v>
      </c>
      <c r="E251" s="13"/>
      <c r="F251" s="41"/>
      <c r="G251" s="41"/>
      <c r="H251" s="41"/>
      <c r="I251" s="14" t="s">
        <v>1752</v>
      </c>
      <c r="J251" s="15">
        <v>44733</v>
      </c>
      <c r="K251" t="s">
        <v>2758</v>
      </c>
      <c r="L251" t="s">
        <v>51</v>
      </c>
      <c r="M251" t="s">
        <v>52</v>
      </c>
      <c r="N251" t="s">
        <v>53</v>
      </c>
      <c r="O251" t="s">
        <v>175</v>
      </c>
      <c r="P251" t="s">
        <v>2720</v>
      </c>
      <c r="Q251" t="s">
        <v>56</v>
      </c>
      <c r="R251" s="21" t="s">
        <v>2759</v>
      </c>
      <c r="S251" s="21"/>
      <c r="T251" t="s">
        <v>2900</v>
      </c>
      <c r="U251" t="s">
        <v>2901</v>
      </c>
      <c r="X251" t="s">
        <v>2440</v>
      </c>
      <c r="Y251" t="s">
        <v>1759</v>
      </c>
      <c r="AA251" s="15"/>
      <c r="AC251">
        <v>38.512873999999996</v>
      </c>
      <c r="AD251">
        <v>-90.557406</v>
      </c>
      <c r="AE251" t="s">
        <v>2902</v>
      </c>
      <c r="AH251" t="s">
        <v>1715</v>
      </c>
      <c r="AI251" t="s">
        <v>63</v>
      </c>
      <c r="AJ251" t="s">
        <v>2903</v>
      </c>
      <c r="AK251">
        <v>193536</v>
      </c>
      <c r="AM251" t="s">
        <v>2904</v>
      </c>
      <c r="AN251" t="s">
        <v>2905</v>
      </c>
      <c r="AO251" t="s">
        <v>2906</v>
      </c>
      <c r="AP251" t="s">
        <v>68</v>
      </c>
      <c r="AR251" t="s">
        <v>2907</v>
      </c>
      <c r="AS251" t="s">
        <v>2908</v>
      </c>
      <c r="AT251" t="s">
        <v>2909</v>
      </c>
      <c r="AW251" s="14" t="s">
        <v>72</v>
      </c>
      <c r="AX251" s="14" t="s">
        <v>73</v>
      </c>
      <c r="AY251" s="14" t="s">
        <v>1768</v>
      </c>
    </row>
    <row r="252" spans="1:51" ht="15" customHeight="1" x14ac:dyDescent="0.4">
      <c r="A252" s="12">
        <v>3582</v>
      </c>
      <c r="B252" s="21" t="s">
        <v>2910</v>
      </c>
      <c r="C252" s="13" t="s">
        <v>2911</v>
      </c>
      <c r="D252" s="25" t="s">
        <v>2911</v>
      </c>
      <c r="E252" s="13"/>
      <c r="F252" s="41"/>
      <c r="G252" s="41"/>
      <c r="H252" s="41"/>
      <c r="I252" s="14" t="s">
        <v>1878</v>
      </c>
      <c r="J252" s="15">
        <v>44733</v>
      </c>
      <c r="K252" t="s">
        <v>2758</v>
      </c>
      <c r="L252" t="s">
        <v>51</v>
      </c>
      <c r="M252" t="s">
        <v>52</v>
      </c>
      <c r="N252" t="s">
        <v>53</v>
      </c>
      <c r="O252" t="s">
        <v>175</v>
      </c>
      <c r="P252" t="s">
        <v>2720</v>
      </c>
      <c r="Q252" t="s">
        <v>56</v>
      </c>
      <c r="R252" s="21" t="s">
        <v>2759</v>
      </c>
      <c r="S252" s="21"/>
      <c r="T252" t="s">
        <v>2912</v>
      </c>
      <c r="U252" t="s">
        <v>2913</v>
      </c>
      <c r="X252" t="s">
        <v>2440</v>
      </c>
      <c r="Y252" t="s">
        <v>1881</v>
      </c>
      <c r="AA252" s="15"/>
      <c r="AC252">
        <v>38.512509000000001</v>
      </c>
      <c r="AD252">
        <v>-90.557449000000005</v>
      </c>
      <c r="AE252" t="s">
        <v>2914</v>
      </c>
      <c r="AH252" t="s">
        <v>1715</v>
      </c>
      <c r="AI252" t="s">
        <v>63</v>
      </c>
      <c r="AJ252" t="s">
        <v>2915</v>
      </c>
      <c r="AK252">
        <v>193913</v>
      </c>
      <c r="AM252" t="s">
        <v>2916</v>
      </c>
      <c r="AN252" t="s">
        <v>2917</v>
      </c>
      <c r="AO252" t="s">
        <v>2918</v>
      </c>
      <c r="AP252" t="s">
        <v>68</v>
      </c>
      <c r="AR252" t="s">
        <v>2919</v>
      </c>
      <c r="AS252" t="s">
        <v>2920</v>
      </c>
      <c r="AT252" t="s">
        <v>2921</v>
      </c>
      <c r="AW252" s="14" t="s">
        <v>72</v>
      </c>
      <c r="AX252" s="14" t="s">
        <v>73</v>
      </c>
      <c r="AY252" s="14" t="s">
        <v>1723</v>
      </c>
    </row>
    <row r="253" spans="1:51" ht="15" customHeight="1" x14ac:dyDescent="0.4">
      <c r="A253" s="12">
        <v>3583</v>
      </c>
      <c r="B253" s="21" t="s">
        <v>2922</v>
      </c>
      <c r="C253" s="13" t="s">
        <v>2923</v>
      </c>
      <c r="D253" s="25" t="s">
        <v>2923</v>
      </c>
      <c r="E253" s="13"/>
      <c r="F253" s="41"/>
      <c r="G253" s="41"/>
      <c r="H253" s="41"/>
      <c r="I253" s="14" t="s">
        <v>1878</v>
      </c>
      <c r="J253" s="15">
        <v>44733</v>
      </c>
      <c r="K253" t="s">
        <v>2758</v>
      </c>
      <c r="L253" t="s">
        <v>51</v>
      </c>
      <c r="M253" t="s">
        <v>52</v>
      </c>
      <c r="N253" t="s">
        <v>53</v>
      </c>
      <c r="O253" t="s">
        <v>175</v>
      </c>
      <c r="P253" t="s">
        <v>2720</v>
      </c>
      <c r="Q253" t="s">
        <v>56</v>
      </c>
      <c r="R253" s="21" t="s">
        <v>2759</v>
      </c>
      <c r="S253" s="21"/>
      <c r="T253" t="s">
        <v>2924</v>
      </c>
      <c r="U253" t="s">
        <v>2925</v>
      </c>
      <c r="X253" t="s">
        <v>2440</v>
      </c>
      <c r="Y253" t="s">
        <v>1881</v>
      </c>
      <c r="AA253" s="15"/>
      <c r="AC253">
        <v>38.511951000000003</v>
      </c>
      <c r="AD253">
        <v>-90.558586000000005</v>
      </c>
      <c r="AE253" t="s">
        <v>2926</v>
      </c>
      <c r="AH253" t="s">
        <v>1715</v>
      </c>
      <c r="AI253" t="s">
        <v>63</v>
      </c>
      <c r="AJ253" t="s">
        <v>2927</v>
      </c>
      <c r="AK253">
        <v>193914</v>
      </c>
      <c r="AM253" t="s">
        <v>2928</v>
      </c>
      <c r="AN253" t="s">
        <v>2929</v>
      </c>
      <c r="AO253" t="s">
        <v>2930</v>
      </c>
      <c r="AP253" t="s">
        <v>68</v>
      </c>
      <c r="AR253" t="s">
        <v>2931</v>
      </c>
      <c r="AS253" t="s">
        <v>2932</v>
      </c>
      <c r="AT253" t="s">
        <v>2933</v>
      </c>
      <c r="AW253" s="14" t="s">
        <v>72</v>
      </c>
      <c r="AX253" s="14" t="s">
        <v>73</v>
      </c>
      <c r="AY253" s="14" t="s">
        <v>1723</v>
      </c>
    </row>
    <row r="254" spans="1:51" ht="15" customHeight="1" x14ac:dyDescent="0.4">
      <c r="A254" s="12">
        <v>3584</v>
      </c>
      <c r="B254" s="21" t="s">
        <v>2934</v>
      </c>
      <c r="C254" s="13" t="s">
        <v>2935</v>
      </c>
      <c r="D254" s="25" t="s">
        <v>2935</v>
      </c>
      <c r="E254" s="13"/>
      <c r="F254" s="41"/>
      <c r="G254" s="41"/>
      <c r="H254" s="41"/>
      <c r="I254" s="14" t="s">
        <v>49</v>
      </c>
      <c r="J254" s="15">
        <v>44734</v>
      </c>
      <c r="K254" t="s">
        <v>2719</v>
      </c>
      <c r="L254" t="s">
        <v>51</v>
      </c>
      <c r="M254" t="s">
        <v>52</v>
      </c>
      <c r="N254" t="s">
        <v>53</v>
      </c>
      <c r="O254" t="s">
        <v>175</v>
      </c>
      <c r="P254" t="s">
        <v>2936</v>
      </c>
      <c r="Q254" t="s">
        <v>56</v>
      </c>
      <c r="R254" s="21" t="s">
        <v>2937</v>
      </c>
      <c r="S254" s="21"/>
      <c r="T254" t="s">
        <v>2938</v>
      </c>
      <c r="U254" t="s">
        <v>2939</v>
      </c>
      <c r="X254" t="s">
        <v>2440</v>
      </c>
      <c r="Y254" t="s">
        <v>60</v>
      </c>
      <c r="AA254" s="15"/>
      <c r="AC254">
        <v>37.990282000000001</v>
      </c>
      <c r="AD254">
        <v>-92.774439000000001</v>
      </c>
      <c r="AH254" t="s">
        <v>1715</v>
      </c>
      <c r="AI254" t="s">
        <v>63</v>
      </c>
      <c r="AJ254" t="s">
        <v>2940</v>
      </c>
      <c r="AK254">
        <v>194185</v>
      </c>
      <c r="AM254" t="s">
        <v>2941</v>
      </c>
      <c r="AN254" t="s">
        <v>2942</v>
      </c>
      <c r="AO254" t="s">
        <v>2943</v>
      </c>
      <c r="AP254" t="s">
        <v>68</v>
      </c>
      <c r="AR254" t="s">
        <v>2944</v>
      </c>
      <c r="AS254" t="s">
        <v>2945</v>
      </c>
      <c r="AT254" t="s">
        <v>2946</v>
      </c>
      <c r="AW254" s="14" t="s">
        <v>72</v>
      </c>
      <c r="AX254" s="14" t="s">
        <v>73</v>
      </c>
      <c r="AY254" s="14" t="s">
        <v>74</v>
      </c>
    </row>
    <row r="255" spans="1:51" ht="15" customHeight="1" x14ac:dyDescent="0.4">
      <c r="A255" s="12">
        <v>3585</v>
      </c>
      <c r="B255" s="21" t="s">
        <v>2947</v>
      </c>
      <c r="C255" s="13" t="s">
        <v>2948</v>
      </c>
      <c r="D255" s="25" t="s">
        <v>2948</v>
      </c>
      <c r="E255" s="13"/>
      <c r="F255" s="41"/>
      <c r="G255" s="41"/>
      <c r="H255" s="41"/>
      <c r="I255" s="14" t="s">
        <v>1878</v>
      </c>
      <c r="J255" s="15">
        <v>44734</v>
      </c>
      <c r="K255" t="s">
        <v>2719</v>
      </c>
      <c r="L255" t="s">
        <v>51</v>
      </c>
      <c r="M255" t="s">
        <v>52</v>
      </c>
      <c r="N255" t="s">
        <v>53</v>
      </c>
      <c r="O255" t="s">
        <v>175</v>
      </c>
      <c r="P255" t="s">
        <v>2936</v>
      </c>
      <c r="Q255" t="s">
        <v>56</v>
      </c>
      <c r="R255" s="21" t="s">
        <v>2937</v>
      </c>
      <c r="S255" s="21"/>
      <c r="T255" t="s">
        <v>2949</v>
      </c>
      <c r="U255" t="s">
        <v>2950</v>
      </c>
      <c r="X255" t="s">
        <v>2951</v>
      </c>
      <c r="Y255" t="s">
        <v>1881</v>
      </c>
      <c r="AA255" s="15"/>
      <c r="AC255">
        <v>37.978319999999997</v>
      </c>
      <c r="AD255">
        <v>-92.768426000000005</v>
      </c>
      <c r="AE255" t="s">
        <v>2952</v>
      </c>
      <c r="AH255" t="s">
        <v>1715</v>
      </c>
      <c r="AI255" t="s">
        <v>63</v>
      </c>
      <c r="AJ255" t="s">
        <v>2953</v>
      </c>
      <c r="AK255">
        <v>193915</v>
      </c>
      <c r="AM255" t="s">
        <v>2954</v>
      </c>
      <c r="AN255" t="s">
        <v>2955</v>
      </c>
      <c r="AO255" t="s">
        <v>2956</v>
      </c>
      <c r="AP255" t="s">
        <v>68</v>
      </c>
      <c r="AR255" t="s">
        <v>2957</v>
      </c>
      <c r="AS255" t="s">
        <v>2958</v>
      </c>
      <c r="AT255" t="s">
        <v>2959</v>
      </c>
      <c r="AW255" s="14" t="s">
        <v>72</v>
      </c>
      <c r="AX255" s="14" t="s">
        <v>73</v>
      </c>
      <c r="AY255" s="14" t="s">
        <v>1723</v>
      </c>
    </row>
    <row r="256" spans="1:51" ht="15" customHeight="1" x14ac:dyDescent="0.4">
      <c r="A256" s="12">
        <v>3586</v>
      </c>
      <c r="B256" s="21" t="s">
        <v>2960</v>
      </c>
      <c r="C256" s="13" t="s">
        <v>2961</v>
      </c>
      <c r="D256" s="25" t="s">
        <v>2961</v>
      </c>
      <c r="E256" s="13"/>
      <c r="F256" s="41"/>
      <c r="G256" s="41"/>
      <c r="H256" s="41"/>
      <c r="I256" s="14" t="s">
        <v>1752</v>
      </c>
      <c r="J256" s="15">
        <v>44734</v>
      </c>
      <c r="K256" t="s">
        <v>2719</v>
      </c>
      <c r="L256" t="s">
        <v>51</v>
      </c>
      <c r="M256" t="s">
        <v>52</v>
      </c>
      <c r="N256" t="s">
        <v>53</v>
      </c>
      <c r="O256" t="s">
        <v>175</v>
      </c>
      <c r="P256" t="s">
        <v>2936</v>
      </c>
      <c r="Q256" t="s">
        <v>56</v>
      </c>
      <c r="R256" s="21" t="s">
        <v>2937</v>
      </c>
      <c r="S256" s="21"/>
      <c r="T256" t="s">
        <v>2949</v>
      </c>
      <c r="U256" t="s">
        <v>2962</v>
      </c>
      <c r="X256" t="s">
        <v>2440</v>
      </c>
      <c r="Y256" t="s">
        <v>1759</v>
      </c>
      <c r="AA256" s="15"/>
      <c r="AC256">
        <v>37.978319999999997</v>
      </c>
      <c r="AD256">
        <v>-92.768446999999995</v>
      </c>
      <c r="AE256" t="s">
        <v>2963</v>
      </c>
      <c r="AH256" t="s">
        <v>1715</v>
      </c>
      <c r="AI256" t="s">
        <v>63</v>
      </c>
      <c r="AJ256" t="s">
        <v>2964</v>
      </c>
      <c r="AK256">
        <v>193516</v>
      </c>
      <c r="AM256" t="s">
        <v>2965</v>
      </c>
      <c r="AN256" t="s">
        <v>2966</v>
      </c>
      <c r="AO256" t="s">
        <v>2967</v>
      </c>
      <c r="AP256" t="s">
        <v>68</v>
      </c>
      <c r="AR256" t="s">
        <v>2968</v>
      </c>
      <c r="AS256" t="s">
        <v>2969</v>
      </c>
      <c r="AT256" t="s">
        <v>2970</v>
      </c>
      <c r="AW256" s="14" t="s">
        <v>72</v>
      </c>
      <c r="AX256" s="14" t="s">
        <v>73</v>
      </c>
      <c r="AY256" s="14" t="s">
        <v>1768</v>
      </c>
    </row>
    <row r="257" spans="1:51" ht="15" customHeight="1" x14ac:dyDescent="0.4">
      <c r="A257" s="12">
        <v>3587</v>
      </c>
      <c r="B257" s="21" t="s">
        <v>2971</v>
      </c>
      <c r="C257" s="13" t="s">
        <v>2972</v>
      </c>
      <c r="D257" s="25" t="s">
        <v>2972</v>
      </c>
      <c r="E257" s="13"/>
      <c r="F257" s="41"/>
      <c r="G257" s="41"/>
      <c r="H257" s="41"/>
      <c r="I257" s="14" t="s">
        <v>1878</v>
      </c>
      <c r="J257" s="15">
        <v>44734</v>
      </c>
      <c r="K257" t="s">
        <v>2719</v>
      </c>
      <c r="L257" t="s">
        <v>51</v>
      </c>
      <c r="M257" t="s">
        <v>52</v>
      </c>
      <c r="N257" t="s">
        <v>53</v>
      </c>
      <c r="O257" t="s">
        <v>175</v>
      </c>
      <c r="P257" t="s">
        <v>2936</v>
      </c>
      <c r="Q257" t="s">
        <v>56</v>
      </c>
      <c r="R257" s="21" t="s">
        <v>2937</v>
      </c>
      <c r="S257" s="21"/>
      <c r="T257" t="s">
        <v>2973</v>
      </c>
      <c r="U257" t="s">
        <v>2974</v>
      </c>
      <c r="X257" t="s">
        <v>2951</v>
      </c>
      <c r="Y257" t="s">
        <v>1881</v>
      </c>
      <c r="AA257" s="15"/>
      <c r="AC257">
        <v>37.980251000000003</v>
      </c>
      <c r="AD257">
        <v>-92.768297000000004</v>
      </c>
      <c r="AE257" t="s">
        <v>2975</v>
      </c>
      <c r="AH257" t="s">
        <v>1715</v>
      </c>
      <c r="AI257" t="s">
        <v>63</v>
      </c>
      <c r="AJ257" t="s">
        <v>2976</v>
      </c>
      <c r="AK257">
        <v>193916</v>
      </c>
      <c r="AM257" t="s">
        <v>2977</v>
      </c>
      <c r="AN257" t="s">
        <v>2978</v>
      </c>
      <c r="AO257" t="s">
        <v>2979</v>
      </c>
      <c r="AP257" t="s">
        <v>68</v>
      </c>
      <c r="AR257" t="s">
        <v>2980</v>
      </c>
      <c r="AS257" t="s">
        <v>2981</v>
      </c>
      <c r="AT257" t="s">
        <v>2982</v>
      </c>
      <c r="AW257" s="14" t="s">
        <v>72</v>
      </c>
      <c r="AX257" s="14" t="s">
        <v>73</v>
      </c>
      <c r="AY257" s="14" t="s">
        <v>1723</v>
      </c>
    </row>
    <row r="258" spans="1:51" ht="15" customHeight="1" x14ac:dyDescent="0.4">
      <c r="A258" s="12">
        <v>3588</v>
      </c>
      <c r="B258" s="21" t="s">
        <v>2983</v>
      </c>
      <c r="C258" s="13" t="s">
        <v>2984</v>
      </c>
      <c r="D258" s="25" t="s">
        <v>2984</v>
      </c>
      <c r="E258" s="13"/>
      <c r="F258" s="41"/>
      <c r="G258" s="41"/>
      <c r="H258" s="41"/>
      <c r="I258" s="14" t="s">
        <v>1752</v>
      </c>
      <c r="J258" s="15">
        <v>44734</v>
      </c>
      <c r="K258" t="s">
        <v>2719</v>
      </c>
      <c r="L258" t="s">
        <v>51</v>
      </c>
      <c r="M258" t="s">
        <v>52</v>
      </c>
      <c r="N258" t="s">
        <v>53</v>
      </c>
      <c r="O258" t="s">
        <v>175</v>
      </c>
      <c r="P258" t="s">
        <v>2936</v>
      </c>
      <c r="Q258" t="s">
        <v>56</v>
      </c>
      <c r="R258" s="21" t="s">
        <v>2937</v>
      </c>
      <c r="S258" s="21"/>
      <c r="T258" t="s">
        <v>2973</v>
      </c>
      <c r="U258" t="s">
        <v>2985</v>
      </c>
      <c r="X258" t="s">
        <v>2440</v>
      </c>
      <c r="Y258" t="s">
        <v>1759</v>
      </c>
      <c r="AA258" s="15"/>
      <c r="AC258">
        <v>37.980395999999999</v>
      </c>
      <c r="AD258">
        <v>-92.768258000000003</v>
      </c>
      <c r="AE258" t="s">
        <v>2975</v>
      </c>
      <c r="AH258" t="s">
        <v>1715</v>
      </c>
      <c r="AI258" t="s">
        <v>63</v>
      </c>
      <c r="AJ258" t="s">
        <v>2986</v>
      </c>
      <c r="AK258">
        <v>193517</v>
      </c>
      <c r="AM258" t="s">
        <v>2987</v>
      </c>
      <c r="AN258" t="s">
        <v>2988</v>
      </c>
      <c r="AO258" t="s">
        <v>2989</v>
      </c>
      <c r="AP258" t="s">
        <v>68</v>
      </c>
      <c r="AR258" t="s">
        <v>2990</v>
      </c>
      <c r="AS258" t="s">
        <v>2991</v>
      </c>
      <c r="AT258" t="s">
        <v>2992</v>
      </c>
      <c r="AW258" s="14" t="s">
        <v>72</v>
      </c>
      <c r="AX258" s="14" t="s">
        <v>73</v>
      </c>
      <c r="AY258" s="14" t="s">
        <v>1768</v>
      </c>
    </row>
    <row r="259" spans="1:51" ht="15" customHeight="1" x14ac:dyDescent="0.4">
      <c r="A259" s="12">
        <v>3589</v>
      </c>
      <c r="B259" s="21" t="s">
        <v>2993</v>
      </c>
      <c r="C259" s="13" t="s">
        <v>2994</v>
      </c>
      <c r="D259" s="25" t="s">
        <v>2994</v>
      </c>
      <c r="E259" s="13"/>
      <c r="F259" s="41"/>
      <c r="G259" s="41"/>
      <c r="H259" s="41"/>
      <c r="I259" s="14" t="s">
        <v>1752</v>
      </c>
      <c r="J259" s="15">
        <v>44734</v>
      </c>
      <c r="K259" t="s">
        <v>2719</v>
      </c>
      <c r="L259" t="s">
        <v>51</v>
      </c>
      <c r="M259" t="s">
        <v>52</v>
      </c>
      <c r="N259" t="s">
        <v>53</v>
      </c>
      <c r="O259" t="s">
        <v>175</v>
      </c>
      <c r="P259" t="s">
        <v>2936</v>
      </c>
      <c r="Q259" t="s">
        <v>56</v>
      </c>
      <c r="R259" s="21" t="s">
        <v>2937</v>
      </c>
      <c r="S259" s="21"/>
      <c r="T259" t="s">
        <v>2973</v>
      </c>
      <c r="U259" t="s">
        <v>2995</v>
      </c>
      <c r="X259" t="s">
        <v>2452</v>
      </c>
      <c r="Y259" t="s">
        <v>1759</v>
      </c>
      <c r="AA259" s="15"/>
      <c r="AC259">
        <v>37.980251000000003</v>
      </c>
      <c r="AD259">
        <v>-92.769240999999994</v>
      </c>
      <c r="AE259" t="s">
        <v>2996</v>
      </c>
      <c r="AH259" t="s">
        <v>1715</v>
      </c>
      <c r="AI259" t="s">
        <v>63</v>
      </c>
      <c r="AJ259" t="s">
        <v>2997</v>
      </c>
      <c r="AK259">
        <v>193518</v>
      </c>
      <c r="AM259" t="s">
        <v>2998</v>
      </c>
      <c r="AN259" t="s">
        <v>2999</v>
      </c>
      <c r="AO259" t="s">
        <v>3000</v>
      </c>
      <c r="AP259" t="s">
        <v>68</v>
      </c>
      <c r="AR259" t="s">
        <v>3001</v>
      </c>
      <c r="AS259" t="s">
        <v>3002</v>
      </c>
      <c r="AT259" t="s">
        <v>3003</v>
      </c>
      <c r="AW259" s="14" t="s">
        <v>72</v>
      </c>
      <c r="AX259" s="14" t="s">
        <v>73</v>
      </c>
      <c r="AY259" s="14" t="s">
        <v>1768</v>
      </c>
    </row>
    <row r="260" spans="1:51" ht="15" customHeight="1" x14ac:dyDescent="0.4">
      <c r="A260" s="12">
        <v>3590</v>
      </c>
      <c r="B260" s="21" t="s">
        <v>3004</v>
      </c>
      <c r="C260" s="13" t="s">
        <v>3005</v>
      </c>
      <c r="D260" s="25" t="s">
        <v>3005</v>
      </c>
      <c r="E260" s="13"/>
      <c r="F260" s="41"/>
      <c r="G260" s="41"/>
      <c r="H260" s="41"/>
      <c r="I260" s="14" t="s">
        <v>1829</v>
      </c>
      <c r="J260" s="15">
        <v>44734</v>
      </c>
      <c r="K260" t="s">
        <v>2719</v>
      </c>
      <c r="L260" t="s">
        <v>51</v>
      </c>
      <c r="M260" t="s">
        <v>52</v>
      </c>
      <c r="N260" t="s">
        <v>53</v>
      </c>
      <c r="O260" t="s">
        <v>175</v>
      </c>
      <c r="P260" t="s">
        <v>2936</v>
      </c>
      <c r="Q260" t="s">
        <v>56</v>
      </c>
      <c r="R260" s="21" t="s">
        <v>2937</v>
      </c>
      <c r="S260" s="21"/>
      <c r="T260" t="s">
        <v>3006</v>
      </c>
      <c r="U260" t="s">
        <v>3007</v>
      </c>
      <c r="X260" t="s">
        <v>2452</v>
      </c>
      <c r="Y260" t="s">
        <v>1832</v>
      </c>
      <c r="AA260" s="15"/>
      <c r="AC260">
        <v>37.980144000000003</v>
      </c>
      <c r="AD260">
        <v>-92.770184999999998</v>
      </c>
      <c r="AE260" t="s">
        <v>3008</v>
      </c>
      <c r="AH260" t="s">
        <v>1715</v>
      </c>
      <c r="AI260" t="s">
        <v>63</v>
      </c>
      <c r="AJ260" t="s">
        <v>3009</v>
      </c>
      <c r="AK260">
        <v>194425</v>
      </c>
      <c r="AM260" t="s">
        <v>3010</v>
      </c>
      <c r="AN260" t="s">
        <v>3011</v>
      </c>
      <c r="AO260" t="s">
        <v>3012</v>
      </c>
      <c r="AP260" t="s">
        <v>68</v>
      </c>
      <c r="AR260" t="s">
        <v>3013</v>
      </c>
      <c r="AS260" t="s">
        <v>3014</v>
      </c>
      <c r="AT260" t="s">
        <v>3015</v>
      </c>
      <c r="AW260" s="14" t="s">
        <v>72</v>
      </c>
      <c r="AX260" s="14" t="s">
        <v>73</v>
      </c>
      <c r="AY260" s="14" t="s">
        <v>74</v>
      </c>
    </row>
    <row r="261" spans="1:51" ht="15" customHeight="1" x14ac:dyDescent="0.4">
      <c r="A261" s="12">
        <v>3591</v>
      </c>
      <c r="B261" s="21" t="s">
        <v>3016</v>
      </c>
      <c r="C261" s="13" t="s">
        <v>3017</v>
      </c>
      <c r="D261" s="25" t="s">
        <v>3017</v>
      </c>
      <c r="E261" s="13"/>
      <c r="F261" s="41"/>
      <c r="G261" s="41"/>
      <c r="H261" s="41"/>
      <c r="I261" s="14" t="s">
        <v>1829</v>
      </c>
      <c r="J261" s="15">
        <v>44734</v>
      </c>
      <c r="K261" t="s">
        <v>2719</v>
      </c>
      <c r="L261" t="s">
        <v>51</v>
      </c>
      <c r="M261" t="s">
        <v>52</v>
      </c>
      <c r="N261" t="s">
        <v>53</v>
      </c>
      <c r="O261" t="s">
        <v>175</v>
      </c>
      <c r="P261" t="s">
        <v>2936</v>
      </c>
      <c r="Q261" t="s">
        <v>56</v>
      </c>
      <c r="R261" s="21" t="s">
        <v>2937</v>
      </c>
      <c r="S261" s="21"/>
      <c r="T261" t="s">
        <v>3018</v>
      </c>
      <c r="U261" t="s">
        <v>3019</v>
      </c>
      <c r="Y261" t="s">
        <v>1832</v>
      </c>
      <c r="AA261" s="15"/>
      <c r="AC261">
        <v>37.979585999999998</v>
      </c>
      <c r="AD261">
        <v>-92.770871999999997</v>
      </c>
      <c r="AE261" t="s">
        <v>3020</v>
      </c>
      <c r="AH261" t="s">
        <v>1715</v>
      </c>
      <c r="AI261" t="s">
        <v>63</v>
      </c>
      <c r="AJ261" t="s">
        <v>3021</v>
      </c>
      <c r="AK261">
        <v>194426</v>
      </c>
      <c r="AM261" t="s">
        <v>3022</v>
      </c>
      <c r="AN261" t="s">
        <v>3023</v>
      </c>
      <c r="AO261" t="s">
        <v>3024</v>
      </c>
      <c r="AP261" t="s">
        <v>68</v>
      </c>
      <c r="AR261" t="s">
        <v>3025</v>
      </c>
      <c r="AS261" t="s">
        <v>3026</v>
      </c>
      <c r="AT261" t="s">
        <v>3027</v>
      </c>
      <c r="AW261" s="14" t="s">
        <v>72</v>
      </c>
      <c r="AX261" s="14" t="s">
        <v>73</v>
      </c>
      <c r="AY261" s="14" t="s">
        <v>74</v>
      </c>
    </row>
    <row r="262" spans="1:51" ht="15" customHeight="1" x14ac:dyDescent="0.4">
      <c r="A262" s="12">
        <v>3592</v>
      </c>
      <c r="B262" s="21" t="s">
        <v>3028</v>
      </c>
      <c r="C262" s="13" t="s">
        <v>3029</v>
      </c>
      <c r="D262" s="25" t="s">
        <v>3029</v>
      </c>
      <c r="E262" s="13"/>
      <c r="F262" s="41"/>
      <c r="G262" s="41"/>
      <c r="H262" s="41"/>
      <c r="I262" s="14" t="s">
        <v>1829</v>
      </c>
      <c r="J262" s="15">
        <v>44734</v>
      </c>
      <c r="K262" t="s">
        <v>2719</v>
      </c>
      <c r="L262" t="s">
        <v>51</v>
      </c>
      <c r="M262" t="s">
        <v>52</v>
      </c>
      <c r="N262" t="s">
        <v>53</v>
      </c>
      <c r="O262" t="s">
        <v>175</v>
      </c>
      <c r="P262" t="s">
        <v>2936</v>
      </c>
      <c r="Q262" t="s">
        <v>56</v>
      </c>
      <c r="R262" s="21" t="s">
        <v>2937</v>
      </c>
      <c r="S262" s="21"/>
      <c r="T262" t="s">
        <v>2973</v>
      </c>
      <c r="U262" t="s">
        <v>3030</v>
      </c>
      <c r="Y262" t="s">
        <v>1832</v>
      </c>
      <c r="AA262" s="15"/>
      <c r="AC262">
        <v>37.980251000000003</v>
      </c>
      <c r="AD262">
        <v>-92.771752000000006</v>
      </c>
      <c r="AE262" t="s">
        <v>3031</v>
      </c>
      <c r="AH262" t="s">
        <v>1715</v>
      </c>
      <c r="AI262" t="s">
        <v>63</v>
      </c>
      <c r="AJ262" t="s">
        <v>3032</v>
      </c>
      <c r="AK262">
        <v>194427</v>
      </c>
      <c r="AM262" t="s">
        <v>3033</v>
      </c>
      <c r="AN262" t="s">
        <v>3034</v>
      </c>
      <c r="AO262" t="s">
        <v>3035</v>
      </c>
      <c r="AP262" t="s">
        <v>68</v>
      </c>
      <c r="AR262" t="s">
        <v>3036</v>
      </c>
      <c r="AS262" t="s">
        <v>3037</v>
      </c>
      <c r="AT262" t="s">
        <v>3038</v>
      </c>
      <c r="AW262" s="14" t="s">
        <v>72</v>
      </c>
      <c r="AX262" s="14" t="s">
        <v>73</v>
      </c>
      <c r="AY262" s="14" t="s">
        <v>74</v>
      </c>
    </row>
    <row r="263" spans="1:51" ht="15" customHeight="1" x14ac:dyDescent="0.4">
      <c r="A263" s="12">
        <v>3593</v>
      </c>
      <c r="B263" s="21" t="s">
        <v>3039</v>
      </c>
      <c r="C263" s="13" t="s">
        <v>3040</v>
      </c>
      <c r="D263" s="25" t="s">
        <v>3040</v>
      </c>
      <c r="E263" s="13"/>
      <c r="F263" s="41"/>
      <c r="G263" s="41"/>
      <c r="H263" s="41"/>
      <c r="I263" s="14" t="s">
        <v>1829</v>
      </c>
      <c r="J263" s="15">
        <v>44734</v>
      </c>
      <c r="K263" t="s">
        <v>2719</v>
      </c>
      <c r="L263" t="s">
        <v>51</v>
      </c>
      <c r="M263" t="s">
        <v>52</v>
      </c>
      <c r="N263" t="s">
        <v>53</v>
      </c>
      <c r="O263" t="s">
        <v>175</v>
      </c>
      <c r="P263" t="s">
        <v>2936</v>
      </c>
      <c r="Q263" t="s">
        <v>56</v>
      </c>
      <c r="R263" s="21" t="s">
        <v>2937</v>
      </c>
      <c r="S263" s="21"/>
      <c r="T263" t="s">
        <v>3041</v>
      </c>
      <c r="U263" t="s">
        <v>3042</v>
      </c>
      <c r="X263" t="s">
        <v>1758</v>
      </c>
      <c r="Y263" t="s">
        <v>1832</v>
      </c>
      <c r="AA263" s="15"/>
      <c r="AC263">
        <v>37.980058</v>
      </c>
      <c r="AD263">
        <v>-92.772782000000007</v>
      </c>
      <c r="AE263" t="s">
        <v>3043</v>
      </c>
      <c r="AH263" t="s">
        <v>1715</v>
      </c>
      <c r="AI263" t="s">
        <v>63</v>
      </c>
      <c r="AJ263" t="s">
        <v>3044</v>
      </c>
      <c r="AK263">
        <v>194428</v>
      </c>
      <c r="AM263" t="s">
        <v>3045</v>
      </c>
      <c r="AN263" t="s">
        <v>3046</v>
      </c>
      <c r="AO263" t="s">
        <v>3047</v>
      </c>
      <c r="AP263" t="s">
        <v>68</v>
      </c>
      <c r="AR263" t="s">
        <v>3048</v>
      </c>
      <c r="AS263" t="s">
        <v>3049</v>
      </c>
      <c r="AT263" t="s">
        <v>3050</v>
      </c>
      <c r="AW263" s="14" t="s">
        <v>72</v>
      </c>
      <c r="AX263" s="14" t="s">
        <v>73</v>
      </c>
      <c r="AY263" s="14" t="s">
        <v>74</v>
      </c>
    </row>
    <row r="264" spans="1:51" ht="15" customHeight="1" x14ac:dyDescent="0.4">
      <c r="A264" s="12">
        <v>3594</v>
      </c>
      <c r="B264" s="21" t="s">
        <v>3051</v>
      </c>
      <c r="C264" s="13" t="s">
        <v>3052</v>
      </c>
      <c r="D264" s="25" t="s">
        <v>3052</v>
      </c>
      <c r="E264" s="13"/>
      <c r="F264" s="41"/>
      <c r="G264" s="41"/>
      <c r="H264" s="41"/>
      <c r="I264" s="14" t="s">
        <v>1878</v>
      </c>
      <c r="J264" s="15">
        <v>44734</v>
      </c>
      <c r="K264" t="s">
        <v>2719</v>
      </c>
      <c r="L264" t="s">
        <v>51</v>
      </c>
      <c r="M264" t="s">
        <v>52</v>
      </c>
      <c r="N264" t="s">
        <v>53</v>
      </c>
      <c r="O264" t="s">
        <v>175</v>
      </c>
      <c r="P264" t="s">
        <v>2936</v>
      </c>
      <c r="Q264" t="s">
        <v>56</v>
      </c>
      <c r="R264" s="21" t="s">
        <v>2937</v>
      </c>
      <c r="S264" s="21"/>
      <c r="T264" t="s">
        <v>3053</v>
      </c>
      <c r="U264" t="s">
        <v>3054</v>
      </c>
      <c r="Y264" t="s">
        <v>1881</v>
      </c>
      <c r="AA264" s="15"/>
      <c r="AC264">
        <v>37.977505000000001</v>
      </c>
      <c r="AD264">
        <v>-92.773662000000002</v>
      </c>
      <c r="AE264" t="s">
        <v>3055</v>
      </c>
      <c r="AH264" t="s">
        <v>1715</v>
      </c>
      <c r="AI264" t="s">
        <v>63</v>
      </c>
      <c r="AJ264" t="s">
        <v>3056</v>
      </c>
      <c r="AK264">
        <v>193917</v>
      </c>
      <c r="AM264" t="s">
        <v>3057</v>
      </c>
      <c r="AN264" t="s">
        <v>3058</v>
      </c>
      <c r="AO264" t="s">
        <v>3059</v>
      </c>
      <c r="AP264" t="s">
        <v>68</v>
      </c>
      <c r="AR264" t="s">
        <v>3060</v>
      </c>
      <c r="AS264" t="s">
        <v>3061</v>
      </c>
      <c r="AT264" t="s">
        <v>3062</v>
      </c>
      <c r="AW264" s="14" t="s">
        <v>72</v>
      </c>
      <c r="AX264" s="14" t="s">
        <v>73</v>
      </c>
      <c r="AY264" s="14" t="s">
        <v>1723</v>
      </c>
    </row>
    <row r="265" spans="1:51" ht="15" customHeight="1" x14ac:dyDescent="0.4">
      <c r="A265" s="12">
        <v>3595</v>
      </c>
      <c r="B265" s="21" t="s">
        <v>3063</v>
      </c>
      <c r="C265" s="13" t="s">
        <v>3064</v>
      </c>
      <c r="D265" s="25" t="s">
        <v>3064</v>
      </c>
      <c r="E265" s="13"/>
      <c r="F265" s="41" t="s">
        <v>1878</v>
      </c>
      <c r="G265" s="41"/>
      <c r="H265" s="41"/>
      <c r="I265" s="14" t="s">
        <v>1752</v>
      </c>
      <c r="J265" s="15">
        <v>44734</v>
      </c>
      <c r="K265" t="s">
        <v>2719</v>
      </c>
      <c r="L265" t="s">
        <v>51</v>
      </c>
      <c r="M265" t="s">
        <v>52</v>
      </c>
      <c r="N265" t="s">
        <v>53</v>
      </c>
      <c r="O265" t="s">
        <v>175</v>
      </c>
      <c r="P265" t="s">
        <v>2936</v>
      </c>
      <c r="Q265" t="s">
        <v>56</v>
      </c>
      <c r="R265" s="21" t="s">
        <v>2937</v>
      </c>
      <c r="S265" s="21"/>
      <c r="T265" t="s">
        <v>3065</v>
      </c>
      <c r="U265" t="s">
        <v>3066</v>
      </c>
      <c r="Y265" t="s">
        <v>1759</v>
      </c>
      <c r="AA265" s="15"/>
      <c r="AC265">
        <v>37.977032999999999</v>
      </c>
      <c r="AD265">
        <v>-92.768855000000002</v>
      </c>
      <c r="AE265" t="s">
        <v>3067</v>
      </c>
      <c r="AH265" t="s">
        <v>1715</v>
      </c>
      <c r="AI265" t="s">
        <v>63</v>
      </c>
      <c r="AJ265" t="s">
        <v>3068</v>
      </c>
      <c r="AK265">
        <v>192673</v>
      </c>
      <c r="AM265" t="s">
        <v>3069</v>
      </c>
      <c r="AN265" t="s">
        <v>3070</v>
      </c>
      <c r="AO265" t="s">
        <v>3071</v>
      </c>
      <c r="AP265" t="s">
        <v>68</v>
      </c>
      <c r="AR265" t="s">
        <v>3072</v>
      </c>
      <c r="AS265" t="s">
        <v>3073</v>
      </c>
      <c r="AT265" t="s">
        <v>3074</v>
      </c>
      <c r="AW265" s="14" t="s">
        <v>72</v>
      </c>
      <c r="AX265" s="14" t="s">
        <v>73</v>
      </c>
      <c r="AY265" s="14" t="s">
        <v>1768</v>
      </c>
    </row>
    <row r="266" spans="1:51" ht="15" customHeight="1" x14ac:dyDescent="0.4">
      <c r="A266" s="12">
        <v>3596</v>
      </c>
      <c r="B266" s="21" t="s">
        <v>3075</v>
      </c>
      <c r="C266" s="13" t="s">
        <v>3076</v>
      </c>
      <c r="D266" s="25" t="s">
        <v>3076</v>
      </c>
      <c r="E266" s="13"/>
      <c r="F266" s="41"/>
      <c r="G266" s="41"/>
      <c r="H266" s="41"/>
      <c r="I266" s="14" t="s">
        <v>1752</v>
      </c>
      <c r="J266" s="15">
        <v>44734</v>
      </c>
      <c r="K266" t="s">
        <v>2719</v>
      </c>
      <c r="L266" t="s">
        <v>51</v>
      </c>
      <c r="M266" t="s">
        <v>52</v>
      </c>
      <c r="N266" t="s">
        <v>53</v>
      </c>
      <c r="O266" t="s">
        <v>175</v>
      </c>
      <c r="P266" t="s">
        <v>2936</v>
      </c>
      <c r="Q266" t="s">
        <v>56</v>
      </c>
      <c r="R266" s="21" t="s">
        <v>2937</v>
      </c>
      <c r="S266" s="21"/>
      <c r="T266" t="s">
        <v>3077</v>
      </c>
      <c r="U266" t="s">
        <v>3078</v>
      </c>
      <c r="X266" t="s">
        <v>2336</v>
      </c>
      <c r="Y266" t="s">
        <v>1759</v>
      </c>
      <c r="AA266" s="15"/>
      <c r="AC266">
        <v>37.977054000000003</v>
      </c>
      <c r="AD266">
        <v>-92.768555000000006</v>
      </c>
      <c r="AE266" t="s">
        <v>3079</v>
      </c>
      <c r="AH266" t="s">
        <v>1715</v>
      </c>
      <c r="AI266" t="s">
        <v>63</v>
      </c>
      <c r="AJ266" t="s">
        <v>3080</v>
      </c>
      <c r="AK266">
        <v>193519</v>
      </c>
      <c r="AM266" t="s">
        <v>3081</v>
      </c>
      <c r="AN266" t="s">
        <v>3082</v>
      </c>
      <c r="AO266" t="s">
        <v>3083</v>
      </c>
      <c r="AP266" t="s">
        <v>68</v>
      </c>
      <c r="AR266" t="s">
        <v>3084</v>
      </c>
      <c r="AS266" t="s">
        <v>3085</v>
      </c>
      <c r="AT266" t="s">
        <v>3086</v>
      </c>
      <c r="AW266" s="14" t="s">
        <v>72</v>
      </c>
      <c r="AX266" s="14" t="s">
        <v>73</v>
      </c>
      <c r="AY266" s="14" t="s">
        <v>1768</v>
      </c>
    </row>
    <row r="267" spans="1:51" ht="15" customHeight="1" x14ac:dyDescent="0.4">
      <c r="A267" s="12">
        <v>3597</v>
      </c>
      <c r="B267" s="21" t="s">
        <v>3087</v>
      </c>
      <c r="C267" s="13" t="s">
        <v>3088</v>
      </c>
      <c r="D267" s="25" t="s">
        <v>3088</v>
      </c>
      <c r="E267" s="13" t="s">
        <v>3089</v>
      </c>
      <c r="F267" s="41"/>
      <c r="G267" s="41"/>
      <c r="H267" s="41"/>
      <c r="I267" s="14" t="s">
        <v>3090</v>
      </c>
      <c r="J267" s="15">
        <v>44735</v>
      </c>
      <c r="K267" t="s">
        <v>3091</v>
      </c>
      <c r="L267" t="s">
        <v>51</v>
      </c>
      <c r="M267" t="s">
        <v>52</v>
      </c>
      <c r="N267" t="s">
        <v>53</v>
      </c>
      <c r="O267" t="s">
        <v>175</v>
      </c>
      <c r="P267" t="s">
        <v>3092</v>
      </c>
      <c r="Q267" t="s">
        <v>56</v>
      </c>
      <c r="R267" s="21" t="s">
        <v>3093</v>
      </c>
      <c r="S267" s="21"/>
      <c r="T267" t="s">
        <v>3094</v>
      </c>
      <c r="U267" t="s">
        <v>3095</v>
      </c>
      <c r="Y267" t="s">
        <v>3096</v>
      </c>
      <c r="AA267" s="15"/>
      <c r="AC267">
        <v>37.531755590000003</v>
      </c>
      <c r="AD267">
        <v>-94.574784399999999</v>
      </c>
      <c r="AH267" t="s">
        <v>1715</v>
      </c>
      <c r="AI267" t="s">
        <v>63</v>
      </c>
      <c r="AJ267" t="s">
        <v>3097</v>
      </c>
      <c r="AK267">
        <v>194565</v>
      </c>
      <c r="AM267" t="s">
        <v>3098</v>
      </c>
      <c r="AN267" t="s">
        <v>3099</v>
      </c>
      <c r="AO267" t="s">
        <v>3100</v>
      </c>
      <c r="AP267" t="s">
        <v>68</v>
      </c>
      <c r="AR267" t="s">
        <v>3101</v>
      </c>
      <c r="AS267" t="s">
        <v>3102</v>
      </c>
      <c r="AT267" t="s">
        <v>3103</v>
      </c>
      <c r="AW267" s="14" t="s">
        <v>72</v>
      </c>
      <c r="AX267" s="14" t="s">
        <v>73</v>
      </c>
      <c r="AY267" s="14" t="s">
        <v>74</v>
      </c>
    </row>
    <row r="268" spans="1:51" ht="15" customHeight="1" x14ac:dyDescent="0.4">
      <c r="A268" s="12">
        <v>3598</v>
      </c>
      <c r="B268" s="21" t="s">
        <v>3104</v>
      </c>
      <c r="C268" s="13" t="s">
        <v>3105</v>
      </c>
      <c r="D268" s="25" t="s">
        <v>3105</v>
      </c>
      <c r="E268" s="13" t="s">
        <v>3106</v>
      </c>
      <c r="F268" s="41"/>
      <c r="G268" s="41"/>
      <c r="H268" s="41"/>
      <c r="I268" s="14" t="s">
        <v>3090</v>
      </c>
      <c r="J268" s="15">
        <v>44735</v>
      </c>
      <c r="K268" t="s">
        <v>3091</v>
      </c>
      <c r="L268" t="s">
        <v>51</v>
      </c>
      <c r="M268" t="s">
        <v>52</v>
      </c>
      <c r="N268" t="s">
        <v>53</v>
      </c>
      <c r="O268" t="s">
        <v>175</v>
      </c>
      <c r="P268" t="s">
        <v>3092</v>
      </c>
      <c r="Q268" t="s">
        <v>56</v>
      </c>
      <c r="R268" s="21" t="s">
        <v>3093</v>
      </c>
      <c r="S268" s="21"/>
      <c r="T268" t="s">
        <v>3107</v>
      </c>
      <c r="U268" t="s">
        <v>3108</v>
      </c>
      <c r="X268" t="s">
        <v>1758</v>
      </c>
      <c r="Y268" t="s">
        <v>3096</v>
      </c>
      <c r="AA268" s="15"/>
      <c r="AC268">
        <v>37.532182849999998</v>
      </c>
      <c r="AD268">
        <v>-94.575126560000001</v>
      </c>
      <c r="AH268" t="s">
        <v>1715</v>
      </c>
      <c r="AI268" t="s">
        <v>63</v>
      </c>
      <c r="AJ268" t="s">
        <v>3109</v>
      </c>
      <c r="AK268">
        <v>194562</v>
      </c>
      <c r="AM268" t="s">
        <v>3110</v>
      </c>
      <c r="AN268" t="s">
        <v>3111</v>
      </c>
      <c r="AO268" t="s">
        <v>3112</v>
      </c>
      <c r="AP268" t="s">
        <v>68</v>
      </c>
      <c r="AR268" t="s">
        <v>3113</v>
      </c>
      <c r="AS268" t="s">
        <v>3114</v>
      </c>
      <c r="AT268" t="s">
        <v>3115</v>
      </c>
      <c r="AW268" s="14" t="s">
        <v>72</v>
      </c>
      <c r="AX268" s="14" t="s">
        <v>73</v>
      </c>
      <c r="AY268" s="14" t="s">
        <v>74</v>
      </c>
    </row>
    <row r="269" spans="1:51" ht="15" customHeight="1" x14ac:dyDescent="0.4">
      <c r="A269" s="12">
        <v>3599</v>
      </c>
      <c r="B269" s="21" t="s">
        <v>3116</v>
      </c>
      <c r="C269" s="13" t="s">
        <v>3117</v>
      </c>
      <c r="D269" s="25" t="s">
        <v>3117</v>
      </c>
      <c r="E269" s="13" t="s">
        <v>3118</v>
      </c>
      <c r="F269" s="41"/>
      <c r="G269" s="41"/>
      <c r="H269" s="41"/>
      <c r="I269" s="14" t="s">
        <v>1752</v>
      </c>
      <c r="J269" s="15">
        <v>44735</v>
      </c>
      <c r="K269" t="s">
        <v>3091</v>
      </c>
      <c r="L269" t="s">
        <v>51</v>
      </c>
      <c r="M269" t="s">
        <v>52</v>
      </c>
      <c r="N269" t="s">
        <v>53</v>
      </c>
      <c r="O269" t="s">
        <v>175</v>
      </c>
      <c r="P269" t="s">
        <v>3092</v>
      </c>
      <c r="Q269" t="s">
        <v>56</v>
      </c>
      <c r="R269" s="21" t="s">
        <v>3093</v>
      </c>
      <c r="S269" s="21"/>
      <c r="T269" t="s">
        <v>3107</v>
      </c>
      <c r="U269" t="s">
        <v>3119</v>
      </c>
      <c r="X269" t="s">
        <v>1758</v>
      </c>
      <c r="Y269" t="s">
        <v>1759</v>
      </c>
      <c r="AA269" s="15"/>
      <c r="AC269">
        <v>37.532246839999999</v>
      </c>
      <c r="AD269">
        <v>-94.574924379999999</v>
      </c>
      <c r="AH269" t="s">
        <v>1715</v>
      </c>
      <c r="AI269" t="s">
        <v>63</v>
      </c>
      <c r="AJ269" t="s">
        <v>3120</v>
      </c>
      <c r="AK269">
        <v>192797</v>
      </c>
      <c r="AM269" t="s">
        <v>3121</v>
      </c>
      <c r="AN269" t="s">
        <v>3122</v>
      </c>
      <c r="AO269" s="23" t="s">
        <v>3123</v>
      </c>
      <c r="AP269" t="s">
        <v>68</v>
      </c>
      <c r="AQ269" t="s">
        <v>3124</v>
      </c>
      <c r="AR269" t="s">
        <v>3125</v>
      </c>
      <c r="AS269" t="s">
        <v>3126</v>
      </c>
      <c r="AT269" t="s">
        <v>3127</v>
      </c>
      <c r="AU269" s="31" t="s">
        <v>3128</v>
      </c>
      <c r="AW269" s="14" t="s">
        <v>72</v>
      </c>
      <c r="AX269" s="14" t="s">
        <v>73</v>
      </c>
      <c r="AY269" s="14" t="s">
        <v>1768</v>
      </c>
    </row>
    <row r="270" spans="1:51" ht="15" customHeight="1" x14ac:dyDescent="0.4">
      <c r="A270" s="12">
        <v>3600</v>
      </c>
      <c r="B270" s="21" t="s">
        <v>3129</v>
      </c>
      <c r="C270" s="13" t="s">
        <v>3130</v>
      </c>
      <c r="D270" s="25" t="s">
        <v>3130</v>
      </c>
      <c r="E270" s="13" t="s">
        <v>3131</v>
      </c>
      <c r="F270" s="41"/>
      <c r="G270" s="41"/>
      <c r="H270" s="41"/>
      <c r="I270" s="14" t="s">
        <v>3090</v>
      </c>
      <c r="J270" s="15">
        <v>44735</v>
      </c>
      <c r="K270" t="s">
        <v>3091</v>
      </c>
      <c r="L270" t="s">
        <v>51</v>
      </c>
      <c r="M270" t="s">
        <v>52</v>
      </c>
      <c r="N270" t="s">
        <v>53</v>
      </c>
      <c r="O270" t="s">
        <v>175</v>
      </c>
      <c r="P270" t="s">
        <v>3092</v>
      </c>
      <c r="Q270" t="s">
        <v>56</v>
      </c>
      <c r="R270" s="21" t="s">
        <v>3093</v>
      </c>
      <c r="S270" s="21"/>
      <c r="T270" t="s">
        <v>3132</v>
      </c>
      <c r="U270" t="s">
        <v>3133</v>
      </c>
      <c r="Y270" t="s">
        <v>3096</v>
      </c>
      <c r="AA270" s="15"/>
      <c r="AC270">
        <v>37.532592510000001</v>
      </c>
      <c r="AD270">
        <v>-94.574694890000004</v>
      </c>
      <c r="AH270" t="s">
        <v>1715</v>
      </c>
      <c r="AI270" t="s">
        <v>63</v>
      </c>
      <c r="AJ270" t="s">
        <v>3134</v>
      </c>
      <c r="AK270">
        <v>194561</v>
      </c>
      <c r="AM270" t="s">
        <v>3135</v>
      </c>
      <c r="AN270" t="s">
        <v>3136</v>
      </c>
      <c r="AO270" t="s">
        <v>3137</v>
      </c>
      <c r="AP270" t="s">
        <v>68</v>
      </c>
      <c r="AR270" t="s">
        <v>3138</v>
      </c>
      <c r="AS270" t="s">
        <v>3139</v>
      </c>
      <c r="AT270" t="s">
        <v>3140</v>
      </c>
      <c r="AW270" s="14" t="s">
        <v>72</v>
      </c>
      <c r="AX270" s="14" t="s">
        <v>73</v>
      </c>
      <c r="AY270" s="14" t="s">
        <v>74</v>
      </c>
    </row>
    <row r="271" spans="1:51" ht="15" customHeight="1" x14ac:dyDescent="0.4">
      <c r="A271" s="12">
        <v>3601</v>
      </c>
      <c r="B271" s="21" t="s">
        <v>3141</v>
      </c>
      <c r="C271" s="13" t="s">
        <v>3142</v>
      </c>
      <c r="D271" s="25" t="s">
        <v>3142</v>
      </c>
      <c r="E271" s="13" t="s">
        <v>3143</v>
      </c>
      <c r="F271" s="41"/>
      <c r="G271" s="41"/>
      <c r="H271" s="41"/>
      <c r="I271" s="14" t="s">
        <v>1752</v>
      </c>
      <c r="J271" s="15">
        <v>44735</v>
      </c>
      <c r="K271" t="s">
        <v>3091</v>
      </c>
      <c r="L271" t="s">
        <v>51</v>
      </c>
      <c r="M271" t="s">
        <v>52</v>
      </c>
      <c r="N271" t="s">
        <v>53</v>
      </c>
      <c r="O271" t="s">
        <v>175</v>
      </c>
      <c r="P271" t="s">
        <v>3092</v>
      </c>
      <c r="Q271" t="s">
        <v>56</v>
      </c>
      <c r="R271" s="21" t="s">
        <v>3093</v>
      </c>
      <c r="S271" s="21"/>
      <c r="T271" t="s">
        <v>3132</v>
      </c>
      <c r="U271" t="s">
        <v>3133</v>
      </c>
      <c r="Y271" t="s">
        <v>1759</v>
      </c>
      <c r="AA271" s="15"/>
      <c r="AC271">
        <v>37.532756900000003</v>
      </c>
      <c r="AD271">
        <v>-94.574669240000006</v>
      </c>
      <c r="AH271" t="s">
        <v>1715</v>
      </c>
      <c r="AI271" t="s">
        <v>63</v>
      </c>
      <c r="AJ271" t="s">
        <v>3144</v>
      </c>
      <c r="AK271">
        <v>192798</v>
      </c>
      <c r="AM271" t="s">
        <v>3145</v>
      </c>
      <c r="AN271" t="s">
        <v>3146</v>
      </c>
      <c r="AO271" t="s">
        <v>3147</v>
      </c>
      <c r="AP271" t="s">
        <v>68</v>
      </c>
      <c r="AR271" t="s">
        <v>3148</v>
      </c>
      <c r="AS271" t="s">
        <v>3149</v>
      </c>
      <c r="AT271" t="s">
        <v>3150</v>
      </c>
      <c r="AW271" s="14" t="s">
        <v>72</v>
      </c>
      <c r="AX271" s="14" t="s">
        <v>73</v>
      </c>
      <c r="AY271" s="14" t="s">
        <v>1768</v>
      </c>
    </row>
    <row r="272" spans="1:51" ht="15" customHeight="1" x14ac:dyDescent="0.4">
      <c r="A272" s="12">
        <v>3602</v>
      </c>
      <c r="B272" s="21" t="s">
        <v>3151</v>
      </c>
      <c r="C272" s="13" t="s">
        <v>3152</v>
      </c>
      <c r="D272" s="25" t="s">
        <v>3152</v>
      </c>
      <c r="E272" s="13" t="s">
        <v>3153</v>
      </c>
      <c r="F272" s="41"/>
      <c r="G272" s="41"/>
      <c r="H272" s="41"/>
      <c r="I272" s="14" t="s">
        <v>3090</v>
      </c>
      <c r="J272" s="15">
        <v>44735</v>
      </c>
      <c r="K272" t="s">
        <v>3091</v>
      </c>
      <c r="L272" t="s">
        <v>51</v>
      </c>
      <c r="M272" t="s">
        <v>52</v>
      </c>
      <c r="N272" t="s">
        <v>53</v>
      </c>
      <c r="O272" t="s">
        <v>175</v>
      </c>
      <c r="P272" t="s">
        <v>3092</v>
      </c>
      <c r="Q272" t="s">
        <v>56</v>
      </c>
      <c r="R272" s="21" t="s">
        <v>3093</v>
      </c>
      <c r="S272" s="21"/>
      <c r="T272" t="s">
        <v>3107</v>
      </c>
      <c r="U272" t="s">
        <v>3154</v>
      </c>
      <c r="X272" t="s">
        <v>1758</v>
      </c>
      <c r="Y272" t="s">
        <v>3096</v>
      </c>
      <c r="AA272" s="15"/>
      <c r="AC272">
        <v>37.535027499999998</v>
      </c>
      <c r="AD272">
        <v>-94.579779189999996</v>
      </c>
      <c r="AH272" t="s">
        <v>1715</v>
      </c>
      <c r="AI272" t="s">
        <v>63</v>
      </c>
      <c r="AJ272" t="s">
        <v>3155</v>
      </c>
      <c r="AK272">
        <v>194560</v>
      </c>
      <c r="AM272" t="s">
        <v>3156</v>
      </c>
      <c r="AN272" t="s">
        <v>3157</v>
      </c>
      <c r="AO272" t="s">
        <v>3158</v>
      </c>
      <c r="AP272" t="s">
        <v>68</v>
      </c>
      <c r="AR272" t="s">
        <v>3159</v>
      </c>
      <c r="AS272" t="s">
        <v>3160</v>
      </c>
      <c r="AT272" t="s">
        <v>3161</v>
      </c>
      <c r="AW272" s="14" t="s">
        <v>72</v>
      </c>
      <c r="AX272" s="14" t="s">
        <v>73</v>
      </c>
      <c r="AY272" s="14" t="s">
        <v>74</v>
      </c>
    </row>
    <row r="273" spans="1:51" ht="15" customHeight="1" x14ac:dyDescent="0.4">
      <c r="A273" s="12">
        <v>3603</v>
      </c>
      <c r="B273" s="21" t="s">
        <v>3162</v>
      </c>
      <c r="C273" s="13" t="s">
        <v>3163</v>
      </c>
      <c r="D273" s="25" t="s">
        <v>3163</v>
      </c>
      <c r="E273" s="13"/>
      <c r="F273" s="41"/>
      <c r="G273" s="41"/>
      <c r="H273" s="41"/>
      <c r="I273" s="14" t="s">
        <v>1829</v>
      </c>
      <c r="J273" s="15">
        <v>44736</v>
      </c>
      <c r="K273" t="s">
        <v>2719</v>
      </c>
      <c r="L273" t="s">
        <v>51</v>
      </c>
      <c r="M273" t="s">
        <v>52</v>
      </c>
      <c r="N273" t="s">
        <v>53</v>
      </c>
      <c r="O273" t="s">
        <v>54</v>
      </c>
      <c r="P273" t="s">
        <v>3164</v>
      </c>
      <c r="Q273" t="s">
        <v>56</v>
      </c>
      <c r="R273" s="21" t="s">
        <v>3165</v>
      </c>
      <c r="S273" s="21"/>
      <c r="T273" t="s">
        <v>3166</v>
      </c>
      <c r="U273" t="s">
        <v>3167</v>
      </c>
      <c r="X273" t="s">
        <v>1758</v>
      </c>
      <c r="Y273" t="s">
        <v>1832</v>
      </c>
      <c r="AA273" s="15"/>
      <c r="AC273">
        <v>35.435994000000001</v>
      </c>
      <c r="AD273">
        <v>-98.355638999999996</v>
      </c>
      <c r="AE273" t="s">
        <v>3168</v>
      </c>
      <c r="AH273" t="s">
        <v>1715</v>
      </c>
      <c r="AI273" t="s">
        <v>63</v>
      </c>
      <c r="AJ273" t="s">
        <v>3169</v>
      </c>
      <c r="AK273">
        <v>194429</v>
      </c>
      <c r="AM273" t="s">
        <v>3170</v>
      </c>
      <c r="AN273" t="s">
        <v>3171</v>
      </c>
      <c r="AO273" t="s">
        <v>3172</v>
      </c>
      <c r="AP273" t="s">
        <v>68</v>
      </c>
      <c r="AR273" t="s">
        <v>3173</v>
      </c>
      <c r="AS273" t="s">
        <v>3174</v>
      </c>
      <c r="AT273" t="s">
        <v>3175</v>
      </c>
      <c r="AW273" s="14" t="s">
        <v>72</v>
      </c>
      <c r="AX273" s="14" t="s">
        <v>73</v>
      </c>
      <c r="AY273" s="14" t="s">
        <v>74</v>
      </c>
    </row>
    <row r="274" spans="1:51" ht="15" customHeight="1" x14ac:dyDescent="0.4">
      <c r="A274" s="12">
        <v>3604</v>
      </c>
      <c r="B274" s="21" t="s">
        <v>3176</v>
      </c>
      <c r="C274" s="13" t="s">
        <v>3177</v>
      </c>
      <c r="D274" s="25" t="s">
        <v>3177</v>
      </c>
      <c r="E274" s="13"/>
      <c r="F274" s="41"/>
      <c r="G274" s="41"/>
      <c r="H274" s="41"/>
      <c r="I274" s="14" t="s">
        <v>3178</v>
      </c>
      <c r="J274" s="15">
        <v>44736</v>
      </c>
      <c r="K274" t="s">
        <v>2719</v>
      </c>
      <c r="L274" t="s">
        <v>51</v>
      </c>
      <c r="M274" t="s">
        <v>52</v>
      </c>
      <c r="N274" t="s">
        <v>53</v>
      </c>
      <c r="O274" t="s">
        <v>54</v>
      </c>
      <c r="P274" t="s">
        <v>3164</v>
      </c>
      <c r="Q274" t="s">
        <v>56</v>
      </c>
      <c r="R274" s="21" t="s">
        <v>3165</v>
      </c>
      <c r="S274" s="21"/>
      <c r="T274" t="s">
        <v>3166</v>
      </c>
      <c r="U274" t="s">
        <v>3179</v>
      </c>
      <c r="X274" t="s">
        <v>2321</v>
      </c>
      <c r="Y274" t="s">
        <v>3180</v>
      </c>
      <c r="Z274" t="s">
        <v>3181</v>
      </c>
      <c r="AA274" s="15" t="s">
        <v>3182</v>
      </c>
      <c r="AB274" t="s">
        <v>3183</v>
      </c>
      <c r="AC274">
        <v>35.435972</v>
      </c>
      <c r="AD274">
        <v>-98.355531999999997</v>
      </c>
      <c r="AE274" t="s">
        <v>3184</v>
      </c>
      <c r="AH274" t="s">
        <v>1715</v>
      </c>
      <c r="AI274" t="s">
        <v>63</v>
      </c>
      <c r="AJ274" t="s">
        <v>3185</v>
      </c>
      <c r="AK274">
        <v>193686</v>
      </c>
      <c r="AM274" t="s">
        <v>3186</v>
      </c>
      <c r="AN274" t="s">
        <v>3187</v>
      </c>
      <c r="AO274" t="s">
        <v>3188</v>
      </c>
      <c r="AP274" t="s">
        <v>68</v>
      </c>
      <c r="AR274" t="s">
        <v>3189</v>
      </c>
      <c r="AS274" t="s">
        <v>3190</v>
      </c>
      <c r="AT274" t="s">
        <v>3191</v>
      </c>
      <c r="AW274" s="14" t="e">
        <v>#N/A</v>
      </c>
      <c r="AX274" s="14" t="e">
        <v>#N/A</v>
      </c>
      <c r="AY274" s="14" t="e">
        <v>#N/A</v>
      </c>
    </row>
    <row r="275" spans="1:51" ht="15" customHeight="1" x14ac:dyDescent="0.4">
      <c r="A275" s="12">
        <v>3605</v>
      </c>
      <c r="B275" s="21" t="s">
        <v>3192</v>
      </c>
      <c r="C275" s="13"/>
      <c r="D275" s="25" t="s">
        <v>3193</v>
      </c>
      <c r="E275" s="13"/>
      <c r="F275" s="41" t="s">
        <v>3178</v>
      </c>
      <c r="G275" s="41"/>
      <c r="H275" s="41"/>
      <c r="I275" s="14" t="s">
        <v>3178</v>
      </c>
      <c r="J275" s="15">
        <v>44736</v>
      </c>
      <c r="K275" t="s">
        <v>2719</v>
      </c>
      <c r="L275" t="s">
        <v>51</v>
      </c>
      <c r="M275" t="s">
        <v>52</v>
      </c>
      <c r="N275" t="s">
        <v>53</v>
      </c>
      <c r="O275" t="s">
        <v>54</v>
      </c>
      <c r="P275" t="s">
        <v>3164</v>
      </c>
      <c r="Q275" t="s">
        <v>56</v>
      </c>
      <c r="R275" s="21" t="s">
        <v>3165</v>
      </c>
      <c r="S275" s="21"/>
      <c r="T275">
        <v>0</v>
      </c>
      <c r="U275">
        <v>0</v>
      </c>
      <c r="Y275" t="s">
        <v>3194</v>
      </c>
      <c r="Z275" t="s">
        <v>3183</v>
      </c>
      <c r="AA275" s="15" t="s">
        <v>3183</v>
      </c>
      <c r="AB275" t="s">
        <v>3183</v>
      </c>
      <c r="AC275">
        <v>35.436273</v>
      </c>
      <c r="AD275">
        <v>-98.355593900000002</v>
      </c>
      <c r="AE275" t="s">
        <v>3195</v>
      </c>
      <c r="AH275" t="s">
        <v>1715</v>
      </c>
      <c r="AI275" t="s">
        <v>63</v>
      </c>
      <c r="AJ275" t="s">
        <v>3196</v>
      </c>
      <c r="AK275">
        <v>193685</v>
      </c>
      <c r="AM275" t="s">
        <v>3197</v>
      </c>
      <c r="AN275" t="s">
        <v>3198</v>
      </c>
      <c r="AO275" t="s">
        <v>3199</v>
      </c>
      <c r="AP275" t="s">
        <v>68</v>
      </c>
      <c r="AR275" t="s">
        <v>3200</v>
      </c>
      <c r="AS275" t="s">
        <v>3201</v>
      </c>
      <c r="AT275" t="s">
        <v>3202</v>
      </c>
      <c r="AW275" s="14" t="e">
        <v>#N/A</v>
      </c>
      <c r="AX275" s="14" t="e">
        <v>#N/A</v>
      </c>
      <c r="AY275" s="14" t="e">
        <v>#N/A</v>
      </c>
    </row>
    <row r="276" spans="1:51" ht="15" customHeight="1" x14ac:dyDescent="0.4">
      <c r="A276" s="12">
        <v>3606</v>
      </c>
      <c r="B276" s="21" t="s">
        <v>3203</v>
      </c>
      <c r="C276" s="13" t="s">
        <v>3204</v>
      </c>
      <c r="D276" s="25" t="s">
        <v>3204</v>
      </c>
      <c r="E276" s="13"/>
      <c r="F276" s="41"/>
      <c r="G276" s="41"/>
      <c r="H276" s="41"/>
      <c r="I276" s="14" t="s">
        <v>1829</v>
      </c>
      <c r="J276" s="15">
        <v>44736</v>
      </c>
      <c r="K276" t="s">
        <v>2719</v>
      </c>
      <c r="L276" t="s">
        <v>51</v>
      </c>
      <c r="M276" t="s">
        <v>52</v>
      </c>
      <c r="N276" t="s">
        <v>53</v>
      </c>
      <c r="O276" t="s">
        <v>54</v>
      </c>
      <c r="P276" t="s">
        <v>3164</v>
      </c>
      <c r="Q276" t="s">
        <v>56</v>
      </c>
      <c r="R276" s="21" t="s">
        <v>3165</v>
      </c>
      <c r="S276" s="21"/>
      <c r="T276" t="s">
        <v>3205</v>
      </c>
      <c r="U276" t="s">
        <v>3206</v>
      </c>
      <c r="X276" t="s">
        <v>1758</v>
      </c>
      <c r="Y276" t="s">
        <v>1832</v>
      </c>
      <c r="AA276" s="15"/>
      <c r="AC276">
        <v>35.435383000000002</v>
      </c>
      <c r="AD276">
        <v>-98.354130999999995</v>
      </c>
      <c r="AE276" t="s">
        <v>3207</v>
      </c>
      <c r="AH276" t="s">
        <v>1715</v>
      </c>
      <c r="AI276" t="s">
        <v>63</v>
      </c>
      <c r="AJ276" t="s">
        <v>3208</v>
      </c>
      <c r="AK276">
        <v>194430</v>
      </c>
      <c r="AM276" t="s">
        <v>3209</v>
      </c>
      <c r="AN276" t="s">
        <v>3210</v>
      </c>
      <c r="AO276" t="s">
        <v>3211</v>
      </c>
      <c r="AP276" t="s">
        <v>68</v>
      </c>
      <c r="AR276" t="s">
        <v>3212</v>
      </c>
      <c r="AS276" t="s">
        <v>3213</v>
      </c>
      <c r="AT276" t="s">
        <v>3214</v>
      </c>
      <c r="AW276" s="14" t="s">
        <v>72</v>
      </c>
      <c r="AX276" s="14" t="s">
        <v>73</v>
      </c>
      <c r="AY276" s="14" t="s">
        <v>74</v>
      </c>
    </row>
    <row r="277" spans="1:51" ht="15" customHeight="1" x14ac:dyDescent="0.4">
      <c r="A277" s="12">
        <v>3607</v>
      </c>
      <c r="B277" s="21" t="s">
        <v>3215</v>
      </c>
      <c r="C277" s="13" t="s">
        <v>3216</v>
      </c>
      <c r="D277" s="25" t="s">
        <v>3216</v>
      </c>
      <c r="E277" s="13"/>
      <c r="F277" s="41"/>
      <c r="G277" s="41"/>
      <c r="H277" s="41"/>
      <c r="I277" s="14" t="s">
        <v>49</v>
      </c>
      <c r="J277" s="15">
        <v>44736</v>
      </c>
      <c r="K277" t="s">
        <v>2719</v>
      </c>
      <c r="L277" t="s">
        <v>51</v>
      </c>
      <c r="M277" t="s">
        <v>52</v>
      </c>
      <c r="N277" t="s">
        <v>53</v>
      </c>
      <c r="O277" t="s">
        <v>54</v>
      </c>
      <c r="P277" t="s">
        <v>3164</v>
      </c>
      <c r="Q277" t="s">
        <v>56</v>
      </c>
      <c r="R277" s="21" t="s">
        <v>3165</v>
      </c>
      <c r="S277" s="21"/>
      <c r="T277" t="s">
        <v>3205</v>
      </c>
      <c r="U277" t="s">
        <v>3217</v>
      </c>
      <c r="Y277" t="s">
        <v>60</v>
      </c>
      <c r="AA277" s="15"/>
      <c r="AC277">
        <v>35.435378</v>
      </c>
      <c r="AD277">
        <v>-98.354117000000002</v>
      </c>
      <c r="AE277" t="s">
        <v>3218</v>
      </c>
      <c r="AH277" t="s">
        <v>1715</v>
      </c>
      <c r="AI277" t="s">
        <v>63</v>
      </c>
      <c r="AJ277" t="s">
        <v>3219</v>
      </c>
      <c r="AK277">
        <v>194186</v>
      </c>
      <c r="AM277" t="s">
        <v>3220</v>
      </c>
      <c r="AN277" t="s">
        <v>3221</v>
      </c>
      <c r="AO277" t="s">
        <v>3222</v>
      </c>
      <c r="AP277" t="s">
        <v>68</v>
      </c>
      <c r="AR277" t="s">
        <v>3223</v>
      </c>
      <c r="AS277" t="s">
        <v>3224</v>
      </c>
      <c r="AT277" t="s">
        <v>3225</v>
      </c>
      <c r="AW277" s="14" t="s">
        <v>72</v>
      </c>
      <c r="AX277" s="14" t="s">
        <v>73</v>
      </c>
      <c r="AY277" s="14" t="s">
        <v>74</v>
      </c>
    </row>
    <row r="278" spans="1:51" ht="15" customHeight="1" x14ac:dyDescent="0.4">
      <c r="A278" s="12">
        <v>3608</v>
      </c>
      <c r="B278" s="21" t="s">
        <v>3226</v>
      </c>
      <c r="C278" s="13" t="s">
        <v>3227</v>
      </c>
      <c r="D278" s="25" t="s">
        <v>3227</v>
      </c>
      <c r="E278" s="13"/>
      <c r="F278" s="41"/>
      <c r="G278" s="41"/>
      <c r="H278" s="41"/>
      <c r="I278" s="14" t="s">
        <v>3178</v>
      </c>
      <c r="J278" s="15">
        <v>44736</v>
      </c>
      <c r="K278" t="s">
        <v>2719</v>
      </c>
      <c r="L278" t="s">
        <v>51</v>
      </c>
      <c r="M278" t="s">
        <v>52</v>
      </c>
      <c r="N278" t="s">
        <v>53</v>
      </c>
      <c r="O278" t="s">
        <v>54</v>
      </c>
      <c r="P278" t="s">
        <v>3164</v>
      </c>
      <c r="Q278" t="s">
        <v>56</v>
      </c>
      <c r="R278" s="21" t="s">
        <v>3165</v>
      </c>
      <c r="S278" s="21"/>
      <c r="T278" t="s">
        <v>3228</v>
      </c>
      <c r="U278" t="s">
        <v>3229</v>
      </c>
      <c r="X278" t="s">
        <v>1758</v>
      </c>
      <c r="Y278" t="s">
        <v>3194</v>
      </c>
      <c r="Z278" t="s">
        <v>3181</v>
      </c>
      <c r="AA278" s="15" t="s">
        <v>3182</v>
      </c>
      <c r="AB278" t="s">
        <v>3183</v>
      </c>
      <c r="AC278">
        <v>35.435200000000002</v>
      </c>
      <c r="AD278">
        <v>-98.353772000000006</v>
      </c>
      <c r="AE278" t="s">
        <v>3230</v>
      </c>
      <c r="AH278" t="s">
        <v>1715</v>
      </c>
      <c r="AI278" t="s">
        <v>63</v>
      </c>
      <c r="AJ278" t="s">
        <v>3231</v>
      </c>
      <c r="AK278">
        <v>193687</v>
      </c>
      <c r="AM278" t="s">
        <v>3232</v>
      </c>
      <c r="AN278" t="s">
        <v>3233</v>
      </c>
      <c r="AO278" t="s">
        <v>3234</v>
      </c>
      <c r="AP278" t="s">
        <v>68</v>
      </c>
      <c r="AR278" t="s">
        <v>3235</v>
      </c>
      <c r="AS278" t="s">
        <v>3236</v>
      </c>
      <c r="AT278" t="s">
        <v>3237</v>
      </c>
      <c r="AW278" s="14" t="e">
        <v>#N/A</v>
      </c>
      <c r="AX278" s="14" t="e">
        <v>#N/A</v>
      </c>
      <c r="AY278" s="14" t="e">
        <v>#N/A</v>
      </c>
    </row>
    <row r="279" spans="1:51" ht="15" customHeight="1" x14ac:dyDescent="0.4">
      <c r="A279" s="12">
        <v>3609</v>
      </c>
      <c r="B279" s="21" t="s">
        <v>3238</v>
      </c>
      <c r="C279" s="13" t="s">
        <v>3239</v>
      </c>
      <c r="D279" s="25" t="s">
        <v>3239</v>
      </c>
      <c r="E279" s="13"/>
      <c r="F279" s="41"/>
      <c r="G279" s="41"/>
      <c r="H279" s="41"/>
      <c r="I279" s="14" t="s">
        <v>3178</v>
      </c>
      <c r="J279" s="15">
        <v>44736</v>
      </c>
      <c r="K279" t="s">
        <v>2719</v>
      </c>
      <c r="L279" t="s">
        <v>51</v>
      </c>
      <c r="M279" t="s">
        <v>52</v>
      </c>
      <c r="N279" t="s">
        <v>53</v>
      </c>
      <c r="O279" t="s">
        <v>54</v>
      </c>
      <c r="P279" t="s">
        <v>3164</v>
      </c>
      <c r="Q279" t="s">
        <v>56</v>
      </c>
      <c r="R279" s="21" t="s">
        <v>3165</v>
      </c>
      <c r="S279" s="21"/>
      <c r="T279" t="s">
        <v>3240</v>
      </c>
      <c r="U279" t="s">
        <v>3241</v>
      </c>
      <c r="X279" t="s">
        <v>1758</v>
      </c>
      <c r="Y279" t="s">
        <v>3194</v>
      </c>
      <c r="Z279" t="s">
        <v>3181</v>
      </c>
      <c r="AA279" s="15" t="s">
        <v>3182</v>
      </c>
      <c r="AB279" t="s">
        <v>3183</v>
      </c>
      <c r="AC279">
        <v>35.435951000000003</v>
      </c>
      <c r="AD279">
        <v>-98.353643000000005</v>
      </c>
      <c r="AE279" t="s">
        <v>3242</v>
      </c>
      <c r="AH279" t="s">
        <v>1715</v>
      </c>
      <c r="AI279" t="s">
        <v>63</v>
      </c>
      <c r="AJ279" t="s">
        <v>3243</v>
      </c>
      <c r="AK279">
        <v>193688</v>
      </c>
      <c r="AM279" t="s">
        <v>3244</v>
      </c>
      <c r="AN279" t="s">
        <v>3245</v>
      </c>
      <c r="AO279" t="s">
        <v>3246</v>
      </c>
      <c r="AP279" t="s">
        <v>68</v>
      </c>
      <c r="AR279" t="s">
        <v>3247</v>
      </c>
      <c r="AS279" t="s">
        <v>3248</v>
      </c>
      <c r="AT279" t="s">
        <v>3249</v>
      </c>
      <c r="AW279" s="14" t="e">
        <v>#N/A</v>
      </c>
      <c r="AX279" s="14" t="e">
        <v>#N/A</v>
      </c>
      <c r="AY279" s="14" t="e">
        <v>#N/A</v>
      </c>
    </row>
    <row r="280" spans="1:51" ht="15" customHeight="1" x14ac:dyDescent="0.4">
      <c r="A280" s="12">
        <v>3610</v>
      </c>
      <c r="B280" s="21" t="s">
        <v>3250</v>
      </c>
      <c r="C280" s="13" t="s">
        <v>3251</v>
      </c>
      <c r="D280" s="25" t="s">
        <v>3251</v>
      </c>
      <c r="E280" s="13"/>
      <c r="F280" s="41"/>
      <c r="G280" s="41"/>
      <c r="H280" s="41"/>
      <c r="I280" s="14" t="s">
        <v>3178</v>
      </c>
      <c r="J280" s="15">
        <v>44736</v>
      </c>
      <c r="K280" t="s">
        <v>2719</v>
      </c>
      <c r="L280" t="s">
        <v>51</v>
      </c>
      <c r="M280" t="s">
        <v>52</v>
      </c>
      <c r="N280" t="s">
        <v>53</v>
      </c>
      <c r="O280" t="s">
        <v>54</v>
      </c>
      <c r="P280" t="s">
        <v>3164</v>
      </c>
      <c r="Q280" t="s">
        <v>56</v>
      </c>
      <c r="R280" s="21" t="s">
        <v>3165</v>
      </c>
      <c r="S280" s="21"/>
      <c r="T280" t="s">
        <v>3252</v>
      </c>
      <c r="U280" t="s">
        <v>3253</v>
      </c>
      <c r="Y280" t="s">
        <v>3180</v>
      </c>
      <c r="Z280" t="s">
        <v>3181</v>
      </c>
      <c r="AA280" s="15" t="s">
        <v>3182</v>
      </c>
      <c r="AB280" t="s">
        <v>3183</v>
      </c>
      <c r="AC280">
        <v>35.43638</v>
      </c>
      <c r="AD280">
        <v>-98.353536000000005</v>
      </c>
      <c r="AE280" t="s">
        <v>3254</v>
      </c>
      <c r="AH280" t="s">
        <v>1715</v>
      </c>
      <c r="AI280" t="s">
        <v>63</v>
      </c>
      <c r="AJ280" t="s">
        <v>3255</v>
      </c>
      <c r="AK280">
        <v>193689</v>
      </c>
      <c r="AM280" t="s">
        <v>3256</v>
      </c>
      <c r="AN280" t="s">
        <v>3257</v>
      </c>
      <c r="AO280" t="s">
        <v>3258</v>
      </c>
      <c r="AP280" t="s">
        <v>68</v>
      </c>
      <c r="AR280" t="s">
        <v>3259</v>
      </c>
      <c r="AS280" t="s">
        <v>3260</v>
      </c>
      <c r="AT280" t="s">
        <v>3261</v>
      </c>
      <c r="AW280" s="14" t="e">
        <v>#N/A</v>
      </c>
      <c r="AX280" s="14" t="e">
        <v>#N/A</v>
      </c>
      <c r="AY280" s="14" t="e">
        <v>#N/A</v>
      </c>
    </row>
    <row r="281" spans="1:51" s="52" customFormat="1" ht="15" customHeight="1" x14ac:dyDescent="0.4">
      <c r="A281" s="47">
        <v>3611</v>
      </c>
      <c r="B281" s="48" t="s">
        <v>3262</v>
      </c>
      <c r="C281" s="49" t="s">
        <v>3263</v>
      </c>
      <c r="D281" s="50" t="s">
        <v>3263</v>
      </c>
      <c r="E281" s="49"/>
      <c r="F281" s="51" t="s">
        <v>8134</v>
      </c>
      <c r="G281" s="51" t="s">
        <v>8135</v>
      </c>
      <c r="H281" s="51"/>
      <c r="I281" s="52" t="s">
        <v>3178</v>
      </c>
      <c r="J281" s="53">
        <v>44736</v>
      </c>
      <c r="K281" s="52" t="s">
        <v>2719</v>
      </c>
      <c r="L281" s="52" t="s">
        <v>51</v>
      </c>
      <c r="M281" s="52" t="s">
        <v>52</v>
      </c>
      <c r="N281" s="52" t="s">
        <v>53</v>
      </c>
      <c r="O281" s="52" t="s">
        <v>54</v>
      </c>
      <c r="P281" s="52" t="s">
        <v>3164</v>
      </c>
      <c r="Q281" s="52" t="s">
        <v>56</v>
      </c>
      <c r="R281" s="48" t="s">
        <v>3165</v>
      </c>
      <c r="S281" s="48"/>
      <c r="T281" s="52" t="s">
        <v>3252</v>
      </c>
      <c r="U281" s="52" t="s">
        <v>3264</v>
      </c>
      <c r="Y281" s="52" t="s">
        <v>3194</v>
      </c>
      <c r="Z281" s="52" t="s">
        <v>3181</v>
      </c>
      <c r="AA281" s="53" t="s">
        <v>3182</v>
      </c>
      <c r="AB281" s="52" t="s">
        <v>3183</v>
      </c>
      <c r="AC281" s="52">
        <v>35.436551999999999</v>
      </c>
      <c r="AD281" s="52">
        <v>-98.353515000000002</v>
      </c>
      <c r="AE281" s="52" t="s">
        <v>3265</v>
      </c>
      <c r="AH281" s="52" t="s">
        <v>1715</v>
      </c>
      <c r="AI281" s="52" t="s">
        <v>63</v>
      </c>
      <c r="AJ281" s="52" t="s">
        <v>3266</v>
      </c>
      <c r="AK281" s="52">
        <v>192572</v>
      </c>
      <c r="AM281" s="52" t="s">
        <v>3267</v>
      </c>
      <c r="AN281" s="52" t="s">
        <v>3268</v>
      </c>
      <c r="AO281" s="52" t="s">
        <v>3269</v>
      </c>
      <c r="AP281" s="52" t="s">
        <v>68</v>
      </c>
      <c r="AR281" s="52" t="s">
        <v>3270</v>
      </c>
      <c r="AS281" s="52" t="s">
        <v>3271</v>
      </c>
      <c r="AT281" s="52" t="s">
        <v>3272</v>
      </c>
      <c r="AW281" s="52" t="e">
        <v>#N/A</v>
      </c>
      <c r="AX281" s="52" t="e">
        <v>#N/A</v>
      </c>
      <c r="AY281" s="52" t="e">
        <v>#N/A</v>
      </c>
    </row>
    <row r="282" spans="1:51" ht="15" customHeight="1" x14ac:dyDescent="0.4">
      <c r="A282" s="12">
        <v>3612</v>
      </c>
      <c r="B282" s="21" t="s">
        <v>3273</v>
      </c>
      <c r="C282" s="13" t="s">
        <v>3274</v>
      </c>
      <c r="D282" s="25" t="s">
        <v>3274</v>
      </c>
      <c r="E282" s="13"/>
      <c r="F282" s="41"/>
      <c r="G282" s="41"/>
      <c r="H282" s="41"/>
      <c r="I282" s="14" t="s">
        <v>1829</v>
      </c>
      <c r="J282" s="15">
        <v>44736</v>
      </c>
      <c r="K282" t="s">
        <v>2719</v>
      </c>
      <c r="L282" t="s">
        <v>51</v>
      </c>
      <c r="M282" t="s">
        <v>52</v>
      </c>
      <c r="N282" t="s">
        <v>53</v>
      </c>
      <c r="O282" t="s">
        <v>54</v>
      </c>
      <c r="P282" t="s">
        <v>3164</v>
      </c>
      <c r="Q282" t="s">
        <v>56</v>
      </c>
      <c r="R282" s="21" t="s">
        <v>3165</v>
      </c>
      <c r="S282" s="21"/>
      <c r="T282" t="s">
        <v>3252</v>
      </c>
      <c r="U282" t="s">
        <v>3275</v>
      </c>
      <c r="X282" t="s">
        <v>1758</v>
      </c>
      <c r="Y282" t="s">
        <v>1832</v>
      </c>
      <c r="AA282" s="15"/>
      <c r="AC282">
        <v>35.436537999999999</v>
      </c>
      <c r="AD282">
        <v>-98.353515000000002</v>
      </c>
      <c r="AE282" t="s">
        <v>3276</v>
      </c>
      <c r="AH282" t="s">
        <v>1715</v>
      </c>
      <c r="AI282" t="s">
        <v>63</v>
      </c>
      <c r="AJ282" t="s">
        <v>3277</v>
      </c>
      <c r="AK282">
        <v>194431</v>
      </c>
      <c r="AM282" t="s">
        <v>3278</v>
      </c>
      <c r="AN282" t="s">
        <v>3279</v>
      </c>
      <c r="AO282" t="s">
        <v>3280</v>
      </c>
      <c r="AP282" t="s">
        <v>68</v>
      </c>
      <c r="AR282" t="s">
        <v>3281</v>
      </c>
      <c r="AS282" t="s">
        <v>3282</v>
      </c>
      <c r="AT282" t="s">
        <v>3283</v>
      </c>
      <c r="AW282" s="14" t="s">
        <v>72</v>
      </c>
      <c r="AX282" s="14" t="s">
        <v>73</v>
      </c>
      <c r="AY282" s="14" t="s">
        <v>74</v>
      </c>
    </row>
    <row r="283" spans="1:51" ht="15" customHeight="1" x14ac:dyDescent="0.4">
      <c r="A283" s="12">
        <v>3613</v>
      </c>
      <c r="B283" s="21" t="s">
        <v>3284</v>
      </c>
      <c r="C283" s="13" t="s">
        <v>3285</v>
      </c>
      <c r="D283" s="25" t="s">
        <v>3285</v>
      </c>
      <c r="E283" s="13"/>
      <c r="F283" s="41"/>
      <c r="G283" s="41"/>
      <c r="H283" s="41"/>
      <c r="I283" s="14" t="s">
        <v>1829</v>
      </c>
      <c r="J283" s="15">
        <v>44736</v>
      </c>
      <c r="K283" t="s">
        <v>2719</v>
      </c>
      <c r="L283" t="s">
        <v>51</v>
      </c>
      <c r="M283" t="s">
        <v>52</v>
      </c>
      <c r="N283" t="s">
        <v>53</v>
      </c>
      <c r="O283" t="s">
        <v>54</v>
      </c>
      <c r="P283" t="s">
        <v>3164</v>
      </c>
      <c r="Q283" t="s">
        <v>56</v>
      </c>
      <c r="R283" s="21" t="s">
        <v>3165</v>
      </c>
      <c r="S283" s="21"/>
      <c r="T283" t="s">
        <v>3286</v>
      </c>
      <c r="U283" t="s">
        <v>3287</v>
      </c>
      <c r="Y283" t="s">
        <v>1832</v>
      </c>
      <c r="AA283" s="15"/>
      <c r="AC283">
        <v>35.436036999999999</v>
      </c>
      <c r="AD283">
        <v>-98.353943999999998</v>
      </c>
      <c r="AE283" t="s">
        <v>3230</v>
      </c>
      <c r="AH283" t="s">
        <v>1715</v>
      </c>
      <c r="AI283" t="s">
        <v>63</v>
      </c>
      <c r="AJ283" t="s">
        <v>3288</v>
      </c>
      <c r="AK283">
        <v>194432</v>
      </c>
      <c r="AM283" t="s">
        <v>3289</v>
      </c>
      <c r="AN283" t="s">
        <v>3290</v>
      </c>
      <c r="AO283" t="s">
        <v>3291</v>
      </c>
      <c r="AP283" t="s">
        <v>68</v>
      </c>
      <c r="AR283" t="s">
        <v>3292</v>
      </c>
      <c r="AS283" t="s">
        <v>3293</v>
      </c>
      <c r="AT283" t="s">
        <v>3294</v>
      </c>
      <c r="AW283" s="14" t="s">
        <v>72</v>
      </c>
      <c r="AX283" s="14" t="s">
        <v>73</v>
      </c>
      <c r="AY283" s="14" t="s">
        <v>74</v>
      </c>
    </row>
    <row r="284" spans="1:51" ht="15" customHeight="1" x14ac:dyDescent="0.4">
      <c r="A284" s="12">
        <v>3614</v>
      </c>
      <c r="B284" s="21" t="s">
        <v>3295</v>
      </c>
      <c r="C284" s="13" t="s">
        <v>3296</v>
      </c>
      <c r="D284" s="25" t="s">
        <v>3296</v>
      </c>
      <c r="E284" s="13"/>
      <c r="F284" s="41"/>
      <c r="G284" s="41"/>
      <c r="H284" s="41"/>
      <c r="I284" s="14" t="s">
        <v>1829</v>
      </c>
      <c r="J284" s="15">
        <v>44736</v>
      </c>
      <c r="K284" t="s">
        <v>2719</v>
      </c>
      <c r="L284" t="s">
        <v>51</v>
      </c>
      <c r="M284" t="s">
        <v>52</v>
      </c>
      <c r="N284" t="s">
        <v>53</v>
      </c>
      <c r="O284" t="s">
        <v>54</v>
      </c>
      <c r="P284" t="s">
        <v>3164</v>
      </c>
      <c r="Q284" t="s">
        <v>56</v>
      </c>
      <c r="R284" s="21" t="s">
        <v>3165</v>
      </c>
      <c r="S284" s="21"/>
      <c r="T284" t="s">
        <v>3297</v>
      </c>
      <c r="U284" t="s">
        <v>3298</v>
      </c>
      <c r="X284" t="s">
        <v>1758</v>
      </c>
      <c r="Y284" t="s">
        <v>1832</v>
      </c>
      <c r="AA284" s="15"/>
      <c r="AC284">
        <v>35.445520999999999</v>
      </c>
      <c r="AD284">
        <v>-98.353314999999995</v>
      </c>
      <c r="AE284" t="s">
        <v>3207</v>
      </c>
      <c r="AH284" t="s">
        <v>1715</v>
      </c>
      <c r="AI284" t="s">
        <v>63</v>
      </c>
      <c r="AJ284" t="s">
        <v>3299</v>
      </c>
      <c r="AK284">
        <v>194433</v>
      </c>
      <c r="AM284" t="s">
        <v>3300</v>
      </c>
      <c r="AN284" t="s">
        <v>3301</v>
      </c>
      <c r="AO284" t="s">
        <v>3302</v>
      </c>
      <c r="AP284" t="s">
        <v>68</v>
      </c>
      <c r="AR284" t="s">
        <v>3303</v>
      </c>
      <c r="AS284" t="s">
        <v>3304</v>
      </c>
      <c r="AT284" t="s">
        <v>3305</v>
      </c>
      <c r="AW284" s="14" t="s">
        <v>72</v>
      </c>
      <c r="AX284" s="14" t="s">
        <v>73</v>
      </c>
      <c r="AY284" s="14" t="s">
        <v>74</v>
      </c>
    </row>
    <row r="285" spans="1:51" ht="15" customHeight="1" x14ac:dyDescent="0.4">
      <c r="A285" s="12">
        <v>3615</v>
      </c>
      <c r="B285" s="21" t="s">
        <v>3306</v>
      </c>
      <c r="C285" s="13" t="s">
        <v>3307</v>
      </c>
      <c r="D285" s="25" t="s">
        <v>3307</v>
      </c>
      <c r="E285" s="13"/>
      <c r="F285" s="41"/>
      <c r="G285" s="41"/>
      <c r="H285" s="41"/>
      <c r="I285" s="14" t="s">
        <v>49</v>
      </c>
      <c r="J285" s="15">
        <v>44736</v>
      </c>
      <c r="K285" t="s">
        <v>2719</v>
      </c>
      <c r="L285" t="s">
        <v>51</v>
      </c>
      <c r="M285" t="s">
        <v>52</v>
      </c>
      <c r="N285" t="s">
        <v>53</v>
      </c>
      <c r="O285" t="s">
        <v>54</v>
      </c>
      <c r="P285" t="s">
        <v>3164</v>
      </c>
      <c r="Q285" t="s">
        <v>56</v>
      </c>
      <c r="R285" s="21" t="s">
        <v>3165</v>
      </c>
      <c r="S285" s="21"/>
      <c r="T285" t="s">
        <v>3308</v>
      </c>
      <c r="U285" t="s">
        <v>3309</v>
      </c>
      <c r="X285" t="s">
        <v>1758</v>
      </c>
      <c r="Y285" t="s">
        <v>60</v>
      </c>
      <c r="AA285" s="15"/>
      <c r="AC285">
        <v>35.450242000000003</v>
      </c>
      <c r="AD285">
        <v>-98.352763999999993</v>
      </c>
      <c r="AE285" t="s">
        <v>3310</v>
      </c>
      <c r="AH285" t="s">
        <v>1715</v>
      </c>
      <c r="AI285" t="s">
        <v>63</v>
      </c>
      <c r="AJ285" t="s">
        <v>3311</v>
      </c>
      <c r="AK285">
        <v>194187</v>
      </c>
      <c r="AM285" t="s">
        <v>3312</v>
      </c>
      <c r="AN285" t="s">
        <v>3313</v>
      </c>
      <c r="AO285" t="s">
        <v>3314</v>
      </c>
      <c r="AP285" t="s">
        <v>68</v>
      </c>
      <c r="AR285" t="s">
        <v>3315</v>
      </c>
      <c r="AS285" t="s">
        <v>3316</v>
      </c>
      <c r="AT285" t="s">
        <v>3317</v>
      </c>
      <c r="AW285" s="14" t="s">
        <v>72</v>
      </c>
      <c r="AX285" s="14" t="s">
        <v>73</v>
      </c>
      <c r="AY285" s="14" t="s">
        <v>74</v>
      </c>
    </row>
    <row r="286" spans="1:51" ht="15" customHeight="1" x14ac:dyDescent="0.4">
      <c r="A286" s="12">
        <v>3616</v>
      </c>
      <c r="B286" s="21" t="s">
        <v>3318</v>
      </c>
      <c r="C286" s="13" t="s">
        <v>3319</v>
      </c>
      <c r="D286" s="25" t="s">
        <v>3319</v>
      </c>
      <c r="E286" s="13"/>
      <c r="F286" s="41"/>
      <c r="G286" s="41"/>
      <c r="H286" s="41"/>
      <c r="I286" s="14" t="s">
        <v>49</v>
      </c>
      <c r="J286" s="15">
        <v>44736</v>
      </c>
      <c r="K286" t="s">
        <v>2719</v>
      </c>
      <c r="L286" t="s">
        <v>51</v>
      </c>
      <c r="M286" t="s">
        <v>52</v>
      </c>
      <c r="N286" t="s">
        <v>53</v>
      </c>
      <c r="O286" t="s">
        <v>54</v>
      </c>
      <c r="P286" t="s">
        <v>3164</v>
      </c>
      <c r="Q286" t="s">
        <v>56</v>
      </c>
      <c r="R286" s="21" t="s">
        <v>3165</v>
      </c>
      <c r="S286" s="21"/>
      <c r="T286" t="s">
        <v>3320</v>
      </c>
      <c r="U286" t="s">
        <v>3321</v>
      </c>
      <c r="Y286" t="s">
        <v>60</v>
      </c>
      <c r="AA286" s="15"/>
      <c r="AC286">
        <v>35.456636000000003</v>
      </c>
      <c r="AD286">
        <v>-98.354330000000004</v>
      </c>
      <c r="AE286" t="s">
        <v>3322</v>
      </c>
      <c r="AH286" t="s">
        <v>1715</v>
      </c>
      <c r="AI286" t="s">
        <v>63</v>
      </c>
      <c r="AJ286" t="s">
        <v>3323</v>
      </c>
      <c r="AK286">
        <v>193372</v>
      </c>
      <c r="AM286" t="s">
        <v>3324</v>
      </c>
      <c r="AN286" t="s">
        <v>3325</v>
      </c>
      <c r="AO286" t="s">
        <v>3326</v>
      </c>
      <c r="AP286" t="s">
        <v>68</v>
      </c>
      <c r="AR286" t="s">
        <v>3327</v>
      </c>
      <c r="AS286" t="s">
        <v>3328</v>
      </c>
      <c r="AT286" t="s">
        <v>3329</v>
      </c>
      <c r="AW286" s="14" t="s">
        <v>72</v>
      </c>
      <c r="AX286" s="14" t="s">
        <v>73</v>
      </c>
      <c r="AY286" s="14" t="s">
        <v>74</v>
      </c>
    </row>
    <row r="287" spans="1:51" ht="15" customHeight="1" x14ac:dyDescent="0.4">
      <c r="A287" s="12">
        <v>3617</v>
      </c>
      <c r="B287" s="21" t="s">
        <v>3330</v>
      </c>
      <c r="C287" s="13" t="s">
        <v>3331</v>
      </c>
      <c r="D287" s="25" t="s">
        <v>3331</v>
      </c>
      <c r="E287" s="13"/>
      <c r="F287" s="41"/>
      <c r="G287" s="41"/>
      <c r="H287" s="41"/>
      <c r="I287" s="14" t="s">
        <v>49</v>
      </c>
      <c r="J287" s="15">
        <v>44736</v>
      </c>
      <c r="K287" t="s">
        <v>2719</v>
      </c>
      <c r="L287" t="s">
        <v>51</v>
      </c>
      <c r="M287" t="s">
        <v>52</v>
      </c>
      <c r="N287" t="s">
        <v>53</v>
      </c>
      <c r="O287" t="s">
        <v>54</v>
      </c>
      <c r="P287" t="s">
        <v>3164</v>
      </c>
      <c r="Q287" t="s">
        <v>56</v>
      </c>
      <c r="R287" s="21" t="s">
        <v>3165</v>
      </c>
      <c r="S287" s="21"/>
      <c r="T287" t="s">
        <v>3332</v>
      </c>
      <c r="U287" t="s">
        <v>3333</v>
      </c>
      <c r="Y287" t="s">
        <v>60</v>
      </c>
      <c r="AA287" s="15"/>
      <c r="AC287">
        <v>35.457220999999997</v>
      </c>
      <c r="AD287">
        <v>-98.353656000000001</v>
      </c>
      <c r="AE287" t="s">
        <v>3334</v>
      </c>
      <c r="AH287" t="s">
        <v>1715</v>
      </c>
      <c r="AI287" t="s">
        <v>63</v>
      </c>
      <c r="AJ287" t="s">
        <v>3335</v>
      </c>
      <c r="AK287">
        <v>194188</v>
      </c>
      <c r="AM287" t="s">
        <v>3336</v>
      </c>
      <c r="AN287" t="s">
        <v>3337</v>
      </c>
      <c r="AO287" t="s">
        <v>3338</v>
      </c>
      <c r="AP287" t="s">
        <v>68</v>
      </c>
      <c r="AR287" t="s">
        <v>3339</v>
      </c>
      <c r="AS287" t="s">
        <v>3340</v>
      </c>
      <c r="AT287" t="s">
        <v>3341</v>
      </c>
      <c r="AW287" s="14" t="s">
        <v>72</v>
      </c>
      <c r="AX287" s="14" t="s">
        <v>73</v>
      </c>
      <c r="AY287" s="14" t="s">
        <v>74</v>
      </c>
    </row>
    <row r="288" spans="1:51" s="34" customFormat="1" ht="15" customHeight="1" x14ac:dyDescent="0.4">
      <c r="A288" s="33">
        <v>3618</v>
      </c>
      <c r="B288" s="37" t="s">
        <v>3342</v>
      </c>
      <c r="C288" s="35" t="s">
        <v>3343</v>
      </c>
      <c r="D288" s="55" t="s">
        <v>3343</v>
      </c>
      <c r="E288" s="35"/>
      <c r="F288" s="42" t="s">
        <v>8142</v>
      </c>
      <c r="G288" s="42"/>
      <c r="H288" s="42"/>
      <c r="I288" s="34" t="s">
        <v>49</v>
      </c>
      <c r="J288" s="36">
        <v>44736</v>
      </c>
      <c r="K288" s="34" t="s">
        <v>2719</v>
      </c>
      <c r="L288" s="34" t="s">
        <v>51</v>
      </c>
      <c r="M288" s="34" t="s">
        <v>52</v>
      </c>
      <c r="N288" s="34" t="s">
        <v>53</v>
      </c>
      <c r="O288" s="34" t="s">
        <v>54</v>
      </c>
      <c r="P288" s="34" t="s">
        <v>3164</v>
      </c>
      <c r="Q288" s="34" t="s">
        <v>56</v>
      </c>
      <c r="R288" s="37" t="s">
        <v>3165</v>
      </c>
      <c r="S288" s="37"/>
      <c r="T288" s="34" t="s">
        <v>3344</v>
      </c>
      <c r="U288" s="34" t="s">
        <v>3345</v>
      </c>
      <c r="Y288" s="34" t="s">
        <v>60</v>
      </c>
      <c r="AA288" s="36"/>
      <c r="AC288" s="34">
        <v>35.457323000000002</v>
      </c>
      <c r="AD288" s="34">
        <v>-98.352419999999995</v>
      </c>
      <c r="AE288" s="34" t="s">
        <v>3346</v>
      </c>
      <c r="AH288" s="34" t="s">
        <v>1715</v>
      </c>
      <c r="AI288" s="34" t="s">
        <v>63</v>
      </c>
      <c r="AJ288" s="34" t="s">
        <v>3347</v>
      </c>
      <c r="AK288" s="34">
        <v>193367</v>
      </c>
      <c r="AM288" s="34" t="s">
        <v>3348</v>
      </c>
      <c r="AN288" s="34" t="s">
        <v>3349</v>
      </c>
      <c r="AO288" s="34" t="s">
        <v>3350</v>
      </c>
      <c r="AP288" s="34" t="s">
        <v>68</v>
      </c>
      <c r="AR288" s="34" t="s">
        <v>3351</v>
      </c>
      <c r="AS288" s="34" t="s">
        <v>3352</v>
      </c>
      <c r="AT288" s="34" t="s">
        <v>3353</v>
      </c>
      <c r="AW288" s="34" t="s">
        <v>72</v>
      </c>
      <c r="AX288" s="34" t="s">
        <v>73</v>
      </c>
      <c r="AY288" s="34" t="s">
        <v>74</v>
      </c>
    </row>
    <row r="289" spans="1:51" ht="15" customHeight="1" x14ac:dyDescent="0.4">
      <c r="A289" s="12">
        <v>3619</v>
      </c>
      <c r="B289" s="21" t="s">
        <v>3354</v>
      </c>
      <c r="C289" s="13" t="s">
        <v>3355</v>
      </c>
      <c r="D289" s="25" t="s">
        <v>3355</v>
      </c>
      <c r="E289" s="13"/>
      <c r="F289" s="41"/>
      <c r="G289" s="41"/>
      <c r="H289" s="41"/>
      <c r="I289" s="14" t="s">
        <v>3178</v>
      </c>
      <c r="J289" s="15">
        <v>44736</v>
      </c>
      <c r="K289" t="s">
        <v>2719</v>
      </c>
      <c r="L289" t="s">
        <v>51</v>
      </c>
      <c r="M289" t="s">
        <v>52</v>
      </c>
      <c r="N289" t="s">
        <v>53</v>
      </c>
      <c r="O289" t="s">
        <v>54</v>
      </c>
      <c r="P289" t="s">
        <v>3164</v>
      </c>
      <c r="Q289" t="s">
        <v>56</v>
      </c>
      <c r="R289" s="21" t="s">
        <v>3165</v>
      </c>
      <c r="S289" s="21"/>
      <c r="T289" t="s">
        <v>3356</v>
      </c>
      <c r="U289" t="s">
        <v>3357</v>
      </c>
      <c r="X289" t="s">
        <v>1758</v>
      </c>
      <c r="Y289" t="s">
        <v>3180</v>
      </c>
      <c r="Z289" t="s">
        <v>3181</v>
      </c>
      <c r="AA289" s="15" t="s">
        <v>3182</v>
      </c>
      <c r="AB289" t="s">
        <v>3183</v>
      </c>
      <c r="AC289">
        <v>35.436058000000003</v>
      </c>
      <c r="AD289">
        <v>-98.355745999999996</v>
      </c>
      <c r="AE289" t="s">
        <v>3358</v>
      </c>
      <c r="AH289" t="s">
        <v>1715</v>
      </c>
      <c r="AI289" t="s">
        <v>63</v>
      </c>
      <c r="AJ289" t="s">
        <v>3359</v>
      </c>
      <c r="AK289">
        <v>193690</v>
      </c>
      <c r="AM289" t="s">
        <v>3360</v>
      </c>
      <c r="AN289" t="s">
        <v>3361</v>
      </c>
      <c r="AO289" t="s">
        <v>3362</v>
      </c>
      <c r="AP289" t="s">
        <v>68</v>
      </c>
      <c r="AR289" t="s">
        <v>3363</v>
      </c>
      <c r="AS289" t="s">
        <v>3364</v>
      </c>
      <c r="AT289" t="s">
        <v>3365</v>
      </c>
      <c r="AW289" s="14" t="e">
        <v>#N/A</v>
      </c>
      <c r="AX289" s="14" t="e">
        <v>#N/A</v>
      </c>
      <c r="AY289" s="14" t="e">
        <v>#N/A</v>
      </c>
    </row>
    <row r="290" spans="1:51" ht="15" customHeight="1" x14ac:dyDescent="0.4">
      <c r="A290" s="12">
        <v>3620</v>
      </c>
      <c r="B290" s="21" t="s">
        <v>3366</v>
      </c>
      <c r="C290" s="13" t="s">
        <v>3367</v>
      </c>
      <c r="D290" s="25" t="s">
        <v>3367</v>
      </c>
      <c r="E290" s="13"/>
      <c r="F290" s="41"/>
      <c r="G290" s="41"/>
      <c r="H290" s="41"/>
      <c r="I290" s="14" t="s">
        <v>49</v>
      </c>
      <c r="J290" s="15">
        <v>44737</v>
      </c>
      <c r="K290" t="s">
        <v>2719</v>
      </c>
      <c r="L290" t="s">
        <v>51</v>
      </c>
      <c r="M290" t="s">
        <v>52</v>
      </c>
      <c r="N290" t="s">
        <v>53</v>
      </c>
      <c r="O290" t="s">
        <v>54</v>
      </c>
      <c r="P290" t="s">
        <v>3368</v>
      </c>
      <c r="Q290" t="s">
        <v>56</v>
      </c>
      <c r="R290" s="21" t="s">
        <v>3369</v>
      </c>
      <c r="S290" s="21"/>
      <c r="T290" t="s">
        <v>3370</v>
      </c>
      <c r="U290" t="s">
        <v>3371</v>
      </c>
      <c r="X290" t="s">
        <v>1758</v>
      </c>
      <c r="Y290" t="s">
        <v>60</v>
      </c>
      <c r="AA290" s="15"/>
      <c r="AC290">
        <v>36.845101</v>
      </c>
      <c r="AD290">
        <v>-96.426447999999993</v>
      </c>
      <c r="AE290" t="s">
        <v>3372</v>
      </c>
      <c r="AH290" t="s">
        <v>1715</v>
      </c>
      <c r="AI290" t="s">
        <v>63</v>
      </c>
      <c r="AJ290" t="s">
        <v>3373</v>
      </c>
      <c r="AK290">
        <v>194189</v>
      </c>
      <c r="AM290" t="s">
        <v>3374</v>
      </c>
      <c r="AN290" t="s">
        <v>3375</v>
      </c>
      <c r="AO290" t="s">
        <v>3376</v>
      </c>
      <c r="AP290" t="s">
        <v>68</v>
      </c>
      <c r="AR290" t="s">
        <v>3377</v>
      </c>
      <c r="AS290" t="s">
        <v>3378</v>
      </c>
      <c r="AT290" t="s">
        <v>3379</v>
      </c>
      <c r="AW290" s="14" t="s">
        <v>72</v>
      </c>
      <c r="AX290" s="14" t="s">
        <v>73</v>
      </c>
      <c r="AY290" s="14" t="s">
        <v>74</v>
      </c>
    </row>
    <row r="291" spans="1:51" ht="15" customHeight="1" x14ac:dyDescent="0.4">
      <c r="A291" s="12">
        <v>3621</v>
      </c>
      <c r="B291" s="21" t="s">
        <v>3380</v>
      </c>
      <c r="C291" s="13" t="s">
        <v>3381</v>
      </c>
      <c r="D291" s="25" t="s">
        <v>3381</v>
      </c>
      <c r="E291" s="13"/>
      <c r="F291" s="41"/>
      <c r="G291" s="41"/>
      <c r="H291" s="41"/>
      <c r="I291" s="14" t="s">
        <v>49</v>
      </c>
      <c r="J291" s="15">
        <v>44737</v>
      </c>
      <c r="K291" t="s">
        <v>2719</v>
      </c>
      <c r="L291" t="s">
        <v>51</v>
      </c>
      <c r="M291" t="s">
        <v>52</v>
      </c>
      <c r="N291" t="s">
        <v>53</v>
      </c>
      <c r="O291" t="s">
        <v>54</v>
      </c>
      <c r="P291" t="s">
        <v>3368</v>
      </c>
      <c r="Q291" t="s">
        <v>56</v>
      </c>
      <c r="R291" s="21" t="s">
        <v>3369</v>
      </c>
      <c r="S291" s="21"/>
      <c r="T291" t="s">
        <v>3382</v>
      </c>
      <c r="U291" t="s">
        <v>3383</v>
      </c>
      <c r="X291" t="s">
        <v>1758</v>
      </c>
      <c r="Y291" t="s">
        <v>60</v>
      </c>
      <c r="AA291" s="15"/>
      <c r="AC291">
        <v>36.845784000000002</v>
      </c>
      <c r="AD291">
        <v>-96.426593999999994</v>
      </c>
      <c r="AE291" t="s">
        <v>3384</v>
      </c>
      <c r="AH291" t="s">
        <v>1715</v>
      </c>
      <c r="AI291" t="s">
        <v>63</v>
      </c>
      <c r="AJ291" t="s">
        <v>3385</v>
      </c>
      <c r="AK291">
        <v>194190</v>
      </c>
      <c r="AM291" t="s">
        <v>3386</v>
      </c>
      <c r="AN291" t="s">
        <v>3387</v>
      </c>
      <c r="AO291" t="s">
        <v>3388</v>
      </c>
      <c r="AP291" t="s">
        <v>68</v>
      </c>
      <c r="AR291" t="s">
        <v>3389</v>
      </c>
      <c r="AS291" t="s">
        <v>3390</v>
      </c>
      <c r="AT291" t="s">
        <v>3391</v>
      </c>
      <c r="AW291" s="14" t="s">
        <v>72</v>
      </c>
      <c r="AX291" s="14" t="s">
        <v>73</v>
      </c>
      <c r="AY291" s="14" t="s">
        <v>74</v>
      </c>
    </row>
    <row r="292" spans="1:51" ht="15" customHeight="1" x14ac:dyDescent="0.4">
      <c r="A292" s="12">
        <v>3622</v>
      </c>
      <c r="B292" s="21" t="s">
        <v>3392</v>
      </c>
      <c r="C292" s="13" t="s">
        <v>3393</v>
      </c>
      <c r="D292" s="25" t="s">
        <v>3393</v>
      </c>
      <c r="E292" s="13"/>
      <c r="F292" s="41"/>
      <c r="G292" s="41"/>
      <c r="H292" s="41"/>
      <c r="I292" s="14" t="s">
        <v>1752</v>
      </c>
      <c r="J292" s="15">
        <v>44737</v>
      </c>
      <c r="K292" t="s">
        <v>2719</v>
      </c>
      <c r="L292" t="s">
        <v>51</v>
      </c>
      <c r="M292" t="s">
        <v>52</v>
      </c>
      <c r="N292" t="s">
        <v>53</v>
      </c>
      <c r="O292" t="s">
        <v>54</v>
      </c>
      <c r="P292" t="s">
        <v>3368</v>
      </c>
      <c r="Q292" t="s">
        <v>56</v>
      </c>
      <c r="R292" s="21" t="s">
        <v>3369</v>
      </c>
      <c r="S292" s="21"/>
      <c r="T292" t="s">
        <v>3394</v>
      </c>
      <c r="U292" t="s">
        <v>3395</v>
      </c>
      <c r="Y292" t="s">
        <v>1759</v>
      </c>
      <c r="AA292" s="15"/>
      <c r="AC292">
        <v>36.845564000000003</v>
      </c>
      <c r="AD292">
        <v>-96.428413000000006</v>
      </c>
      <c r="AE292" t="s">
        <v>3396</v>
      </c>
      <c r="AH292" t="s">
        <v>1715</v>
      </c>
      <c r="AI292" t="s">
        <v>63</v>
      </c>
      <c r="AJ292" t="s">
        <v>3397</v>
      </c>
      <c r="AK292">
        <v>193520</v>
      </c>
      <c r="AM292" t="s">
        <v>3398</v>
      </c>
      <c r="AN292" t="s">
        <v>3399</v>
      </c>
      <c r="AO292" t="s">
        <v>3400</v>
      </c>
      <c r="AP292" t="s">
        <v>68</v>
      </c>
      <c r="AR292" t="s">
        <v>3401</v>
      </c>
      <c r="AS292" t="s">
        <v>3402</v>
      </c>
      <c r="AT292" t="s">
        <v>3403</v>
      </c>
      <c r="AW292" s="14" t="s">
        <v>72</v>
      </c>
      <c r="AX292" s="14" t="s">
        <v>73</v>
      </c>
      <c r="AY292" s="14" t="s">
        <v>1768</v>
      </c>
    </row>
    <row r="293" spans="1:51" ht="15" customHeight="1" x14ac:dyDescent="0.4">
      <c r="A293" s="12">
        <v>3623</v>
      </c>
      <c r="B293" s="21" t="s">
        <v>3404</v>
      </c>
      <c r="C293" s="13" t="s">
        <v>3405</v>
      </c>
      <c r="D293" s="25" t="s">
        <v>3405</v>
      </c>
      <c r="E293" s="13"/>
      <c r="F293" s="41"/>
      <c r="G293" s="41"/>
      <c r="H293" s="41"/>
      <c r="I293" s="14" t="s">
        <v>1829</v>
      </c>
      <c r="J293" s="15">
        <v>44737</v>
      </c>
      <c r="K293" t="s">
        <v>2719</v>
      </c>
      <c r="L293" t="s">
        <v>51</v>
      </c>
      <c r="M293" t="s">
        <v>52</v>
      </c>
      <c r="N293" t="s">
        <v>53</v>
      </c>
      <c r="O293" t="s">
        <v>54</v>
      </c>
      <c r="P293" t="s">
        <v>3368</v>
      </c>
      <c r="Q293" t="s">
        <v>56</v>
      </c>
      <c r="R293" s="21" t="s">
        <v>3369</v>
      </c>
      <c r="S293" s="21"/>
      <c r="T293" t="s">
        <v>3406</v>
      </c>
      <c r="U293" t="s">
        <v>3407</v>
      </c>
      <c r="X293" t="s">
        <v>1758</v>
      </c>
      <c r="Y293" t="s">
        <v>1832</v>
      </c>
      <c r="AA293" s="15"/>
      <c r="AC293">
        <v>36.845779</v>
      </c>
      <c r="AD293">
        <v>-96.428591999999995</v>
      </c>
      <c r="AE293" t="s">
        <v>3408</v>
      </c>
      <c r="AH293" t="s">
        <v>1715</v>
      </c>
      <c r="AI293" t="s">
        <v>63</v>
      </c>
      <c r="AJ293" t="s">
        <v>3409</v>
      </c>
      <c r="AK293">
        <v>194434</v>
      </c>
      <c r="AM293" t="s">
        <v>3410</v>
      </c>
      <c r="AN293" t="s">
        <v>3411</v>
      </c>
      <c r="AO293" t="s">
        <v>3412</v>
      </c>
      <c r="AP293" t="s">
        <v>68</v>
      </c>
      <c r="AR293" t="s">
        <v>3413</v>
      </c>
      <c r="AS293" t="s">
        <v>3414</v>
      </c>
      <c r="AT293" t="s">
        <v>3415</v>
      </c>
      <c r="AW293" s="14" t="s">
        <v>72</v>
      </c>
      <c r="AX293" s="14" t="s">
        <v>73</v>
      </c>
      <c r="AY293" s="14" t="s">
        <v>74</v>
      </c>
    </row>
    <row r="294" spans="1:51" ht="15" customHeight="1" x14ac:dyDescent="0.4">
      <c r="A294" s="12">
        <v>3624</v>
      </c>
      <c r="B294" s="21" t="s">
        <v>3416</v>
      </c>
      <c r="C294" s="13" t="s">
        <v>3417</v>
      </c>
      <c r="D294" s="25" t="s">
        <v>3417</v>
      </c>
      <c r="E294" s="13"/>
      <c r="F294" s="41"/>
      <c r="G294" s="41"/>
      <c r="H294" s="41"/>
      <c r="I294" s="14" t="s">
        <v>49</v>
      </c>
      <c r="J294" s="15">
        <v>44737</v>
      </c>
      <c r="K294" t="s">
        <v>2719</v>
      </c>
      <c r="L294" t="s">
        <v>51</v>
      </c>
      <c r="M294" t="s">
        <v>52</v>
      </c>
      <c r="N294" t="s">
        <v>53</v>
      </c>
      <c r="O294" t="s">
        <v>54</v>
      </c>
      <c r="P294" t="s">
        <v>3368</v>
      </c>
      <c r="Q294" t="s">
        <v>56</v>
      </c>
      <c r="R294" s="21" t="s">
        <v>3369</v>
      </c>
      <c r="S294" s="21"/>
      <c r="T294" t="s">
        <v>3418</v>
      </c>
      <c r="U294" t="s">
        <v>3419</v>
      </c>
      <c r="Y294" t="s">
        <v>60</v>
      </c>
      <c r="AA294" s="15"/>
      <c r="AC294">
        <v>36.846021999999998</v>
      </c>
      <c r="AD294">
        <v>-96.428747000000001</v>
      </c>
      <c r="AE294" t="s">
        <v>3420</v>
      </c>
      <c r="AH294" t="s">
        <v>1715</v>
      </c>
      <c r="AI294" t="s">
        <v>63</v>
      </c>
      <c r="AJ294" t="s">
        <v>3421</v>
      </c>
      <c r="AK294">
        <v>192672</v>
      </c>
      <c r="AM294" t="s">
        <v>3422</v>
      </c>
      <c r="AN294" t="s">
        <v>3423</v>
      </c>
      <c r="AO294" t="s">
        <v>3424</v>
      </c>
      <c r="AP294" t="s">
        <v>68</v>
      </c>
      <c r="AR294" t="s">
        <v>3425</v>
      </c>
      <c r="AS294" t="s">
        <v>3426</v>
      </c>
      <c r="AT294" t="s">
        <v>3427</v>
      </c>
      <c r="AW294" s="14" t="s">
        <v>72</v>
      </c>
      <c r="AX294" s="14" t="s">
        <v>73</v>
      </c>
      <c r="AY294" s="14" t="s">
        <v>74</v>
      </c>
    </row>
    <row r="295" spans="1:51" ht="15" customHeight="1" x14ac:dyDescent="0.4">
      <c r="A295" s="12">
        <v>3625</v>
      </c>
      <c r="B295" s="21" t="s">
        <v>3428</v>
      </c>
      <c r="C295" s="13" t="s">
        <v>3429</v>
      </c>
      <c r="D295" s="25" t="s">
        <v>3429</v>
      </c>
      <c r="E295" s="13"/>
      <c r="F295" s="41"/>
      <c r="G295" s="41"/>
      <c r="H295" s="41"/>
      <c r="I295" s="14" t="s">
        <v>49</v>
      </c>
      <c r="J295" s="15">
        <v>44737</v>
      </c>
      <c r="K295" t="s">
        <v>2719</v>
      </c>
      <c r="L295" t="s">
        <v>51</v>
      </c>
      <c r="M295" t="s">
        <v>52</v>
      </c>
      <c r="N295" t="s">
        <v>53</v>
      </c>
      <c r="O295" t="s">
        <v>54</v>
      </c>
      <c r="P295" t="s">
        <v>3368</v>
      </c>
      <c r="Q295" t="s">
        <v>56</v>
      </c>
      <c r="R295" s="21" t="s">
        <v>3369</v>
      </c>
      <c r="S295" s="21"/>
      <c r="T295" t="s">
        <v>3430</v>
      </c>
      <c r="U295" t="s">
        <v>3431</v>
      </c>
      <c r="Y295" t="s">
        <v>60</v>
      </c>
      <c r="AA295" s="15"/>
      <c r="AC295">
        <v>36.846654000000001</v>
      </c>
      <c r="AD295">
        <v>-96.429275000000004</v>
      </c>
      <c r="AH295" t="s">
        <v>1715</v>
      </c>
      <c r="AI295" t="s">
        <v>63</v>
      </c>
      <c r="AJ295" t="s">
        <v>3432</v>
      </c>
      <c r="AK295">
        <v>194201</v>
      </c>
      <c r="AM295" t="s">
        <v>3433</v>
      </c>
      <c r="AN295" t="s">
        <v>3434</v>
      </c>
      <c r="AO295" t="s">
        <v>3435</v>
      </c>
      <c r="AP295" t="s">
        <v>68</v>
      </c>
      <c r="AR295" t="s">
        <v>3436</v>
      </c>
      <c r="AS295" t="s">
        <v>3437</v>
      </c>
      <c r="AT295" t="s">
        <v>3438</v>
      </c>
      <c r="AW295" s="14" t="s">
        <v>72</v>
      </c>
      <c r="AX295" s="14" t="s">
        <v>73</v>
      </c>
      <c r="AY295" s="14" t="s">
        <v>74</v>
      </c>
    </row>
    <row r="296" spans="1:51" ht="15" customHeight="1" x14ac:dyDescent="0.4">
      <c r="A296" s="12">
        <v>3626</v>
      </c>
      <c r="B296" s="21" t="s">
        <v>3439</v>
      </c>
      <c r="C296" s="13" t="s">
        <v>3440</v>
      </c>
      <c r="D296" s="25" t="s">
        <v>3440</v>
      </c>
      <c r="E296" s="13"/>
      <c r="F296" s="41"/>
      <c r="G296" s="41"/>
      <c r="H296" s="41"/>
      <c r="I296" s="14" t="s">
        <v>1829</v>
      </c>
      <c r="J296" s="15">
        <v>44737</v>
      </c>
      <c r="K296" t="s">
        <v>2719</v>
      </c>
      <c r="L296" t="s">
        <v>51</v>
      </c>
      <c r="M296" t="s">
        <v>52</v>
      </c>
      <c r="N296" t="s">
        <v>53</v>
      </c>
      <c r="O296" t="s">
        <v>54</v>
      </c>
      <c r="P296" t="s">
        <v>3368</v>
      </c>
      <c r="Q296" t="s">
        <v>56</v>
      </c>
      <c r="R296" s="21" t="s">
        <v>3369</v>
      </c>
      <c r="S296" s="21"/>
      <c r="T296" t="s">
        <v>3441</v>
      </c>
      <c r="U296" t="s">
        <v>3442</v>
      </c>
      <c r="X296" t="s">
        <v>1758</v>
      </c>
      <c r="Y296" t="s">
        <v>1832</v>
      </c>
      <c r="AA296" s="15"/>
      <c r="AC296">
        <v>36.846612999999998</v>
      </c>
      <c r="AD296">
        <v>-96.429364000000007</v>
      </c>
      <c r="AH296" t="s">
        <v>1715</v>
      </c>
      <c r="AI296" t="s">
        <v>63</v>
      </c>
      <c r="AJ296" t="s">
        <v>3443</v>
      </c>
      <c r="AK296">
        <v>194435</v>
      </c>
      <c r="AM296" t="s">
        <v>3444</v>
      </c>
      <c r="AN296" t="s">
        <v>3445</v>
      </c>
      <c r="AO296" t="s">
        <v>3446</v>
      </c>
      <c r="AP296" t="s">
        <v>68</v>
      </c>
      <c r="AR296" t="s">
        <v>3447</v>
      </c>
      <c r="AS296" t="s">
        <v>3448</v>
      </c>
      <c r="AT296" t="s">
        <v>3449</v>
      </c>
      <c r="AW296" s="14" t="s">
        <v>72</v>
      </c>
      <c r="AX296" s="14" t="s">
        <v>73</v>
      </c>
      <c r="AY296" s="14" t="s">
        <v>74</v>
      </c>
    </row>
    <row r="297" spans="1:51" ht="15" customHeight="1" x14ac:dyDescent="0.4">
      <c r="A297" s="12">
        <v>3627</v>
      </c>
      <c r="B297" s="21" t="s">
        <v>3450</v>
      </c>
      <c r="C297" s="13" t="s">
        <v>3451</v>
      </c>
      <c r="D297" s="25" t="s">
        <v>3451</v>
      </c>
      <c r="E297" s="13"/>
      <c r="F297" s="41"/>
      <c r="G297" s="41"/>
      <c r="H297" s="41"/>
      <c r="I297" s="14" t="s">
        <v>1752</v>
      </c>
      <c r="J297" s="15">
        <v>44737</v>
      </c>
      <c r="K297" t="s">
        <v>2719</v>
      </c>
      <c r="L297" t="s">
        <v>51</v>
      </c>
      <c r="M297" t="s">
        <v>52</v>
      </c>
      <c r="N297" t="s">
        <v>53</v>
      </c>
      <c r="O297" t="s">
        <v>54</v>
      </c>
      <c r="P297" t="s">
        <v>3368</v>
      </c>
      <c r="Q297" t="s">
        <v>56</v>
      </c>
      <c r="R297" s="21" t="s">
        <v>3369</v>
      </c>
      <c r="S297" s="21"/>
      <c r="T297" t="s">
        <v>3452</v>
      </c>
      <c r="U297" t="s">
        <v>3453</v>
      </c>
      <c r="X297" t="s">
        <v>1758</v>
      </c>
      <c r="Y297" t="s">
        <v>1759</v>
      </c>
      <c r="AA297" s="15"/>
      <c r="AC297">
        <v>36.846825000000003</v>
      </c>
      <c r="AD297">
        <v>-96.429918000000001</v>
      </c>
      <c r="AE297" t="s">
        <v>3454</v>
      </c>
      <c r="AH297" t="s">
        <v>1715</v>
      </c>
      <c r="AI297" t="s">
        <v>63</v>
      </c>
      <c r="AJ297" t="s">
        <v>3455</v>
      </c>
      <c r="AK297">
        <v>193528</v>
      </c>
      <c r="AM297" t="s">
        <v>3456</v>
      </c>
      <c r="AN297" t="s">
        <v>3457</v>
      </c>
      <c r="AO297" t="s">
        <v>3458</v>
      </c>
      <c r="AP297" t="s">
        <v>68</v>
      </c>
      <c r="AR297" t="s">
        <v>3459</v>
      </c>
      <c r="AS297" t="s">
        <v>3460</v>
      </c>
      <c r="AT297" t="s">
        <v>3461</v>
      </c>
      <c r="AW297" s="14" t="s">
        <v>72</v>
      </c>
      <c r="AX297" s="14" t="s">
        <v>73</v>
      </c>
      <c r="AY297" s="14" t="s">
        <v>1768</v>
      </c>
    </row>
    <row r="298" spans="1:51" ht="15" customHeight="1" x14ac:dyDescent="0.4">
      <c r="A298" s="12">
        <v>3628</v>
      </c>
      <c r="B298" s="21" t="s">
        <v>3462</v>
      </c>
      <c r="C298" s="13" t="s">
        <v>3463</v>
      </c>
      <c r="D298" s="25" t="s">
        <v>3463</v>
      </c>
      <c r="E298" s="13"/>
      <c r="F298" s="51" t="s">
        <v>1752</v>
      </c>
      <c r="G298" s="51" t="s">
        <v>8133</v>
      </c>
      <c r="H298" s="51"/>
      <c r="I298" s="14" t="s">
        <v>1752</v>
      </c>
      <c r="J298" s="15">
        <v>44737</v>
      </c>
      <c r="K298" t="s">
        <v>2719</v>
      </c>
      <c r="L298" t="s">
        <v>51</v>
      </c>
      <c r="M298" t="s">
        <v>52</v>
      </c>
      <c r="N298" t="s">
        <v>53</v>
      </c>
      <c r="O298" t="s">
        <v>54</v>
      </c>
      <c r="P298" t="s">
        <v>3368</v>
      </c>
      <c r="Q298" t="s">
        <v>56</v>
      </c>
      <c r="R298" s="21" t="s">
        <v>3369</v>
      </c>
      <c r="S298" s="21"/>
      <c r="T298" t="s">
        <v>3464</v>
      </c>
      <c r="U298" t="s">
        <v>3465</v>
      </c>
      <c r="X298" t="s">
        <v>1758</v>
      </c>
      <c r="Y298" t="s">
        <v>1759</v>
      </c>
      <c r="AA298" s="15"/>
      <c r="AC298">
        <v>36.844152999999999</v>
      </c>
      <c r="AD298">
        <v>-96.427087999999998</v>
      </c>
      <c r="AE298" t="s">
        <v>1231</v>
      </c>
      <c r="AH298" t="s">
        <v>1715</v>
      </c>
      <c r="AI298" t="s">
        <v>63</v>
      </c>
      <c r="AJ298" t="s">
        <v>3466</v>
      </c>
      <c r="AK298">
        <v>193529</v>
      </c>
      <c r="AM298" t="s">
        <v>3467</v>
      </c>
      <c r="AN298" t="s">
        <v>3468</v>
      </c>
      <c r="AO298" t="s">
        <v>3469</v>
      </c>
      <c r="AP298" t="s">
        <v>68</v>
      </c>
      <c r="AR298" t="s">
        <v>3470</v>
      </c>
      <c r="AS298" t="s">
        <v>3471</v>
      </c>
      <c r="AT298" t="s">
        <v>3472</v>
      </c>
      <c r="AW298" s="14" t="s">
        <v>72</v>
      </c>
      <c r="AX298" s="14" t="s">
        <v>73</v>
      </c>
      <c r="AY298" s="14" t="s">
        <v>1768</v>
      </c>
    </row>
    <row r="299" spans="1:51" ht="15" customHeight="1" x14ac:dyDescent="0.4">
      <c r="A299" s="12">
        <v>3629</v>
      </c>
      <c r="B299" s="21" t="s">
        <v>3473</v>
      </c>
      <c r="C299" s="13" t="s">
        <v>3474</v>
      </c>
      <c r="D299" s="25" t="s">
        <v>3474</v>
      </c>
      <c r="E299" s="13"/>
      <c r="F299" s="41"/>
      <c r="G299" s="41"/>
      <c r="H299" s="41"/>
      <c r="I299" s="14" t="s">
        <v>49</v>
      </c>
      <c r="J299" s="15">
        <v>44737</v>
      </c>
      <c r="K299" t="s">
        <v>2719</v>
      </c>
      <c r="L299" t="s">
        <v>51</v>
      </c>
      <c r="M299" t="s">
        <v>52</v>
      </c>
      <c r="N299" t="s">
        <v>53</v>
      </c>
      <c r="O299" t="s">
        <v>54</v>
      </c>
      <c r="P299" t="s">
        <v>3368</v>
      </c>
      <c r="Q299" t="s">
        <v>56</v>
      </c>
      <c r="R299" s="21" t="s">
        <v>3369</v>
      </c>
      <c r="S299" s="21"/>
      <c r="T299" t="s">
        <v>3475</v>
      </c>
      <c r="U299" t="s">
        <v>3476</v>
      </c>
      <c r="Y299" t="s">
        <v>60</v>
      </c>
      <c r="AA299" s="15"/>
      <c r="AC299">
        <v>36.844363000000001</v>
      </c>
      <c r="AD299">
        <v>-96.426753000000005</v>
      </c>
      <c r="AE299" t="s">
        <v>3477</v>
      </c>
      <c r="AH299" t="s">
        <v>1715</v>
      </c>
      <c r="AI299" t="s">
        <v>63</v>
      </c>
      <c r="AJ299" t="s">
        <v>3478</v>
      </c>
      <c r="AK299">
        <v>194202</v>
      </c>
      <c r="AM299" t="s">
        <v>3479</v>
      </c>
      <c r="AN299" t="s">
        <v>3480</v>
      </c>
      <c r="AO299" t="s">
        <v>3481</v>
      </c>
      <c r="AP299" t="s">
        <v>68</v>
      </c>
      <c r="AR299" t="s">
        <v>3482</v>
      </c>
      <c r="AS299" t="s">
        <v>3483</v>
      </c>
      <c r="AT299" t="s">
        <v>3484</v>
      </c>
      <c r="AW299" s="14" t="s">
        <v>72</v>
      </c>
      <c r="AX299" s="14" t="s">
        <v>73</v>
      </c>
      <c r="AY299" s="14" t="s">
        <v>74</v>
      </c>
    </row>
    <row r="300" spans="1:51" ht="15" customHeight="1" x14ac:dyDescent="0.4">
      <c r="A300" s="12">
        <v>3630</v>
      </c>
      <c r="B300" s="21" t="s">
        <v>3485</v>
      </c>
      <c r="C300" s="13" t="s">
        <v>3486</v>
      </c>
      <c r="D300" s="25" t="s">
        <v>3486</v>
      </c>
      <c r="E300" s="13"/>
      <c r="F300" s="41"/>
      <c r="G300" s="41"/>
      <c r="H300" s="41"/>
      <c r="I300" s="14" t="s">
        <v>1752</v>
      </c>
      <c r="J300" s="15">
        <v>44737</v>
      </c>
      <c r="K300" t="s">
        <v>2719</v>
      </c>
      <c r="L300" t="s">
        <v>51</v>
      </c>
      <c r="M300" t="s">
        <v>52</v>
      </c>
      <c r="N300" t="s">
        <v>53</v>
      </c>
      <c r="O300" t="s">
        <v>54</v>
      </c>
      <c r="P300" t="s">
        <v>3368</v>
      </c>
      <c r="Q300" t="s">
        <v>56</v>
      </c>
      <c r="R300" s="21" t="s">
        <v>3369</v>
      </c>
      <c r="S300" s="21"/>
      <c r="T300" t="s">
        <v>3487</v>
      </c>
      <c r="U300" t="s">
        <v>3488</v>
      </c>
      <c r="X300" t="s">
        <v>1758</v>
      </c>
      <c r="Y300" t="s">
        <v>1759</v>
      </c>
      <c r="AA300" s="15"/>
      <c r="AC300">
        <v>36.855210999999997</v>
      </c>
      <c r="AD300">
        <v>-96.423107000000002</v>
      </c>
      <c r="AE300" t="s">
        <v>3489</v>
      </c>
      <c r="AH300" t="s">
        <v>1715</v>
      </c>
      <c r="AI300" t="s">
        <v>63</v>
      </c>
      <c r="AJ300" t="s">
        <v>3490</v>
      </c>
      <c r="AK300">
        <v>193530</v>
      </c>
      <c r="AM300" t="s">
        <v>3491</v>
      </c>
      <c r="AN300" t="s">
        <v>3492</v>
      </c>
      <c r="AO300" t="s">
        <v>3493</v>
      </c>
      <c r="AP300" t="s">
        <v>68</v>
      </c>
      <c r="AR300" t="s">
        <v>3494</v>
      </c>
      <c r="AS300" t="s">
        <v>3495</v>
      </c>
      <c r="AT300" t="s">
        <v>3496</v>
      </c>
      <c r="AW300" s="14" t="s">
        <v>72</v>
      </c>
      <c r="AX300" s="14" t="s">
        <v>73</v>
      </c>
      <c r="AY300" s="14" t="s">
        <v>1768</v>
      </c>
    </row>
    <row r="301" spans="1:51" ht="15" customHeight="1" x14ac:dyDescent="0.4">
      <c r="A301" s="12">
        <v>3631</v>
      </c>
      <c r="B301" s="21" t="s">
        <v>3497</v>
      </c>
      <c r="C301" s="13" t="s">
        <v>3498</v>
      </c>
      <c r="D301" s="25" t="s">
        <v>3498</v>
      </c>
      <c r="E301" s="13"/>
      <c r="F301" s="41"/>
      <c r="G301" s="41"/>
      <c r="H301" s="41"/>
      <c r="I301" s="14" t="s">
        <v>1752</v>
      </c>
      <c r="J301" s="15">
        <v>44737</v>
      </c>
      <c r="K301" t="s">
        <v>2719</v>
      </c>
      <c r="L301" t="s">
        <v>51</v>
      </c>
      <c r="M301" t="s">
        <v>52</v>
      </c>
      <c r="N301" t="s">
        <v>53</v>
      </c>
      <c r="O301" t="s">
        <v>54</v>
      </c>
      <c r="P301" t="s">
        <v>3368</v>
      </c>
      <c r="Q301" t="s">
        <v>56</v>
      </c>
      <c r="R301" s="21" t="s">
        <v>3369</v>
      </c>
      <c r="S301" s="21"/>
      <c r="T301" t="s">
        <v>3499</v>
      </c>
      <c r="U301" t="s">
        <v>3500</v>
      </c>
      <c r="X301" t="s">
        <v>1758</v>
      </c>
      <c r="Y301" t="s">
        <v>1759</v>
      </c>
      <c r="AA301" s="15"/>
      <c r="AC301">
        <v>36.847630000000002</v>
      </c>
      <c r="AD301">
        <v>-96.422002000000006</v>
      </c>
      <c r="AE301" t="s">
        <v>3501</v>
      </c>
      <c r="AH301" t="s">
        <v>1715</v>
      </c>
      <c r="AI301" t="s">
        <v>63</v>
      </c>
      <c r="AJ301" t="s">
        <v>3502</v>
      </c>
      <c r="AK301">
        <v>193531</v>
      </c>
      <c r="AM301" t="s">
        <v>3503</v>
      </c>
      <c r="AN301" t="s">
        <v>3504</v>
      </c>
      <c r="AO301" t="s">
        <v>3505</v>
      </c>
      <c r="AP301" t="s">
        <v>68</v>
      </c>
      <c r="AR301" t="s">
        <v>3506</v>
      </c>
      <c r="AS301" t="s">
        <v>3507</v>
      </c>
      <c r="AT301" t="s">
        <v>3508</v>
      </c>
      <c r="AW301" s="14" t="s">
        <v>72</v>
      </c>
      <c r="AX301" s="14" t="s">
        <v>73</v>
      </c>
      <c r="AY301" s="14" t="s">
        <v>1768</v>
      </c>
    </row>
    <row r="302" spans="1:51" ht="15" customHeight="1" x14ac:dyDescent="0.4">
      <c r="A302" s="12">
        <v>3632</v>
      </c>
      <c r="B302" s="21" t="s">
        <v>3509</v>
      </c>
      <c r="C302" s="13" t="s">
        <v>3510</v>
      </c>
      <c r="D302" s="25" t="s">
        <v>3510</v>
      </c>
      <c r="E302" s="13"/>
      <c r="F302" s="41"/>
      <c r="G302" s="41"/>
      <c r="H302" s="41"/>
      <c r="I302" s="14" t="s">
        <v>1829</v>
      </c>
      <c r="J302" s="15">
        <v>44737</v>
      </c>
      <c r="K302" t="s">
        <v>2719</v>
      </c>
      <c r="L302" t="s">
        <v>51</v>
      </c>
      <c r="M302" t="s">
        <v>52</v>
      </c>
      <c r="N302" t="s">
        <v>53</v>
      </c>
      <c r="O302" t="s">
        <v>54</v>
      </c>
      <c r="P302" t="s">
        <v>3368</v>
      </c>
      <c r="Q302" t="s">
        <v>56</v>
      </c>
      <c r="R302" s="21" t="s">
        <v>3369</v>
      </c>
      <c r="S302" s="21"/>
      <c r="T302" t="s">
        <v>3511</v>
      </c>
      <c r="U302" t="s">
        <v>3512</v>
      </c>
      <c r="X302" t="s">
        <v>1758</v>
      </c>
      <c r="Y302" t="s">
        <v>1832</v>
      </c>
      <c r="AA302" s="15"/>
      <c r="AC302">
        <v>36.845999999999997</v>
      </c>
      <c r="AD302">
        <v>-96.428886000000006</v>
      </c>
      <c r="AE302" t="s">
        <v>3372</v>
      </c>
      <c r="AH302" t="s">
        <v>1715</v>
      </c>
      <c r="AI302" t="s">
        <v>63</v>
      </c>
      <c r="AJ302" t="s">
        <v>3513</v>
      </c>
      <c r="AK302">
        <v>194436</v>
      </c>
      <c r="AM302" t="s">
        <v>3514</v>
      </c>
      <c r="AN302" t="s">
        <v>3515</v>
      </c>
      <c r="AO302" t="s">
        <v>3516</v>
      </c>
      <c r="AP302" t="s">
        <v>68</v>
      </c>
      <c r="AR302" t="s">
        <v>3517</v>
      </c>
      <c r="AS302" t="s">
        <v>3518</v>
      </c>
      <c r="AT302" t="s">
        <v>3519</v>
      </c>
      <c r="AW302" s="14" t="s">
        <v>72</v>
      </c>
      <c r="AX302" s="14" t="s">
        <v>73</v>
      </c>
      <c r="AY302" s="14" t="s">
        <v>74</v>
      </c>
    </row>
    <row r="303" spans="1:51" ht="15" customHeight="1" x14ac:dyDescent="0.4">
      <c r="A303" s="12">
        <v>3633</v>
      </c>
      <c r="B303" s="21" t="s">
        <v>3520</v>
      </c>
      <c r="C303" s="13" t="s">
        <v>3521</v>
      </c>
      <c r="D303" s="25" t="s">
        <v>3521</v>
      </c>
      <c r="E303" s="13"/>
      <c r="F303" s="41"/>
      <c r="G303" s="41"/>
      <c r="H303" s="41"/>
      <c r="I303" s="14" t="s">
        <v>49</v>
      </c>
      <c r="J303" s="15">
        <v>44753</v>
      </c>
      <c r="K303" t="s">
        <v>3522</v>
      </c>
      <c r="L303" t="s">
        <v>51</v>
      </c>
      <c r="M303" t="s">
        <v>52</v>
      </c>
      <c r="N303" t="s">
        <v>53</v>
      </c>
      <c r="O303" t="s">
        <v>3523</v>
      </c>
      <c r="P303" t="s">
        <v>3524</v>
      </c>
      <c r="Q303" t="s">
        <v>56</v>
      </c>
      <c r="R303" s="21" t="s">
        <v>3525</v>
      </c>
      <c r="S303" s="21"/>
      <c r="T303" t="s">
        <v>3526</v>
      </c>
      <c r="U303" t="s">
        <v>3527</v>
      </c>
      <c r="X303" t="s">
        <v>2440</v>
      </c>
      <c r="Y303" t="s">
        <v>60</v>
      </c>
      <c r="AA303" s="15"/>
      <c r="AC303">
        <v>36.375796999999999</v>
      </c>
      <c r="AD303">
        <v>-86.357923</v>
      </c>
      <c r="AE303" t="s">
        <v>3528</v>
      </c>
      <c r="AH303" t="s">
        <v>1715</v>
      </c>
      <c r="AI303" t="s">
        <v>63</v>
      </c>
      <c r="AJ303" t="s">
        <v>3529</v>
      </c>
      <c r="AK303">
        <v>192644</v>
      </c>
      <c r="AM303" t="s">
        <v>3530</v>
      </c>
      <c r="AN303" t="s">
        <v>3531</v>
      </c>
      <c r="AO303" t="s">
        <v>3532</v>
      </c>
      <c r="AP303" t="s">
        <v>68</v>
      </c>
      <c r="AR303" t="s">
        <v>3533</v>
      </c>
      <c r="AS303" t="s">
        <v>3534</v>
      </c>
      <c r="AT303" t="s">
        <v>3535</v>
      </c>
      <c r="AW303" s="14" t="s">
        <v>72</v>
      </c>
      <c r="AX303" s="14" t="s">
        <v>73</v>
      </c>
      <c r="AY303" s="14" t="s">
        <v>74</v>
      </c>
    </row>
    <row r="304" spans="1:51" ht="15" customHeight="1" x14ac:dyDescent="0.4">
      <c r="A304" s="12">
        <v>3634</v>
      </c>
      <c r="B304" s="21" t="s">
        <v>3536</v>
      </c>
      <c r="C304" s="13" t="s">
        <v>3537</v>
      </c>
      <c r="D304" s="25" t="s">
        <v>3537</v>
      </c>
      <c r="E304" s="13"/>
      <c r="F304" s="41"/>
      <c r="G304" s="41"/>
      <c r="H304" s="41"/>
      <c r="I304" s="14" t="s">
        <v>1829</v>
      </c>
      <c r="J304" s="15">
        <v>44753</v>
      </c>
      <c r="K304" t="s">
        <v>3522</v>
      </c>
      <c r="L304" t="s">
        <v>51</v>
      </c>
      <c r="M304" t="s">
        <v>52</v>
      </c>
      <c r="N304" t="s">
        <v>53</v>
      </c>
      <c r="O304" t="s">
        <v>3523</v>
      </c>
      <c r="P304" t="s">
        <v>3524</v>
      </c>
      <c r="Q304" t="s">
        <v>56</v>
      </c>
      <c r="R304" s="21" t="s">
        <v>3525</v>
      </c>
      <c r="S304" s="21"/>
      <c r="T304" t="s">
        <v>3526</v>
      </c>
      <c r="U304" t="s">
        <v>3538</v>
      </c>
      <c r="Y304" t="s">
        <v>1832</v>
      </c>
      <c r="AA304" s="15"/>
      <c r="AC304">
        <v>36.375636</v>
      </c>
      <c r="AD304">
        <v>-86.357896999999994</v>
      </c>
      <c r="AE304" t="s">
        <v>3539</v>
      </c>
      <c r="AH304" t="s">
        <v>1715</v>
      </c>
      <c r="AI304" t="s">
        <v>63</v>
      </c>
      <c r="AJ304" t="s">
        <v>3540</v>
      </c>
      <c r="AK304">
        <v>194437</v>
      </c>
      <c r="AM304" t="s">
        <v>3541</v>
      </c>
      <c r="AN304" t="s">
        <v>3542</v>
      </c>
      <c r="AO304" t="s">
        <v>3543</v>
      </c>
      <c r="AP304" t="s">
        <v>68</v>
      </c>
      <c r="AR304" t="s">
        <v>3544</v>
      </c>
      <c r="AS304" t="s">
        <v>3545</v>
      </c>
      <c r="AT304" t="s">
        <v>3546</v>
      </c>
      <c r="AW304" s="14" t="s">
        <v>72</v>
      </c>
      <c r="AX304" s="14" t="s">
        <v>73</v>
      </c>
      <c r="AY304" s="14" t="s">
        <v>74</v>
      </c>
    </row>
    <row r="305" spans="1:51" ht="15" customHeight="1" x14ac:dyDescent="0.4">
      <c r="A305" s="12">
        <v>3635</v>
      </c>
      <c r="B305" s="21" t="s">
        <v>3547</v>
      </c>
      <c r="C305" s="13" t="s">
        <v>3548</v>
      </c>
      <c r="D305" s="25" t="s">
        <v>3548</v>
      </c>
      <c r="E305" s="13"/>
      <c r="F305" s="41"/>
      <c r="G305" s="41"/>
      <c r="H305" s="41"/>
      <c r="I305" s="14" t="s">
        <v>49</v>
      </c>
      <c r="J305" s="15">
        <v>44753</v>
      </c>
      <c r="K305" t="s">
        <v>3522</v>
      </c>
      <c r="L305" t="s">
        <v>51</v>
      </c>
      <c r="M305" t="s">
        <v>52</v>
      </c>
      <c r="N305" t="s">
        <v>53</v>
      </c>
      <c r="O305" t="s">
        <v>3523</v>
      </c>
      <c r="P305" t="s">
        <v>3524</v>
      </c>
      <c r="Q305" t="s">
        <v>56</v>
      </c>
      <c r="R305" s="21" t="s">
        <v>3525</v>
      </c>
      <c r="S305" s="21"/>
      <c r="T305" t="s">
        <v>3526</v>
      </c>
      <c r="U305" t="s">
        <v>3549</v>
      </c>
      <c r="Y305" t="s">
        <v>60</v>
      </c>
      <c r="AA305" s="15"/>
      <c r="AC305">
        <v>36.375554999999999</v>
      </c>
      <c r="AD305">
        <v>-86.357896999999994</v>
      </c>
      <c r="AE305" t="s">
        <v>3550</v>
      </c>
      <c r="AH305" t="s">
        <v>1715</v>
      </c>
      <c r="AI305" t="s">
        <v>63</v>
      </c>
      <c r="AJ305" t="s">
        <v>3551</v>
      </c>
      <c r="AK305">
        <v>192659</v>
      </c>
      <c r="AM305" t="s">
        <v>3552</v>
      </c>
      <c r="AN305" t="s">
        <v>3553</v>
      </c>
      <c r="AO305" t="s">
        <v>3554</v>
      </c>
      <c r="AP305" t="s">
        <v>68</v>
      </c>
      <c r="AR305" t="s">
        <v>3555</v>
      </c>
      <c r="AS305" t="s">
        <v>3556</v>
      </c>
      <c r="AT305" t="s">
        <v>3557</v>
      </c>
      <c r="AW305" s="14" t="s">
        <v>72</v>
      </c>
      <c r="AX305" s="14" t="s">
        <v>73</v>
      </c>
      <c r="AY305" s="14" t="s">
        <v>74</v>
      </c>
    </row>
    <row r="306" spans="1:51" ht="15" customHeight="1" x14ac:dyDescent="0.4">
      <c r="A306" s="12">
        <v>3636</v>
      </c>
      <c r="B306" s="21" t="s">
        <v>3558</v>
      </c>
      <c r="C306" s="13" t="s">
        <v>3559</v>
      </c>
      <c r="D306" s="25" t="s">
        <v>3559</v>
      </c>
      <c r="E306" s="13"/>
      <c r="F306" s="41"/>
      <c r="G306" s="41"/>
      <c r="H306" s="41"/>
      <c r="I306" s="14" t="s">
        <v>49</v>
      </c>
      <c r="J306" s="15">
        <v>44753</v>
      </c>
      <c r="K306" t="s">
        <v>3522</v>
      </c>
      <c r="L306" t="s">
        <v>51</v>
      </c>
      <c r="M306" t="s">
        <v>52</v>
      </c>
      <c r="N306" t="s">
        <v>53</v>
      </c>
      <c r="O306" t="s">
        <v>3523</v>
      </c>
      <c r="P306" t="s">
        <v>3524</v>
      </c>
      <c r="Q306" t="s">
        <v>56</v>
      </c>
      <c r="R306" s="21" t="s">
        <v>3525</v>
      </c>
      <c r="S306" s="21"/>
      <c r="T306" t="s">
        <v>3560</v>
      </c>
      <c r="U306" t="s">
        <v>3561</v>
      </c>
      <c r="X306" t="s">
        <v>2440</v>
      </c>
      <c r="Y306" t="s">
        <v>60</v>
      </c>
      <c r="AA306" s="15"/>
      <c r="AC306">
        <v>36.376500999999998</v>
      </c>
      <c r="AD306">
        <v>-86.352131</v>
      </c>
      <c r="AE306" t="s">
        <v>3562</v>
      </c>
      <c r="AH306" t="s">
        <v>1715</v>
      </c>
      <c r="AI306" t="s">
        <v>63</v>
      </c>
      <c r="AJ306" t="s">
        <v>3563</v>
      </c>
      <c r="AK306">
        <v>192670</v>
      </c>
      <c r="AM306" t="s">
        <v>3564</v>
      </c>
      <c r="AN306" t="s">
        <v>3565</v>
      </c>
      <c r="AO306" t="s">
        <v>3566</v>
      </c>
      <c r="AP306" t="s">
        <v>68</v>
      </c>
      <c r="AR306" t="s">
        <v>3567</v>
      </c>
      <c r="AS306" t="s">
        <v>3568</v>
      </c>
      <c r="AT306" t="s">
        <v>3569</v>
      </c>
      <c r="AW306" s="14" t="s">
        <v>72</v>
      </c>
      <c r="AX306" s="14" t="s">
        <v>73</v>
      </c>
      <c r="AY306" s="14" t="s">
        <v>74</v>
      </c>
    </row>
    <row r="307" spans="1:51" ht="15" customHeight="1" x14ac:dyDescent="0.4">
      <c r="A307" s="12">
        <v>3637</v>
      </c>
      <c r="B307" s="21" t="s">
        <v>3570</v>
      </c>
      <c r="C307" s="13" t="s">
        <v>3571</v>
      </c>
      <c r="D307" s="25" t="s">
        <v>3571</v>
      </c>
      <c r="E307" s="13"/>
      <c r="F307" s="41"/>
      <c r="G307" s="41"/>
      <c r="H307" s="41"/>
      <c r="I307" s="14" t="s">
        <v>1829</v>
      </c>
      <c r="J307" s="15">
        <v>44753</v>
      </c>
      <c r="K307" t="s">
        <v>3522</v>
      </c>
      <c r="L307" t="s">
        <v>51</v>
      </c>
      <c r="M307" t="s">
        <v>52</v>
      </c>
      <c r="N307" t="s">
        <v>53</v>
      </c>
      <c r="O307" t="s">
        <v>3523</v>
      </c>
      <c r="P307" t="s">
        <v>3524</v>
      </c>
      <c r="Q307" t="s">
        <v>56</v>
      </c>
      <c r="R307" s="21" t="s">
        <v>3525</v>
      </c>
      <c r="S307" s="21"/>
      <c r="T307" t="s">
        <v>3572</v>
      </c>
      <c r="U307" t="s">
        <v>3573</v>
      </c>
      <c r="X307" t="s">
        <v>1758</v>
      </c>
      <c r="Y307" t="s">
        <v>1832</v>
      </c>
      <c r="AA307" s="15"/>
      <c r="AC307">
        <v>36.376674999999999</v>
      </c>
      <c r="AD307">
        <v>-86.352078000000006</v>
      </c>
      <c r="AE307" t="s">
        <v>3562</v>
      </c>
      <c r="AH307" t="s">
        <v>1715</v>
      </c>
      <c r="AI307" t="s">
        <v>63</v>
      </c>
      <c r="AJ307" t="s">
        <v>3574</v>
      </c>
      <c r="AK307">
        <v>194438</v>
      </c>
      <c r="AM307" t="s">
        <v>3575</v>
      </c>
      <c r="AN307" t="s">
        <v>3576</v>
      </c>
      <c r="AO307" t="s">
        <v>3577</v>
      </c>
      <c r="AP307" t="s">
        <v>68</v>
      </c>
      <c r="AR307" t="s">
        <v>3578</v>
      </c>
      <c r="AS307" t="s">
        <v>3579</v>
      </c>
      <c r="AT307" t="s">
        <v>3580</v>
      </c>
      <c r="AW307" s="14" t="s">
        <v>72</v>
      </c>
      <c r="AX307" s="14" t="s">
        <v>73</v>
      </c>
      <c r="AY307" s="14" t="s">
        <v>74</v>
      </c>
    </row>
    <row r="308" spans="1:51" ht="15" customHeight="1" x14ac:dyDescent="0.4">
      <c r="A308" s="12">
        <v>3638</v>
      </c>
      <c r="B308" s="21" t="s">
        <v>3581</v>
      </c>
      <c r="C308" s="13" t="s">
        <v>3582</v>
      </c>
      <c r="D308" s="25" t="s">
        <v>3582</v>
      </c>
      <c r="E308" s="13"/>
      <c r="F308" s="41"/>
      <c r="G308" s="41"/>
      <c r="H308" s="41"/>
      <c r="I308" s="14" t="s">
        <v>49</v>
      </c>
      <c r="J308" s="15">
        <v>44753</v>
      </c>
      <c r="K308" t="s">
        <v>3522</v>
      </c>
      <c r="L308" t="s">
        <v>51</v>
      </c>
      <c r="M308" t="s">
        <v>52</v>
      </c>
      <c r="N308" t="s">
        <v>53</v>
      </c>
      <c r="O308" t="s">
        <v>3523</v>
      </c>
      <c r="P308" t="s">
        <v>3524</v>
      </c>
      <c r="Q308" t="s">
        <v>56</v>
      </c>
      <c r="R308" s="21" t="s">
        <v>3525</v>
      </c>
      <c r="S308" s="21"/>
      <c r="T308" t="s">
        <v>3583</v>
      </c>
      <c r="U308" t="s">
        <v>3584</v>
      </c>
      <c r="Y308" t="s">
        <v>60</v>
      </c>
      <c r="AA308" s="15"/>
      <c r="AC308">
        <v>36.376798000000001</v>
      </c>
      <c r="AD308">
        <v>-86.351910000000004</v>
      </c>
      <c r="AE308" t="s">
        <v>3539</v>
      </c>
      <c r="AH308" t="s">
        <v>1715</v>
      </c>
      <c r="AI308" t="s">
        <v>63</v>
      </c>
      <c r="AJ308" t="s">
        <v>3585</v>
      </c>
      <c r="AK308">
        <v>193382</v>
      </c>
      <c r="AM308" t="s">
        <v>3586</v>
      </c>
      <c r="AN308" t="s">
        <v>3587</v>
      </c>
      <c r="AO308" t="s">
        <v>3588</v>
      </c>
      <c r="AP308" t="s">
        <v>68</v>
      </c>
      <c r="AR308" t="s">
        <v>3589</v>
      </c>
      <c r="AS308" t="s">
        <v>3590</v>
      </c>
      <c r="AT308" t="s">
        <v>3591</v>
      </c>
      <c r="AW308" s="14" t="s">
        <v>72</v>
      </c>
      <c r="AX308" s="14" t="s">
        <v>73</v>
      </c>
      <c r="AY308" s="14" t="s">
        <v>74</v>
      </c>
    </row>
    <row r="309" spans="1:51" ht="15" customHeight="1" x14ac:dyDescent="0.4">
      <c r="A309" s="12">
        <v>3639</v>
      </c>
      <c r="B309" s="21" t="s">
        <v>3592</v>
      </c>
      <c r="C309" s="13" t="s">
        <v>3593</v>
      </c>
      <c r="D309" s="25" t="s">
        <v>3593</v>
      </c>
      <c r="E309" s="13"/>
      <c r="F309" s="41"/>
      <c r="G309" s="41"/>
      <c r="H309" s="41"/>
      <c r="I309" s="14" t="s">
        <v>1829</v>
      </c>
      <c r="J309" s="15">
        <v>44753</v>
      </c>
      <c r="K309" t="s">
        <v>3522</v>
      </c>
      <c r="L309" t="s">
        <v>51</v>
      </c>
      <c r="M309" t="s">
        <v>52</v>
      </c>
      <c r="N309" t="s">
        <v>53</v>
      </c>
      <c r="O309" t="s">
        <v>3523</v>
      </c>
      <c r="P309" t="s">
        <v>3524</v>
      </c>
      <c r="Q309" t="s">
        <v>56</v>
      </c>
      <c r="R309" s="21" t="s">
        <v>3525</v>
      </c>
      <c r="S309" s="21"/>
      <c r="T309" t="s">
        <v>3594</v>
      </c>
      <c r="U309" t="s">
        <v>3595</v>
      </c>
      <c r="Y309" t="s">
        <v>1832</v>
      </c>
      <c r="AA309" s="15"/>
      <c r="AC309">
        <v>36.376933000000001</v>
      </c>
      <c r="AD309">
        <v>-86.351783999999995</v>
      </c>
      <c r="AE309" t="s">
        <v>3596</v>
      </c>
      <c r="AH309" t="s">
        <v>1715</v>
      </c>
      <c r="AI309" t="s">
        <v>63</v>
      </c>
      <c r="AJ309" t="s">
        <v>3597</v>
      </c>
      <c r="AK309">
        <v>194439</v>
      </c>
      <c r="AM309" t="s">
        <v>3598</v>
      </c>
      <c r="AN309" t="s">
        <v>3599</v>
      </c>
      <c r="AO309" t="s">
        <v>3600</v>
      </c>
      <c r="AP309" t="s">
        <v>68</v>
      </c>
      <c r="AR309" t="s">
        <v>3601</v>
      </c>
      <c r="AS309" t="s">
        <v>3602</v>
      </c>
      <c r="AT309" t="s">
        <v>3603</v>
      </c>
      <c r="AW309" s="14" t="s">
        <v>72</v>
      </c>
      <c r="AX309" s="14" t="s">
        <v>73</v>
      </c>
      <c r="AY309" s="14" t="s">
        <v>74</v>
      </c>
    </row>
    <row r="310" spans="1:51" ht="15" customHeight="1" x14ac:dyDescent="0.4">
      <c r="A310" s="12">
        <v>3640</v>
      </c>
      <c r="B310" s="21" t="s">
        <v>3604</v>
      </c>
      <c r="C310" s="13" t="s">
        <v>3605</v>
      </c>
      <c r="D310" s="25" t="s">
        <v>3605</v>
      </c>
      <c r="E310" s="13"/>
      <c r="F310" s="41"/>
      <c r="G310" s="41"/>
      <c r="H310" s="41"/>
      <c r="I310" s="14" t="s">
        <v>1878</v>
      </c>
      <c r="J310" s="15">
        <v>44753</v>
      </c>
      <c r="K310" t="s">
        <v>3522</v>
      </c>
      <c r="L310" t="s">
        <v>51</v>
      </c>
      <c r="M310" t="s">
        <v>52</v>
      </c>
      <c r="N310" t="s">
        <v>53</v>
      </c>
      <c r="O310" t="s">
        <v>3523</v>
      </c>
      <c r="P310" t="s">
        <v>3524</v>
      </c>
      <c r="Q310" t="s">
        <v>56</v>
      </c>
      <c r="R310" s="21" t="s">
        <v>3525</v>
      </c>
      <c r="S310" s="21"/>
      <c r="T310" t="s">
        <v>3606</v>
      </c>
      <c r="U310" t="s">
        <v>3607</v>
      </c>
      <c r="X310" t="s">
        <v>2440</v>
      </c>
      <c r="Y310" t="s">
        <v>1881</v>
      </c>
      <c r="AA310" s="15"/>
      <c r="AC310">
        <v>36.377459000000002</v>
      </c>
      <c r="AD310">
        <v>-86.351259999999996</v>
      </c>
      <c r="AE310" t="s">
        <v>3608</v>
      </c>
      <c r="AH310" t="s">
        <v>1715</v>
      </c>
      <c r="AI310" t="s">
        <v>63</v>
      </c>
      <c r="AJ310" t="s">
        <v>3609</v>
      </c>
      <c r="AK310">
        <v>194170</v>
      </c>
      <c r="AM310" t="s">
        <v>3610</v>
      </c>
      <c r="AN310" t="s">
        <v>3611</v>
      </c>
      <c r="AO310" t="s">
        <v>3612</v>
      </c>
      <c r="AP310" t="s">
        <v>68</v>
      </c>
      <c r="AR310" t="s">
        <v>3613</v>
      </c>
      <c r="AS310" t="s">
        <v>3614</v>
      </c>
      <c r="AT310" t="s">
        <v>3615</v>
      </c>
      <c r="AW310" s="14" t="s">
        <v>72</v>
      </c>
      <c r="AX310" s="14" t="s">
        <v>73</v>
      </c>
      <c r="AY310" s="14" t="s">
        <v>1723</v>
      </c>
    </row>
    <row r="311" spans="1:51" ht="15" customHeight="1" x14ac:dyDescent="0.4">
      <c r="A311" s="12">
        <v>3641</v>
      </c>
      <c r="B311" s="21" t="s">
        <v>3616</v>
      </c>
      <c r="C311" s="13" t="s">
        <v>3617</v>
      </c>
      <c r="D311" s="25" t="s">
        <v>3617</v>
      </c>
      <c r="E311" s="13"/>
      <c r="F311" s="41"/>
      <c r="G311" s="41"/>
      <c r="H311" s="41"/>
      <c r="I311" s="14" t="s">
        <v>49</v>
      </c>
      <c r="J311" s="15">
        <v>44753</v>
      </c>
      <c r="K311" t="s">
        <v>3522</v>
      </c>
      <c r="L311" t="s">
        <v>51</v>
      </c>
      <c r="M311" t="s">
        <v>52</v>
      </c>
      <c r="N311" t="s">
        <v>53</v>
      </c>
      <c r="O311" t="s">
        <v>3523</v>
      </c>
      <c r="P311" t="s">
        <v>3524</v>
      </c>
      <c r="Q311" t="s">
        <v>56</v>
      </c>
      <c r="R311" s="21" t="s">
        <v>3525</v>
      </c>
      <c r="S311" s="21"/>
      <c r="T311" t="s">
        <v>3618</v>
      </c>
      <c r="U311" t="s">
        <v>3619</v>
      </c>
      <c r="Y311" t="s">
        <v>60</v>
      </c>
      <c r="AA311" s="15"/>
      <c r="AC311">
        <v>36.377782000000003</v>
      </c>
      <c r="AD311">
        <v>-86.351107999999996</v>
      </c>
      <c r="AE311" t="s">
        <v>3620</v>
      </c>
      <c r="AH311" t="s">
        <v>1715</v>
      </c>
      <c r="AI311" t="s">
        <v>63</v>
      </c>
      <c r="AJ311" t="s">
        <v>3621</v>
      </c>
      <c r="AK311">
        <v>193380</v>
      </c>
      <c r="AM311" t="s">
        <v>3622</v>
      </c>
      <c r="AN311" t="s">
        <v>3623</v>
      </c>
      <c r="AO311" t="s">
        <v>3624</v>
      </c>
      <c r="AP311" t="s">
        <v>68</v>
      </c>
      <c r="AR311" t="s">
        <v>3625</v>
      </c>
      <c r="AS311" t="s">
        <v>3626</v>
      </c>
      <c r="AT311" t="s">
        <v>3627</v>
      </c>
      <c r="AW311" s="14" t="s">
        <v>72</v>
      </c>
      <c r="AX311" s="14" t="s">
        <v>73</v>
      </c>
      <c r="AY311" s="14" t="s">
        <v>74</v>
      </c>
    </row>
    <row r="312" spans="1:51" ht="15" customHeight="1" x14ac:dyDescent="0.4">
      <c r="A312" s="12">
        <v>3642</v>
      </c>
      <c r="B312" s="21" t="s">
        <v>3628</v>
      </c>
      <c r="C312" s="13" t="s">
        <v>3629</v>
      </c>
      <c r="D312" s="25" t="s">
        <v>3629</v>
      </c>
      <c r="E312" s="13"/>
      <c r="F312" s="41"/>
      <c r="G312" s="41"/>
      <c r="H312" s="41"/>
      <c r="I312" s="14" t="s">
        <v>1878</v>
      </c>
      <c r="J312" s="15">
        <v>44753</v>
      </c>
      <c r="K312" t="s">
        <v>3522</v>
      </c>
      <c r="L312" t="s">
        <v>51</v>
      </c>
      <c r="M312" t="s">
        <v>52</v>
      </c>
      <c r="N312" t="s">
        <v>53</v>
      </c>
      <c r="O312" t="s">
        <v>3523</v>
      </c>
      <c r="P312" t="s">
        <v>3524</v>
      </c>
      <c r="Q312" t="s">
        <v>56</v>
      </c>
      <c r="R312" s="21" t="s">
        <v>3525</v>
      </c>
      <c r="S312" s="21"/>
      <c r="T312" t="s">
        <v>3630</v>
      </c>
      <c r="U312" t="s">
        <v>3631</v>
      </c>
      <c r="Y312" t="s">
        <v>1881</v>
      </c>
      <c r="AA312" s="15"/>
      <c r="AC312">
        <v>36.377797999999999</v>
      </c>
      <c r="AD312">
        <v>-86.351110000000006</v>
      </c>
      <c r="AE312" t="s">
        <v>3620</v>
      </c>
      <c r="AH312" t="s">
        <v>1715</v>
      </c>
      <c r="AI312" t="s">
        <v>63</v>
      </c>
      <c r="AJ312" t="s">
        <v>3632</v>
      </c>
      <c r="AK312">
        <v>194171</v>
      </c>
      <c r="AM312" t="s">
        <v>3633</v>
      </c>
      <c r="AN312" t="s">
        <v>3634</v>
      </c>
      <c r="AO312" t="s">
        <v>3635</v>
      </c>
      <c r="AP312" t="s">
        <v>68</v>
      </c>
      <c r="AQ312" t="s">
        <v>3636</v>
      </c>
      <c r="AR312" t="s">
        <v>3637</v>
      </c>
      <c r="AS312" t="s">
        <v>3638</v>
      </c>
      <c r="AT312" t="s">
        <v>3639</v>
      </c>
      <c r="AU312" s="31" t="s">
        <v>3640</v>
      </c>
      <c r="AW312" s="14" t="s">
        <v>72</v>
      </c>
      <c r="AX312" s="14" t="s">
        <v>73</v>
      </c>
      <c r="AY312" s="14" t="s">
        <v>1723</v>
      </c>
    </row>
    <row r="313" spans="1:51" ht="15" customHeight="1" x14ac:dyDescent="0.4">
      <c r="A313" s="12">
        <v>3643</v>
      </c>
      <c r="B313" s="21" t="s">
        <v>3641</v>
      </c>
      <c r="C313" s="13" t="s">
        <v>3642</v>
      </c>
      <c r="D313" s="25" t="s">
        <v>3642</v>
      </c>
      <c r="E313" s="13"/>
      <c r="F313" s="41"/>
      <c r="G313" s="41"/>
      <c r="H313" s="41"/>
      <c r="I313" s="14" t="s">
        <v>1829</v>
      </c>
      <c r="J313" s="15">
        <v>44753</v>
      </c>
      <c r="K313" t="s">
        <v>3522</v>
      </c>
      <c r="L313" t="s">
        <v>51</v>
      </c>
      <c r="M313" t="s">
        <v>52</v>
      </c>
      <c r="N313" t="s">
        <v>53</v>
      </c>
      <c r="O313" t="s">
        <v>3523</v>
      </c>
      <c r="P313" t="s">
        <v>3524</v>
      </c>
      <c r="Q313" t="s">
        <v>56</v>
      </c>
      <c r="R313" s="21" t="s">
        <v>3525</v>
      </c>
      <c r="S313" s="21"/>
      <c r="T313" t="s">
        <v>3643</v>
      </c>
      <c r="U313" t="s">
        <v>3644</v>
      </c>
      <c r="Y313" t="s">
        <v>1832</v>
      </c>
      <c r="AA313" s="15"/>
      <c r="AC313">
        <v>36.377740000000003</v>
      </c>
      <c r="AD313">
        <v>-86.351055000000002</v>
      </c>
      <c r="AE313" t="s">
        <v>3645</v>
      </c>
      <c r="AH313" t="s">
        <v>1715</v>
      </c>
      <c r="AI313" t="s">
        <v>63</v>
      </c>
      <c r="AJ313" t="s">
        <v>3646</v>
      </c>
      <c r="AK313">
        <v>194440</v>
      </c>
      <c r="AM313" t="s">
        <v>3647</v>
      </c>
      <c r="AN313" t="s">
        <v>3648</v>
      </c>
      <c r="AO313" t="s">
        <v>3649</v>
      </c>
      <c r="AP313" t="s">
        <v>68</v>
      </c>
      <c r="AR313" t="s">
        <v>3650</v>
      </c>
      <c r="AS313" t="s">
        <v>3651</v>
      </c>
      <c r="AT313" t="s">
        <v>3652</v>
      </c>
      <c r="AW313" s="14" t="s">
        <v>72</v>
      </c>
      <c r="AX313" s="14" t="s">
        <v>73</v>
      </c>
      <c r="AY313" s="14" t="s">
        <v>74</v>
      </c>
    </row>
    <row r="314" spans="1:51" ht="15" customHeight="1" x14ac:dyDescent="0.4">
      <c r="A314" s="12">
        <v>3644</v>
      </c>
      <c r="B314" s="21" t="s">
        <v>3653</v>
      </c>
      <c r="C314" s="13" t="s">
        <v>3654</v>
      </c>
      <c r="D314" s="25" t="s">
        <v>3654</v>
      </c>
      <c r="E314" s="13"/>
      <c r="F314" s="41"/>
      <c r="G314" s="41"/>
      <c r="H314" s="41"/>
      <c r="I314" s="14" t="s">
        <v>1878</v>
      </c>
      <c r="J314" s="15">
        <v>44753</v>
      </c>
      <c r="K314" t="s">
        <v>3522</v>
      </c>
      <c r="L314" t="s">
        <v>51</v>
      </c>
      <c r="M314" t="s">
        <v>52</v>
      </c>
      <c r="N314" t="s">
        <v>53</v>
      </c>
      <c r="O314" t="s">
        <v>3523</v>
      </c>
      <c r="P314" t="s">
        <v>3524</v>
      </c>
      <c r="Q314" t="s">
        <v>56</v>
      </c>
      <c r="R314" s="21" t="s">
        <v>3525</v>
      </c>
      <c r="S314" s="21"/>
      <c r="T314" t="s">
        <v>3643</v>
      </c>
      <c r="U314" t="s">
        <v>3655</v>
      </c>
      <c r="Y314" t="s">
        <v>1881</v>
      </c>
      <c r="AA314" s="15"/>
      <c r="AC314">
        <v>36.378008999999999</v>
      </c>
      <c r="AD314">
        <v>-86.350874000000005</v>
      </c>
      <c r="AE314" t="s">
        <v>3656</v>
      </c>
      <c r="AH314" t="s">
        <v>1715</v>
      </c>
      <c r="AI314" t="s">
        <v>63</v>
      </c>
      <c r="AJ314" t="s">
        <v>3657</v>
      </c>
      <c r="AK314">
        <v>194172</v>
      </c>
      <c r="AM314" t="s">
        <v>3658</v>
      </c>
      <c r="AN314" t="s">
        <v>3659</v>
      </c>
      <c r="AO314" t="s">
        <v>3660</v>
      </c>
      <c r="AP314" t="s">
        <v>68</v>
      </c>
      <c r="AR314" t="s">
        <v>3661</v>
      </c>
      <c r="AS314" t="s">
        <v>3662</v>
      </c>
      <c r="AT314" t="s">
        <v>3663</v>
      </c>
      <c r="AW314" s="14" t="s">
        <v>72</v>
      </c>
      <c r="AX314" s="14" t="s">
        <v>73</v>
      </c>
      <c r="AY314" s="14" t="s">
        <v>1723</v>
      </c>
    </row>
    <row r="315" spans="1:51" ht="15" customHeight="1" x14ac:dyDescent="0.4">
      <c r="A315" s="12">
        <v>3645</v>
      </c>
      <c r="B315" s="21" t="s">
        <v>3664</v>
      </c>
      <c r="C315" s="13" t="s">
        <v>3665</v>
      </c>
      <c r="D315" s="25" t="s">
        <v>3665</v>
      </c>
      <c r="E315" s="13"/>
      <c r="F315" s="41"/>
      <c r="G315" s="41"/>
      <c r="H315" s="41"/>
      <c r="I315" s="14" t="s">
        <v>1829</v>
      </c>
      <c r="J315" s="15">
        <v>44753</v>
      </c>
      <c r="K315" t="s">
        <v>3522</v>
      </c>
      <c r="L315" t="s">
        <v>51</v>
      </c>
      <c r="M315" t="s">
        <v>52</v>
      </c>
      <c r="N315" t="s">
        <v>53</v>
      </c>
      <c r="O315" t="s">
        <v>3523</v>
      </c>
      <c r="P315" t="s">
        <v>3524</v>
      </c>
      <c r="Q315" t="s">
        <v>56</v>
      </c>
      <c r="R315" s="21" t="s">
        <v>3525</v>
      </c>
      <c r="S315" s="21"/>
      <c r="T315" t="s">
        <v>3643</v>
      </c>
      <c r="U315" t="s">
        <v>3666</v>
      </c>
      <c r="Y315" t="s">
        <v>1832</v>
      </c>
      <c r="AA315" s="15"/>
      <c r="AC315">
        <v>36.378014999999998</v>
      </c>
      <c r="AD315">
        <v>-86.350899999999996</v>
      </c>
      <c r="AE315" t="s">
        <v>3667</v>
      </c>
      <c r="AH315" t="s">
        <v>1715</v>
      </c>
      <c r="AI315" t="s">
        <v>63</v>
      </c>
      <c r="AJ315" t="s">
        <v>3668</v>
      </c>
      <c r="AK315">
        <v>194441</v>
      </c>
      <c r="AM315" t="s">
        <v>3669</v>
      </c>
      <c r="AN315" t="s">
        <v>3670</v>
      </c>
      <c r="AO315" t="s">
        <v>3671</v>
      </c>
      <c r="AP315" t="s">
        <v>68</v>
      </c>
      <c r="AR315" t="s">
        <v>3672</v>
      </c>
      <c r="AS315" t="s">
        <v>3673</v>
      </c>
      <c r="AT315" t="s">
        <v>3674</v>
      </c>
      <c r="AW315" s="14" t="s">
        <v>72</v>
      </c>
      <c r="AX315" s="14" t="s">
        <v>73</v>
      </c>
      <c r="AY315" s="14" t="s">
        <v>74</v>
      </c>
    </row>
    <row r="316" spans="1:51" ht="15" customHeight="1" x14ac:dyDescent="0.4">
      <c r="A316" s="12">
        <v>3646</v>
      </c>
      <c r="B316" s="21" t="s">
        <v>3675</v>
      </c>
      <c r="C316" s="13" t="s">
        <v>3676</v>
      </c>
      <c r="D316" s="25" t="s">
        <v>3676</v>
      </c>
      <c r="E316" s="13"/>
      <c r="F316" s="41"/>
      <c r="G316" s="41"/>
      <c r="H316" s="41"/>
      <c r="I316" s="14" t="s">
        <v>1878</v>
      </c>
      <c r="J316" s="15">
        <v>44753</v>
      </c>
      <c r="K316" t="s">
        <v>3522</v>
      </c>
      <c r="L316" t="s">
        <v>51</v>
      </c>
      <c r="M316" t="s">
        <v>52</v>
      </c>
      <c r="N316" t="s">
        <v>53</v>
      </c>
      <c r="O316" t="s">
        <v>3523</v>
      </c>
      <c r="P316" t="s">
        <v>3524</v>
      </c>
      <c r="Q316" t="s">
        <v>56</v>
      </c>
      <c r="R316" s="21" t="s">
        <v>3525</v>
      </c>
      <c r="S316" s="21"/>
      <c r="T316" t="s">
        <v>3643</v>
      </c>
      <c r="U316" t="s">
        <v>3677</v>
      </c>
      <c r="Y316" t="s">
        <v>1881</v>
      </c>
      <c r="AA316" s="15"/>
      <c r="AC316">
        <v>36.378266000000004</v>
      </c>
      <c r="AD316">
        <v>-86.350746999999998</v>
      </c>
      <c r="AE316" t="s">
        <v>3678</v>
      </c>
      <c r="AH316" t="s">
        <v>1715</v>
      </c>
      <c r="AI316" t="s">
        <v>63</v>
      </c>
      <c r="AJ316" t="s">
        <v>3679</v>
      </c>
      <c r="AK316">
        <v>194173</v>
      </c>
      <c r="AM316" t="s">
        <v>3680</v>
      </c>
      <c r="AN316" t="s">
        <v>3681</v>
      </c>
      <c r="AO316" t="s">
        <v>3682</v>
      </c>
      <c r="AP316" t="s">
        <v>68</v>
      </c>
      <c r="AR316" t="s">
        <v>3683</v>
      </c>
      <c r="AS316" t="s">
        <v>3684</v>
      </c>
      <c r="AT316" t="s">
        <v>3685</v>
      </c>
      <c r="AW316" s="14" t="s">
        <v>72</v>
      </c>
      <c r="AX316" s="14" t="s">
        <v>73</v>
      </c>
      <c r="AY316" s="14" t="s">
        <v>1723</v>
      </c>
    </row>
    <row r="317" spans="1:51" ht="15" customHeight="1" x14ac:dyDescent="0.4">
      <c r="A317" s="12">
        <v>3647</v>
      </c>
      <c r="B317" s="21" t="s">
        <v>3686</v>
      </c>
      <c r="C317" s="13" t="s">
        <v>3687</v>
      </c>
      <c r="D317" s="25" t="s">
        <v>3687</v>
      </c>
      <c r="E317" s="13"/>
      <c r="F317" s="41"/>
      <c r="G317" s="41"/>
      <c r="H317" s="41"/>
      <c r="I317" s="14" t="s">
        <v>1878</v>
      </c>
      <c r="J317" s="15">
        <v>44753</v>
      </c>
      <c r="K317" t="s">
        <v>3522</v>
      </c>
      <c r="L317" t="s">
        <v>51</v>
      </c>
      <c r="M317" t="s">
        <v>52</v>
      </c>
      <c r="N317" t="s">
        <v>53</v>
      </c>
      <c r="O317" t="s">
        <v>3523</v>
      </c>
      <c r="P317" t="s">
        <v>3524</v>
      </c>
      <c r="Q317" t="s">
        <v>56</v>
      </c>
      <c r="R317" s="21" t="s">
        <v>3525</v>
      </c>
      <c r="S317" s="21"/>
      <c r="T317" t="s">
        <v>3688</v>
      </c>
      <c r="U317" t="s">
        <v>3689</v>
      </c>
      <c r="Y317" t="s">
        <v>1881</v>
      </c>
      <c r="AA317" s="15"/>
      <c r="AC317">
        <v>36.376907000000003</v>
      </c>
      <c r="AD317">
        <v>-86.358224000000007</v>
      </c>
      <c r="AE317" t="s">
        <v>3690</v>
      </c>
      <c r="AH317" t="s">
        <v>1715</v>
      </c>
      <c r="AI317" t="s">
        <v>63</v>
      </c>
      <c r="AJ317" t="s">
        <v>3691</v>
      </c>
      <c r="AK317">
        <v>194174</v>
      </c>
      <c r="AM317" t="s">
        <v>3692</v>
      </c>
      <c r="AN317" t="s">
        <v>3693</v>
      </c>
      <c r="AO317" t="s">
        <v>3694</v>
      </c>
      <c r="AP317" t="s">
        <v>68</v>
      </c>
      <c r="AR317" t="s">
        <v>3695</v>
      </c>
      <c r="AS317" t="s">
        <v>3696</v>
      </c>
      <c r="AT317" t="s">
        <v>3697</v>
      </c>
      <c r="AW317" s="14" t="s">
        <v>72</v>
      </c>
      <c r="AX317" s="14" t="s">
        <v>73</v>
      </c>
      <c r="AY317" s="14" t="s">
        <v>1723</v>
      </c>
    </row>
    <row r="318" spans="1:51" ht="15" customHeight="1" x14ac:dyDescent="0.4">
      <c r="A318" s="12">
        <v>3648</v>
      </c>
      <c r="B318" s="21" t="s">
        <v>3698</v>
      </c>
      <c r="C318" s="13" t="s">
        <v>3699</v>
      </c>
      <c r="D318" s="25" t="s">
        <v>3699</v>
      </c>
      <c r="E318" s="13"/>
      <c r="F318" s="41"/>
      <c r="G318" s="41"/>
      <c r="H318" s="41"/>
      <c r="I318" s="14" t="s">
        <v>1829</v>
      </c>
      <c r="J318" s="15">
        <v>44753</v>
      </c>
      <c r="K318" t="s">
        <v>3700</v>
      </c>
      <c r="L318" t="s">
        <v>51</v>
      </c>
      <c r="M318" t="s">
        <v>52</v>
      </c>
      <c r="N318" t="s">
        <v>53</v>
      </c>
      <c r="O318" t="s">
        <v>3523</v>
      </c>
      <c r="P318" t="s">
        <v>3701</v>
      </c>
      <c r="Q318" t="s">
        <v>56</v>
      </c>
      <c r="R318" s="21" t="s">
        <v>3702</v>
      </c>
      <c r="S318" s="21"/>
      <c r="T318" t="s">
        <v>3703</v>
      </c>
      <c r="U318" t="s">
        <v>3704</v>
      </c>
      <c r="Y318" t="s">
        <v>1832</v>
      </c>
      <c r="AA318" s="15"/>
      <c r="AC318">
        <v>36.072969999999998</v>
      </c>
      <c r="AD318">
        <v>-86.313800000000001</v>
      </c>
      <c r="AE318" t="s">
        <v>3705</v>
      </c>
      <c r="AH318" t="s">
        <v>1715</v>
      </c>
      <c r="AI318" t="s">
        <v>63</v>
      </c>
      <c r="AJ318" t="s">
        <v>3706</v>
      </c>
      <c r="AK318">
        <v>194442</v>
      </c>
      <c r="AM318" t="s">
        <v>3707</v>
      </c>
      <c r="AN318" t="s">
        <v>3708</v>
      </c>
      <c r="AO318" t="s">
        <v>3709</v>
      </c>
      <c r="AP318" t="s">
        <v>68</v>
      </c>
      <c r="AR318" t="s">
        <v>3710</v>
      </c>
      <c r="AS318" t="s">
        <v>3711</v>
      </c>
      <c r="AT318" t="s">
        <v>3712</v>
      </c>
      <c r="AW318" s="14" t="s">
        <v>72</v>
      </c>
      <c r="AX318" s="14" t="s">
        <v>73</v>
      </c>
      <c r="AY318" s="14" t="s">
        <v>74</v>
      </c>
    </row>
    <row r="319" spans="1:51" ht="15" customHeight="1" x14ac:dyDescent="0.4">
      <c r="A319" s="12">
        <v>3649</v>
      </c>
      <c r="B319" s="21" t="s">
        <v>3713</v>
      </c>
      <c r="C319" s="13" t="s">
        <v>3714</v>
      </c>
      <c r="D319" s="25" t="s">
        <v>3714</v>
      </c>
      <c r="E319" s="13"/>
      <c r="F319" s="41"/>
      <c r="G319" s="41"/>
      <c r="H319" s="41"/>
      <c r="I319" s="14" t="s">
        <v>1752</v>
      </c>
      <c r="J319" s="15">
        <v>44753</v>
      </c>
      <c r="K319" t="s">
        <v>3700</v>
      </c>
      <c r="L319" t="s">
        <v>51</v>
      </c>
      <c r="M319" t="s">
        <v>52</v>
      </c>
      <c r="N319" t="s">
        <v>53</v>
      </c>
      <c r="O319" t="s">
        <v>3523</v>
      </c>
      <c r="P319" t="s">
        <v>3701</v>
      </c>
      <c r="Q319" t="s">
        <v>56</v>
      </c>
      <c r="R319" s="21" t="s">
        <v>3702</v>
      </c>
      <c r="S319" s="21"/>
      <c r="T319" t="s">
        <v>3703</v>
      </c>
      <c r="U319" t="s">
        <v>3715</v>
      </c>
      <c r="Y319" t="s">
        <v>1759</v>
      </c>
      <c r="AA319" s="15"/>
      <c r="AC319">
        <v>36.073056999999999</v>
      </c>
      <c r="AD319">
        <v>-86.313585000000003</v>
      </c>
      <c r="AE319" t="s">
        <v>3705</v>
      </c>
      <c r="AH319" t="s">
        <v>1715</v>
      </c>
      <c r="AI319" t="s">
        <v>63</v>
      </c>
      <c r="AJ319" t="s">
        <v>3716</v>
      </c>
      <c r="AK319">
        <v>193521</v>
      </c>
      <c r="AM319" t="s">
        <v>3717</v>
      </c>
      <c r="AN319" t="s">
        <v>3718</v>
      </c>
      <c r="AO319" t="s">
        <v>3719</v>
      </c>
      <c r="AP319" t="s">
        <v>68</v>
      </c>
      <c r="AR319" t="s">
        <v>3720</v>
      </c>
      <c r="AS319" t="s">
        <v>3721</v>
      </c>
      <c r="AT319" t="s">
        <v>3722</v>
      </c>
      <c r="AW319" s="14" t="s">
        <v>72</v>
      </c>
      <c r="AX319" s="14" t="s">
        <v>73</v>
      </c>
      <c r="AY319" s="14" t="s">
        <v>1768</v>
      </c>
    </row>
    <row r="320" spans="1:51" ht="15" customHeight="1" x14ac:dyDescent="0.4">
      <c r="A320" s="12">
        <v>3650</v>
      </c>
      <c r="B320" s="21" t="s">
        <v>3723</v>
      </c>
      <c r="C320" s="13" t="s">
        <v>3724</v>
      </c>
      <c r="D320" s="25" t="s">
        <v>3724</v>
      </c>
      <c r="E320" s="13"/>
      <c r="F320" s="41"/>
      <c r="G320" s="41"/>
      <c r="H320" s="41"/>
      <c r="I320" s="14" t="s">
        <v>1829</v>
      </c>
      <c r="J320" s="15">
        <v>44753</v>
      </c>
      <c r="K320" t="s">
        <v>3700</v>
      </c>
      <c r="L320" t="s">
        <v>51</v>
      </c>
      <c r="M320" t="s">
        <v>52</v>
      </c>
      <c r="N320" t="s">
        <v>53</v>
      </c>
      <c r="O320" t="s">
        <v>3523</v>
      </c>
      <c r="P320" t="s">
        <v>3701</v>
      </c>
      <c r="Q320" t="s">
        <v>56</v>
      </c>
      <c r="R320" s="21" t="s">
        <v>3702</v>
      </c>
      <c r="S320" s="21"/>
      <c r="T320" t="s">
        <v>3725</v>
      </c>
      <c r="U320" t="s">
        <v>3726</v>
      </c>
      <c r="X320" t="s">
        <v>1758</v>
      </c>
      <c r="Y320" t="s">
        <v>1832</v>
      </c>
      <c r="AA320" s="15"/>
      <c r="AC320">
        <v>36.074587999999999</v>
      </c>
      <c r="AD320">
        <v>-86.314466999999993</v>
      </c>
      <c r="AE320" t="s">
        <v>3727</v>
      </c>
      <c r="AH320" t="s">
        <v>1715</v>
      </c>
      <c r="AI320" t="s">
        <v>63</v>
      </c>
      <c r="AJ320" t="s">
        <v>3728</v>
      </c>
      <c r="AK320">
        <v>194487</v>
      </c>
      <c r="AM320" t="s">
        <v>3729</v>
      </c>
      <c r="AN320" t="s">
        <v>3730</v>
      </c>
      <c r="AO320" t="s">
        <v>3731</v>
      </c>
      <c r="AP320" t="s">
        <v>68</v>
      </c>
      <c r="AR320" t="s">
        <v>3732</v>
      </c>
      <c r="AS320" t="s">
        <v>3733</v>
      </c>
      <c r="AT320" t="s">
        <v>3734</v>
      </c>
      <c r="AW320" s="14" t="s">
        <v>72</v>
      </c>
      <c r="AX320" s="14" t="s">
        <v>73</v>
      </c>
      <c r="AY320" s="14" t="s">
        <v>74</v>
      </c>
    </row>
    <row r="321" spans="1:51" ht="15" customHeight="1" x14ac:dyDescent="0.4">
      <c r="A321" s="12">
        <v>3651</v>
      </c>
      <c r="B321" s="21" t="s">
        <v>3735</v>
      </c>
      <c r="C321" s="13" t="s">
        <v>3736</v>
      </c>
      <c r="D321" s="25" t="s">
        <v>3736</v>
      </c>
      <c r="E321" s="13"/>
      <c r="F321" s="41"/>
      <c r="G321" s="41"/>
      <c r="H321" s="41"/>
      <c r="I321" s="14" t="s">
        <v>1752</v>
      </c>
      <c r="J321" s="15">
        <v>44753</v>
      </c>
      <c r="K321" t="s">
        <v>3700</v>
      </c>
      <c r="L321" t="s">
        <v>51</v>
      </c>
      <c r="M321" t="s">
        <v>52</v>
      </c>
      <c r="N321" t="s">
        <v>53</v>
      </c>
      <c r="O321" t="s">
        <v>3523</v>
      </c>
      <c r="P321" t="s">
        <v>3701</v>
      </c>
      <c r="Q321" t="s">
        <v>56</v>
      </c>
      <c r="R321" s="21" t="s">
        <v>3702</v>
      </c>
      <c r="S321" s="21"/>
      <c r="T321" t="s">
        <v>3725</v>
      </c>
      <c r="U321" t="s">
        <v>3737</v>
      </c>
      <c r="Y321" t="s">
        <v>1759</v>
      </c>
      <c r="AA321" s="15"/>
      <c r="AC321">
        <v>36.074626000000002</v>
      </c>
      <c r="AD321">
        <v>-86.314306000000002</v>
      </c>
      <c r="AE321" t="s">
        <v>3738</v>
      </c>
      <c r="AH321" t="s">
        <v>1715</v>
      </c>
      <c r="AI321" t="s">
        <v>63</v>
      </c>
      <c r="AJ321" t="s">
        <v>3739</v>
      </c>
      <c r="AK321">
        <v>193522</v>
      </c>
      <c r="AM321" t="s">
        <v>3740</v>
      </c>
      <c r="AN321" t="s">
        <v>3741</v>
      </c>
      <c r="AO321" t="s">
        <v>3742</v>
      </c>
      <c r="AP321" t="s">
        <v>68</v>
      </c>
      <c r="AR321" t="s">
        <v>3743</v>
      </c>
      <c r="AS321" t="s">
        <v>3744</v>
      </c>
      <c r="AT321" t="s">
        <v>3745</v>
      </c>
      <c r="AW321" s="14" t="s">
        <v>72</v>
      </c>
      <c r="AX321" s="14" t="s">
        <v>73</v>
      </c>
      <c r="AY321" s="14" t="s">
        <v>1768</v>
      </c>
    </row>
    <row r="322" spans="1:51" ht="15" customHeight="1" x14ac:dyDescent="0.4">
      <c r="A322" s="12">
        <v>3652</v>
      </c>
      <c r="B322" s="21" t="s">
        <v>3746</v>
      </c>
      <c r="C322" s="13" t="s">
        <v>3747</v>
      </c>
      <c r="D322" s="25" t="s">
        <v>3747</v>
      </c>
      <c r="E322" s="13"/>
      <c r="F322" s="41"/>
      <c r="G322" s="41"/>
      <c r="H322" s="41"/>
      <c r="I322" s="14" t="s">
        <v>1878</v>
      </c>
      <c r="J322" s="15">
        <v>44753</v>
      </c>
      <c r="K322" t="s">
        <v>3700</v>
      </c>
      <c r="L322" t="s">
        <v>51</v>
      </c>
      <c r="M322" t="s">
        <v>52</v>
      </c>
      <c r="N322" t="s">
        <v>53</v>
      </c>
      <c r="O322" t="s">
        <v>3523</v>
      </c>
      <c r="P322" t="s">
        <v>3701</v>
      </c>
      <c r="Q322" t="s">
        <v>56</v>
      </c>
      <c r="R322" s="21" t="s">
        <v>3702</v>
      </c>
      <c r="S322" s="21"/>
      <c r="T322" t="s">
        <v>3725</v>
      </c>
      <c r="U322" t="s">
        <v>3748</v>
      </c>
      <c r="Y322" t="s">
        <v>1881</v>
      </c>
      <c r="AA322" s="15"/>
      <c r="AC322">
        <v>36.075606000000001</v>
      </c>
      <c r="AD322">
        <v>-86.313963999999999</v>
      </c>
      <c r="AE322" t="s">
        <v>3749</v>
      </c>
      <c r="AH322" t="s">
        <v>1715</v>
      </c>
      <c r="AI322" t="s">
        <v>63</v>
      </c>
      <c r="AJ322" t="s">
        <v>3750</v>
      </c>
      <c r="AK322">
        <v>194175</v>
      </c>
      <c r="AM322" t="s">
        <v>3751</v>
      </c>
      <c r="AN322" t="s">
        <v>3752</v>
      </c>
      <c r="AO322" t="s">
        <v>3753</v>
      </c>
      <c r="AP322" t="s">
        <v>68</v>
      </c>
      <c r="AR322" t="s">
        <v>3754</v>
      </c>
      <c r="AS322" t="s">
        <v>3755</v>
      </c>
      <c r="AT322" t="s">
        <v>3756</v>
      </c>
      <c r="AW322" s="14" t="s">
        <v>72</v>
      </c>
      <c r="AX322" s="14" t="s">
        <v>73</v>
      </c>
      <c r="AY322" s="14" t="s">
        <v>1723</v>
      </c>
    </row>
    <row r="323" spans="1:51" ht="15" customHeight="1" x14ac:dyDescent="0.4">
      <c r="A323" s="12">
        <v>3653</v>
      </c>
      <c r="B323" s="21" t="s">
        <v>3757</v>
      </c>
      <c r="C323" s="13" t="s">
        <v>3758</v>
      </c>
      <c r="D323" s="25" t="s">
        <v>3758</v>
      </c>
      <c r="E323" s="13"/>
      <c r="F323" s="41"/>
      <c r="G323" s="41"/>
      <c r="H323" s="41"/>
      <c r="I323" s="14" t="s">
        <v>49</v>
      </c>
      <c r="J323" s="15">
        <v>44754</v>
      </c>
      <c r="K323" t="s">
        <v>3759</v>
      </c>
      <c r="L323" t="s">
        <v>51</v>
      </c>
      <c r="M323" t="s">
        <v>52</v>
      </c>
      <c r="N323" t="s">
        <v>53</v>
      </c>
      <c r="O323" t="s">
        <v>3760</v>
      </c>
      <c r="P323" t="s">
        <v>3761</v>
      </c>
      <c r="Q323" t="s">
        <v>56</v>
      </c>
      <c r="R323" s="21" t="s">
        <v>3762</v>
      </c>
      <c r="S323" s="21"/>
      <c r="T323" t="s">
        <v>3763</v>
      </c>
      <c r="U323" t="s">
        <v>3764</v>
      </c>
      <c r="X323" t="s">
        <v>3765</v>
      </c>
      <c r="Y323" t="s">
        <v>60</v>
      </c>
      <c r="AA323" s="15"/>
      <c r="AC323">
        <v>38.059359000000001</v>
      </c>
      <c r="AD323">
        <v>-86.513459999999995</v>
      </c>
      <c r="AE323" t="s">
        <v>3766</v>
      </c>
      <c r="AH323" t="s">
        <v>1715</v>
      </c>
      <c r="AI323" t="s">
        <v>63</v>
      </c>
      <c r="AJ323" t="s">
        <v>3767</v>
      </c>
      <c r="AK323">
        <v>194416</v>
      </c>
      <c r="AM323" t="s">
        <v>3768</v>
      </c>
      <c r="AN323" t="s">
        <v>3769</v>
      </c>
      <c r="AO323" t="s">
        <v>3770</v>
      </c>
      <c r="AP323" t="s">
        <v>68</v>
      </c>
      <c r="AR323" t="s">
        <v>3771</v>
      </c>
      <c r="AS323" t="s">
        <v>3772</v>
      </c>
      <c r="AT323" t="s">
        <v>3773</v>
      </c>
      <c r="AW323" s="14" t="s">
        <v>72</v>
      </c>
      <c r="AX323" s="14" t="s">
        <v>73</v>
      </c>
      <c r="AY323" s="14" t="s">
        <v>74</v>
      </c>
    </row>
    <row r="324" spans="1:51" ht="15" customHeight="1" x14ac:dyDescent="0.4">
      <c r="A324" s="12">
        <v>3654</v>
      </c>
      <c r="B324" s="21" t="s">
        <v>3774</v>
      </c>
      <c r="C324" s="13" t="s">
        <v>3775</v>
      </c>
      <c r="D324" s="25" t="s">
        <v>3775</v>
      </c>
      <c r="E324" s="13"/>
      <c r="F324" s="41"/>
      <c r="G324" s="41"/>
      <c r="H324" s="41"/>
      <c r="I324" s="14" t="s">
        <v>49</v>
      </c>
      <c r="J324" s="15">
        <v>44754</v>
      </c>
      <c r="K324" t="s">
        <v>3759</v>
      </c>
      <c r="L324" t="s">
        <v>51</v>
      </c>
      <c r="M324" t="s">
        <v>52</v>
      </c>
      <c r="N324" t="s">
        <v>53</v>
      </c>
      <c r="O324" t="s">
        <v>3760</v>
      </c>
      <c r="P324" t="s">
        <v>3761</v>
      </c>
      <c r="Q324" t="s">
        <v>56</v>
      </c>
      <c r="R324" s="21" t="s">
        <v>3762</v>
      </c>
      <c r="S324" s="21"/>
      <c r="T324" t="s">
        <v>3776</v>
      </c>
      <c r="U324" t="s">
        <v>3777</v>
      </c>
      <c r="X324" t="s">
        <v>2820</v>
      </c>
      <c r="Y324" t="s">
        <v>60</v>
      </c>
      <c r="AA324" s="15"/>
      <c r="AC324">
        <v>38.061765000000001</v>
      </c>
      <c r="AD324">
        <v>-84.506476000000006</v>
      </c>
      <c r="AE324" t="s">
        <v>3778</v>
      </c>
      <c r="AH324" t="s">
        <v>1715</v>
      </c>
      <c r="AI324" t="s">
        <v>63</v>
      </c>
      <c r="AJ324" t="s">
        <v>3779</v>
      </c>
      <c r="AK324">
        <v>194417</v>
      </c>
      <c r="AM324" t="s">
        <v>3780</v>
      </c>
      <c r="AN324" t="s">
        <v>3781</v>
      </c>
      <c r="AO324" t="s">
        <v>3782</v>
      </c>
      <c r="AP324" t="s">
        <v>68</v>
      </c>
      <c r="AR324" t="s">
        <v>3783</v>
      </c>
      <c r="AS324" t="s">
        <v>3784</v>
      </c>
      <c r="AT324" t="s">
        <v>3785</v>
      </c>
      <c r="AW324" s="14" t="s">
        <v>72</v>
      </c>
      <c r="AX324" s="14" t="s">
        <v>73</v>
      </c>
      <c r="AY324" s="14" t="s">
        <v>74</v>
      </c>
    </row>
    <row r="325" spans="1:51" ht="15" customHeight="1" x14ac:dyDescent="0.4">
      <c r="A325" s="12">
        <v>3655</v>
      </c>
      <c r="B325" s="21" t="s">
        <v>3786</v>
      </c>
      <c r="C325" s="13" t="s">
        <v>3787</v>
      </c>
      <c r="D325" s="25" t="s">
        <v>3787</v>
      </c>
      <c r="E325" s="13"/>
      <c r="F325" s="41"/>
      <c r="G325" s="41"/>
      <c r="H325" s="41"/>
      <c r="I325" s="14" t="s">
        <v>49</v>
      </c>
      <c r="J325" s="15">
        <v>44754</v>
      </c>
      <c r="K325" t="s">
        <v>3759</v>
      </c>
      <c r="L325" t="s">
        <v>51</v>
      </c>
      <c r="M325" t="s">
        <v>52</v>
      </c>
      <c r="N325" t="s">
        <v>53</v>
      </c>
      <c r="O325" t="s">
        <v>3760</v>
      </c>
      <c r="P325" t="s">
        <v>3761</v>
      </c>
      <c r="Q325" t="s">
        <v>56</v>
      </c>
      <c r="R325" s="21" t="s">
        <v>3762</v>
      </c>
      <c r="S325" s="21"/>
      <c r="T325" t="s">
        <v>3788</v>
      </c>
      <c r="U325" t="s">
        <v>3789</v>
      </c>
      <c r="X325" t="s">
        <v>2820</v>
      </c>
      <c r="Y325" t="s">
        <v>60</v>
      </c>
      <c r="AA325" s="15"/>
      <c r="AC325">
        <v>38.061055000000003</v>
      </c>
      <c r="AD325">
        <v>-84.507112000000006</v>
      </c>
      <c r="AE325" t="s">
        <v>3790</v>
      </c>
      <c r="AH325" t="s">
        <v>1715</v>
      </c>
      <c r="AI325" t="s">
        <v>63</v>
      </c>
      <c r="AJ325" t="s">
        <v>3791</v>
      </c>
      <c r="AK325">
        <v>193371</v>
      </c>
      <c r="AM325" t="s">
        <v>3792</v>
      </c>
      <c r="AN325" t="s">
        <v>3793</v>
      </c>
      <c r="AO325" t="s">
        <v>3794</v>
      </c>
      <c r="AP325" t="s">
        <v>68</v>
      </c>
      <c r="AR325" t="s">
        <v>3795</v>
      </c>
      <c r="AS325" t="s">
        <v>3796</v>
      </c>
      <c r="AT325" t="s">
        <v>3797</v>
      </c>
      <c r="AW325" s="14" t="s">
        <v>72</v>
      </c>
      <c r="AX325" s="14" t="s">
        <v>73</v>
      </c>
      <c r="AY325" s="14" t="s">
        <v>74</v>
      </c>
    </row>
    <row r="326" spans="1:51" ht="15" customHeight="1" x14ac:dyDescent="0.4">
      <c r="A326" s="12">
        <v>3656</v>
      </c>
      <c r="B326" s="21" t="s">
        <v>3798</v>
      </c>
      <c r="C326" s="13" t="s">
        <v>3799</v>
      </c>
      <c r="D326" s="25" t="s">
        <v>3799</v>
      </c>
      <c r="E326" s="13"/>
      <c r="F326" s="41"/>
      <c r="G326" s="41"/>
      <c r="H326" s="41"/>
      <c r="I326" s="14" t="s">
        <v>49</v>
      </c>
      <c r="J326" s="15">
        <v>44754</v>
      </c>
      <c r="K326" t="s">
        <v>3759</v>
      </c>
      <c r="L326" t="s">
        <v>51</v>
      </c>
      <c r="M326" t="s">
        <v>52</v>
      </c>
      <c r="N326" t="s">
        <v>53</v>
      </c>
      <c r="O326" t="s">
        <v>3760</v>
      </c>
      <c r="P326" t="s">
        <v>3761</v>
      </c>
      <c r="Q326" t="s">
        <v>56</v>
      </c>
      <c r="R326" s="21" t="s">
        <v>3762</v>
      </c>
      <c r="S326" s="21"/>
      <c r="T326" t="s">
        <v>3800</v>
      </c>
      <c r="U326" t="s">
        <v>3801</v>
      </c>
      <c r="X326" t="s">
        <v>3802</v>
      </c>
      <c r="Y326" t="s">
        <v>60</v>
      </c>
      <c r="AA326" s="15"/>
      <c r="AC326">
        <v>38.058273999999997</v>
      </c>
      <c r="AD326">
        <v>-84.508550999999997</v>
      </c>
      <c r="AE326" t="s">
        <v>3803</v>
      </c>
      <c r="AH326" t="s">
        <v>1715</v>
      </c>
      <c r="AI326" t="s">
        <v>63</v>
      </c>
      <c r="AJ326" t="s">
        <v>3804</v>
      </c>
      <c r="AK326">
        <v>194418</v>
      </c>
      <c r="AM326" t="s">
        <v>3805</v>
      </c>
      <c r="AN326" t="s">
        <v>3806</v>
      </c>
      <c r="AO326" t="s">
        <v>3807</v>
      </c>
      <c r="AP326" t="s">
        <v>68</v>
      </c>
      <c r="AR326" t="s">
        <v>3808</v>
      </c>
      <c r="AS326" t="s">
        <v>3809</v>
      </c>
      <c r="AT326" t="s">
        <v>3810</v>
      </c>
      <c r="AW326" s="14" t="s">
        <v>72</v>
      </c>
      <c r="AX326" s="14" t="s">
        <v>73</v>
      </c>
      <c r="AY326" s="14" t="s">
        <v>74</v>
      </c>
    </row>
    <row r="327" spans="1:51" ht="15" customHeight="1" x14ac:dyDescent="0.4">
      <c r="A327" s="12">
        <v>3657</v>
      </c>
      <c r="B327" s="21" t="s">
        <v>3811</v>
      </c>
      <c r="C327" s="13" t="s">
        <v>3812</v>
      </c>
      <c r="D327" s="25" t="s">
        <v>3812</v>
      </c>
      <c r="E327" s="13"/>
      <c r="F327" s="41"/>
      <c r="G327" s="41"/>
      <c r="H327" s="41"/>
      <c r="I327" s="14" t="s">
        <v>49</v>
      </c>
      <c r="J327" s="15">
        <v>44754</v>
      </c>
      <c r="K327" t="s">
        <v>3759</v>
      </c>
      <c r="L327" t="s">
        <v>51</v>
      </c>
      <c r="M327" t="s">
        <v>52</v>
      </c>
      <c r="N327" t="s">
        <v>53</v>
      </c>
      <c r="O327" t="s">
        <v>3760</v>
      </c>
      <c r="P327" t="s">
        <v>3761</v>
      </c>
      <c r="Q327" t="s">
        <v>56</v>
      </c>
      <c r="R327" s="21" t="s">
        <v>2721</v>
      </c>
      <c r="S327" s="21"/>
      <c r="T327" t="s">
        <v>3813</v>
      </c>
      <c r="U327" t="s">
        <v>3814</v>
      </c>
      <c r="X327" t="s">
        <v>3815</v>
      </c>
      <c r="Y327" t="s">
        <v>60</v>
      </c>
      <c r="AA327" s="15"/>
      <c r="AC327">
        <v>38.055833999999997</v>
      </c>
      <c r="AD327">
        <v>-84.476246000000003</v>
      </c>
      <c r="AE327" t="s">
        <v>3816</v>
      </c>
      <c r="AH327" t="s">
        <v>1715</v>
      </c>
      <c r="AI327" t="s">
        <v>63</v>
      </c>
      <c r="AJ327" t="s">
        <v>3817</v>
      </c>
      <c r="AK327">
        <v>194419</v>
      </c>
      <c r="AM327" t="s">
        <v>3818</v>
      </c>
      <c r="AN327" t="s">
        <v>3819</v>
      </c>
      <c r="AO327" t="s">
        <v>3820</v>
      </c>
      <c r="AP327" t="s">
        <v>68</v>
      </c>
      <c r="AR327" t="s">
        <v>3821</v>
      </c>
      <c r="AS327" t="s">
        <v>3822</v>
      </c>
      <c r="AT327" t="s">
        <v>3823</v>
      </c>
      <c r="AW327" s="14" t="s">
        <v>72</v>
      </c>
      <c r="AX327" s="14" t="s">
        <v>73</v>
      </c>
      <c r="AY327" s="14" t="s">
        <v>74</v>
      </c>
    </row>
    <row r="328" spans="1:51" ht="15" customHeight="1" x14ac:dyDescent="0.4">
      <c r="A328" s="12">
        <v>3658</v>
      </c>
      <c r="B328" s="21" t="s">
        <v>3824</v>
      </c>
      <c r="C328" s="13" t="s">
        <v>3825</v>
      </c>
      <c r="D328" s="25" t="s">
        <v>3825</v>
      </c>
      <c r="E328" s="13"/>
      <c r="F328" s="41"/>
      <c r="G328" s="41"/>
      <c r="H328" s="41"/>
      <c r="I328" s="14" t="s">
        <v>1829</v>
      </c>
      <c r="J328" s="15">
        <v>44754</v>
      </c>
      <c r="K328" t="s">
        <v>3759</v>
      </c>
      <c r="L328" t="s">
        <v>51</v>
      </c>
      <c r="M328" t="s">
        <v>52</v>
      </c>
      <c r="N328" t="s">
        <v>53</v>
      </c>
      <c r="O328" t="s">
        <v>3760</v>
      </c>
      <c r="P328" t="s">
        <v>3761</v>
      </c>
      <c r="Q328" t="s">
        <v>56</v>
      </c>
      <c r="R328" s="21" t="s">
        <v>2721</v>
      </c>
      <c r="S328" s="21"/>
      <c r="T328" t="s">
        <v>3826</v>
      </c>
      <c r="U328" t="s">
        <v>3827</v>
      </c>
      <c r="X328" t="s">
        <v>1758</v>
      </c>
      <c r="Y328" t="s">
        <v>1832</v>
      </c>
      <c r="AA328" s="15"/>
      <c r="AC328">
        <v>38.055771999999997</v>
      </c>
      <c r="AD328">
        <v>-84.476893000000004</v>
      </c>
      <c r="AE328" t="s">
        <v>3828</v>
      </c>
      <c r="AH328" t="s">
        <v>1715</v>
      </c>
      <c r="AI328" t="s">
        <v>63</v>
      </c>
      <c r="AJ328" t="s">
        <v>3829</v>
      </c>
      <c r="AK328">
        <v>194486</v>
      </c>
      <c r="AM328" t="s">
        <v>3830</v>
      </c>
      <c r="AN328" t="s">
        <v>3831</v>
      </c>
      <c r="AO328" t="s">
        <v>3832</v>
      </c>
      <c r="AP328" t="s">
        <v>68</v>
      </c>
      <c r="AR328" t="s">
        <v>3833</v>
      </c>
      <c r="AS328" t="s">
        <v>3834</v>
      </c>
      <c r="AT328" t="s">
        <v>3835</v>
      </c>
      <c r="AW328" s="14" t="s">
        <v>72</v>
      </c>
      <c r="AX328" s="14" t="s">
        <v>73</v>
      </c>
      <c r="AY328" s="14" t="s">
        <v>74</v>
      </c>
    </row>
    <row r="329" spans="1:51" ht="15" customHeight="1" x14ac:dyDescent="0.4">
      <c r="A329" s="12">
        <v>3659</v>
      </c>
      <c r="B329" s="21" t="s">
        <v>3836</v>
      </c>
      <c r="C329" s="13" t="s">
        <v>3837</v>
      </c>
      <c r="D329" s="25" t="s">
        <v>3837</v>
      </c>
      <c r="E329" s="13"/>
      <c r="F329" s="41"/>
      <c r="G329" s="41"/>
      <c r="H329" s="41"/>
      <c r="I329" s="14" t="s">
        <v>1829</v>
      </c>
      <c r="J329" s="15">
        <v>44754</v>
      </c>
      <c r="K329" t="s">
        <v>3759</v>
      </c>
      <c r="L329" t="s">
        <v>51</v>
      </c>
      <c r="M329" t="s">
        <v>52</v>
      </c>
      <c r="N329" t="s">
        <v>53</v>
      </c>
      <c r="O329" t="s">
        <v>3760</v>
      </c>
      <c r="P329" t="s">
        <v>3761</v>
      </c>
      <c r="Q329" t="s">
        <v>56</v>
      </c>
      <c r="R329" s="21" t="s">
        <v>2721</v>
      </c>
      <c r="S329" s="21"/>
      <c r="T329" t="s">
        <v>3826</v>
      </c>
      <c r="U329" t="s">
        <v>3838</v>
      </c>
      <c r="X329" t="s">
        <v>1758</v>
      </c>
      <c r="Y329" t="s">
        <v>1832</v>
      </c>
      <c r="AA329" s="15"/>
      <c r="AC329">
        <v>38.054630000000003</v>
      </c>
      <c r="AD329">
        <v>-84.475660000000005</v>
      </c>
      <c r="AE329" t="s">
        <v>3816</v>
      </c>
      <c r="AH329" t="s">
        <v>1715</v>
      </c>
      <c r="AI329" t="s">
        <v>63</v>
      </c>
      <c r="AJ329" t="s">
        <v>3839</v>
      </c>
      <c r="AK329">
        <v>194485</v>
      </c>
      <c r="AM329" t="s">
        <v>3840</v>
      </c>
      <c r="AN329" t="s">
        <v>3841</v>
      </c>
      <c r="AO329" t="s">
        <v>3842</v>
      </c>
      <c r="AP329" t="s">
        <v>68</v>
      </c>
      <c r="AR329" t="s">
        <v>3843</v>
      </c>
      <c r="AS329" t="s">
        <v>3844</v>
      </c>
      <c r="AT329" t="s">
        <v>3845</v>
      </c>
      <c r="AW329" s="14" t="s">
        <v>72</v>
      </c>
      <c r="AX329" s="14" t="s">
        <v>73</v>
      </c>
      <c r="AY329" s="14" t="s">
        <v>74</v>
      </c>
    </row>
    <row r="330" spans="1:51" ht="15" customHeight="1" x14ac:dyDescent="0.4">
      <c r="A330" s="12">
        <v>3660</v>
      </c>
      <c r="B330" s="21" t="s">
        <v>3846</v>
      </c>
      <c r="C330" s="13" t="s">
        <v>3847</v>
      </c>
      <c r="D330" s="25" t="s">
        <v>3847</v>
      </c>
      <c r="E330" s="13"/>
      <c r="F330" s="41"/>
      <c r="G330" s="41"/>
      <c r="H330" s="41"/>
      <c r="I330" s="14" t="s">
        <v>49</v>
      </c>
      <c r="J330" s="15">
        <v>44755</v>
      </c>
      <c r="K330" t="s">
        <v>3759</v>
      </c>
      <c r="L330" t="s">
        <v>51</v>
      </c>
      <c r="M330" t="s">
        <v>52</v>
      </c>
      <c r="N330" t="s">
        <v>53</v>
      </c>
      <c r="O330" t="s">
        <v>3760</v>
      </c>
      <c r="P330" t="s">
        <v>3761</v>
      </c>
      <c r="Q330" t="s">
        <v>56</v>
      </c>
      <c r="R330" s="21" t="s">
        <v>3848</v>
      </c>
      <c r="S330" s="21"/>
      <c r="T330" t="s">
        <v>3849</v>
      </c>
      <c r="U330" t="s">
        <v>3850</v>
      </c>
      <c r="X330" t="s">
        <v>2951</v>
      </c>
      <c r="Y330" t="s">
        <v>60</v>
      </c>
      <c r="AA330" s="15"/>
      <c r="AC330">
        <v>38.278213999999998</v>
      </c>
      <c r="AD330">
        <v>-84.203992</v>
      </c>
      <c r="AE330" t="s">
        <v>3851</v>
      </c>
      <c r="AH330" t="s">
        <v>1715</v>
      </c>
      <c r="AI330" t="s">
        <v>63</v>
      </c>
      <c r="AJ330" t="s">
        <v>3852</v>
      </c>
      <c r="AK330">
        <v>194420</v>
      </c>
      <c r="AM330" t="s">
        <v>3853</v>
      </c>
      <c r="AN330" t="s">
        <v>3854</v>
      </c>
      <c r="AO330" t="s">
        <v>3855</v>
      </c>
      <c r="AP330" t="s">
        <v>68</v>
      </c>
      <c r="AR330" t="s">
        <v>3856</v>
      </c>
      <c r="AS330" t="s">
        <v>3857</v>
      </c>
      <c r="AT330" t="s">
        <v>3858</v>
      </c>
      <c r="AW330" s="14" t="s">
        <v>72</v>
      </c>
      <c r="AX330" s="14" t="s">
        <v>73</v>
      </c>
      <c r="AY330" s="14" t="s">
        <v>74</v>
      </c>
    </row>
    <row r="331" spans="1:51" ht="15" customHeight="1" x14ac:dyDescent="0.4">
      <c r="A331" s="12">
        <v>3661</v>
      </c>
      <c r="B331" s="21" t="s">
        <v>3859</v>
      </c>
      <c r="C331" s="13" t="s">
        <v>3860</v>
      </c>
      <c r="D331" s="25" t="s">
        <v>3860</v>
      </c>
      <c r="E331" s="13"/>
      <c r="F331" s="41"/>
      <c r="G331" s="41"/>
      <c r="H331" s="41"/>
      <c r="I331" s="14" t="s">
        <v>1829</v>
      </c>
      <c r="J331" s="15">
        <v>44755</v>
      </c>
      <c r="K331" t="s">
        <v>3759</v>
      </c>
      <c r="L331" t="s">
        <v>51</v>
      </c>
      <c r="M331" t="s">
        <v>52</v>
      </c>
      <c r="N331" t="s">
        <v>53</v>
      </c>
      <c r="O331" t="s">
        <v>3760</v>
      </c>
      <c r="P331" t="s">
        <v>3761</v>
      </c>
      <c r="Q331" t="s">
        <v>56</v>
      </c>
      <c r="R331" s="21" t="s">
        <v>3848</v>
      </c>
      <c r="S331" s="21"/>
      <c r="T331" t="s">
        <v>3849</v>
      </c>
      <c r="U331" t="s">
        <v>3861</v>
      </c>
      <c r="X331" t="s">
        <v>2440</v>
      </c>
      <c r="Y331" t="s">
        <v>1832</v>
      </c>
      <c r="AA331" s="15"/>
      <c r="AC331">
        <v>38.218246000000001</v>
      </c>
      <c r="AD331">
        <v>-84.203367999999998</v>
      </c>
      <c r="AE331" t="s">
        <v>3862</v>
      </c>
      <c r="AH331" t="s">
        <v>1715</v>
      </c>
      <c r="AI331" t="s">
        <v>63</v>
      </c>
      <c r="AJ331" t="s">
        <v>3863</v>
      </c>
      <c r="AK331">
        <v>194484</v>
      </c>
      <c r="AM331" t="s">
        <v>3864</v>
      </c>
      <c r="AN331" t="s">
        <v>3865</v>
      </c>
      <c r="AO331" t="s">
        <v>3866</v>
      </c>
      <c r="AP331" t="s">
        <v>68</v>
      </c>
      <c r="AR331" t="s">
        <v>3867</v>
      </c>
      <c r="AS331" t="s">
        <v>3868</v>
      </c>
      <c r="AT331" t="s">
        <v>3869</v>
      </c>
      <c r="AW331" s="14" t="s">
        <v>72</v>
      </c>
      <c r="AX331" s="14" t="s">
        <v>73</v>
      </c>
      <c r="AY331" s="14" t="s">
        <v>74</v>
      </c>
    </row>
    <row r="332" spans="1:51" ht="15" customHeight="1" x14ac:dyDescent="0.4">
      <c r="A332" s="12">
        <v>3662</v>
      </c>
      <c r="B332" s="21" t="s">
        <v>3870</v>
      </c>
      <c r="C332" s="13" t="s">
        <v>3871</v>
      </c>
      <c r="D332" s="25" t="s">
        <v>3871</v>
      </c>
      <c r="E332" s="13"/>
      <c r="F332" s="41"/>
      <c r="G332" s="41"/>
      <c r="H332" s="41"/>
      <c r="I332" s="14" t="s">
        <v>49</v>
      </c>
      <c r="J332" s="15">
        <v>44755</v>
      </c>
      <c r="K332" t="s">
        <v>3759</v>
      </c>
      <c r="L332" t="s">
        <v>51</v>
      </c>
      <c r="M332" t="s">
        <v>52</v>
      </c>
      <c r="N332" t="s">
        <v>53</v>
      </c>
      <c r="O332" t="s">
        <v>3760</v>
      </c>
      <c r="P332" t="s">
        <v>3761</v>
      </c>
      <c r="Q332" t="s">
        <v>56</v>
      </c>
      <c r="R332" s="21" t="s">
        <v>3848</v>
      </c>
      <c r="S332" s="21"/>
      <c r="T332" t="s">
        <v>3849</v>
      </c>
      <c r="U332" t="s">
        <v>3872</v>
      </c>
      <c r="X332" t="s">
        <v>2440</v>
      </c>
      <c r="Y332" t="s">
        <v>60</v>
      </c>
      <c r="AA332" s="15"/>
      <c r="AC332">
        <v>38.278441000000001</v>
      </c>
      <c r="AD332">
        <v>-84.203367999999998</v>
      </c>
      <c r="AE332" t="s">
        <v>3020</v>
      </c>
      <c r="AH332" t="s">
        <v>1715</v>
      </c>
      <c r="AI332" t="s">
        <v>63</v>
      </c>
      <c r="AJ332" t="s">
        <v>3873</v>
      </c>
      <c r="AK332">
        <v>193370</v>
      </c>
      <c r="AM332" t="s">
        <v>3874</v>
      </c>
      <c r="AN332" t="s">
        <v>3875</v>
      </c>
      <c r="AO332" t="s">
        <v>3876</v>
      </c>
      <c r="AP332" t="s">
        <v>68</v>
      </c>
      <c r="AR332" t="s">
        <v>3877</v>
      </c>
      <c r="AS332" t="s">
        <v>3878</v>
      </c>
      <c r="AT332" t="s">
        <v>3879</v>
      </c>
      <c r="AW332" s="14" t="s">
        <v>72</v>
      </c>
      <c r="AX332" s="14" t="s">
        <v>73</v>
      </c>
      <c r="AY332" s="14" t="s">
        <v>74</v>
      </c>
    </row>
    <row r="333" spans="1:51" ht="15" customHeight="1" x14ac:dyDescent="0.4">
      <c r="A333" s="12">
        <v>3663</v>
      </c>
      <c r="B333" s="21" t="s">
        <v>3880</v>
      </c>
      <c r="C333" s="13" t="s">
        <v>3881</v>
      </c>
      <c r="D333" s="25" t="s">
        <v>3881</v>
      </c>
      <c r="E333" s="13"/>
      <c r="F333" s="41"/>
      <c r="G333" s="41"/>
      <c r="H333" s="41"/>
      <c r="I333" s="14" t="s">
        <v>1829</v>
      </c>
      <c r="J333" s="15">
        <v>44755</v>
      </c>
      <c r="K333" t="s">
        <v>3759</v>
      </c>
      <c r="L333" t="s">
        <v>51</v>
      </c>
      <c r="M333" t="s">
        <v>52</v>
      </c>
      <c r="N333" t="s">
        <v>53</v>
      </c>
      <c r="O333" t="s">
        <v>3760</v>
      </c>
      <c r="P333" t="s">
        <v>3761</v>
      </c>
      <c r="Q333" t="s">
        <v>56</v>
      </c>
      <c r="R333" s="21" t="s">
        <v>3848</v>
      </c>
      <c r="S333" s="21"/>
      <c r="T333" t="s">
        <v>3849</v>
      </c>
      <c r="U333" t="s">
        <v>3882</v>
      </c>
      <c r="X333" t="s">
        <v>3765</v>
      </c>
      <c r="Y333" t="s">
        <v>1832</v>
      </c>
      <c r="AA333" s="15"/>
      <c r="AC333">
        <v>38.277377999999999</v>
      </c>
      <c r="AD333">
        <v>-84.201969000000005</v>
      </c>
      <c r="AE333" t="s">
        <v>3883</v>
      </c>
      <c r="AH333" t="s">
        <v>1715</v>
      </c>
      <c r="AI333" t="s">
        <v>63</v>
      </c>
      <c r="AJ333" t="s">
        <v>3884</v>
      </c>
      <c r="AK333">
        <v>194483</v>
      </c>
      <c r="AM333" t="s">
        <v>3885</v>
      </c>
      <c r="AN333" t="s">
        <v>3886</v>
      </c>
      <c r="AO333" t="s">
        <v>3887</v>
      </c>
      <c r="AP333" t="s">
        <v>68</v>
      </c>
      <c r="AR333" t="s">
        <v>3888</v>
      </c>
      <c r="AS333" t="s">
        <v>3889</v>
      </c>
      <c r="AT333" t="s">
        <v>3890</v>
      </c>
      <c r="AW333" s="14" t="s">
        <v>72</v>
      </c>
      <c r="AX333" s="14" t="s">
        <v>73</v>
      </c>
      <c r="AY333" s="14" t="s">
        <v>74</v>
      </c>
    </row>
    <row r="334" spans="1:51" ht="15" customHeight="1" x14ac:dyDescent="0.4">
      <c r="A334" s="12">
        <v>3664</v>
      </c>
      <c r="B334" s="21" t="s">
        <v>3891</v>
      </c>
      <c r="C334" s="13" t="s">
        <v>3892</v>
      </c>
      <c r="D334" s="25" t="s">
        <v>3892</v>
      </c>
      <c r="E334" s="13"/>
      <c r="F334" s="41"/>
      <c r="G334" s="41"/>
      <c r="H334" s="41"/>
      <c r="I334" s="14" t="s">
        <v>1829</v>
      </c>
      <c r="J334" s="15">
        <v>44755</v>
      </c>
      <c r="K334" t="s">
        <v>3759</v>
      </c>
      <c r="L334" t="s">
        <v>51</v>
      </c>
      <c r="M334" t="s">
        <v>52</v>
      </c>
      <c r="N334" t="s">
        <v>53</v>
      </c>
      <c r="O334" t="s">
        <v>3760</v>
      </c>
      <c r="P334" t="s">
        <v>3761</v>
      </c>
      <c r="Q334" t="s">
        <v>56</v>
      </c>
      <c r="R334" s="21" t="s">
        <v>3848</v>
      </c>
      <c r="S334" s="21"/>
      <c r="T334" t="s">
        <v>3849</v>
      </c>
      <c r="U334" t="s">
        <v>3893</v>
      </c>
      <c r="X334" t="s">
        <v>1758</v>
      </c>
      <c r="Y334" t="s">
        <v>1832</v>
      </c>
      <c r="AA334" s="15"/>
      <c r="AC334">
        <v>38.271569999999997</v>
      </c>
      <c r="AD334">
        <v>-84.207532</v>
      </c>
      <c r="AE334" t="s">
        <v>3894</v>
      </c>
      <c r="AH334" t="s">
        <v>1715</v>
      </c>
      <c r="AI334" t="s">
        <v>63</v>
      </c>
      <c r="AJ334" t="s">
        <v>3895</v>
      </c>
      <c r="AK334">
        <v>194482</v>
      </c>
      <c r="AM334" t="s">
        <v>3896</v>
      </c>
      <c r="AN334" t="s">
        <v>3897</v>
      </c>
      <c r="AO334" t="s">
        <v>3898</v>
      </c>
      <c r="AP334" t="s">
        <v>68</v>
      </c>
      <c r="AR334" t="s">
        <v>3899</v>
      </c>
      <c r="AS334" t="s">
        <v>3900</v>
      </c>
      <c r="AT334" t="s">
        <v>3901</v>
      </c>
      <c r="AW334" s="14" t="s">
        <v>72</v>
      </c>
      <c r="AX334" s="14" t="s">
        <v>73</v>
      </c>
      <c r="AY334" s="14" t="s">
        <v>74</v>
      </c>
    </row>
    <row r="335" spans="1:51" ht="15" customHeight="1" x14ac:dyDescent="0.4">
      <c r="A335" s="12">
        <v>3665</v>
      </c>
      <c r="B335" s="21" t="s">
        <v>3902</v>
      </c>
      <c r="C335" s="13" t="s">
        <v>3903</v>
      </c>
      <c r="D335" s="25" t="s">
        <v>3903</v>
      </c>
      <c r="E335" s="13"/>
      <c r="F335" s="41"/>
      <c r="G335" s="41"/>
      <c r="H335" s="41"/>
      <c r="I335" s="14" t="s">
        <v>1829</v>
      </c>
      <c r="J335" s="15">
        <v>44755</v>
      </c>
      <c r="K335" t="s">
        <v>3759</v>
      </c>
      <c r="L335" t="s">
        <v>51</v>
      </c>
      <c r="M335" t="s">
        <v>52</v>
      </c>
      <c r="N335" t="s">
        <v>53</v>
      </c>
      <c r="O335" t="s">
        <v>3760</v>
      </c>
      <c r="P335" t="s">
        <v>3761</v>
      </c>
      <c r="Q335" t="s">
        <v>56</v>
      </c>
      <c r="R335" s="21" t="s">
        <v>3848</v>
      </c>
      <c r="S335" s="21"/>
      <c r="T335" t="s">
        <v>3849</v>
      </c>
      <c r="U335" t="s">
        <v>3904</v>
      </c>
      <c r="X335" t="s">
        <v>1758</v>
      </c>
      <c r="Y335" t="s">
        <v>1832</v>
      </c>
      <c r="AA335" s="15"/>
      <c r="AC335">
        <v>38.272506999999997</v>
      </c>
      <c r="AD335">
        <v>-84.208583000000004</v>
      </c>
      <c r="AE335" t="s">
        <v>3905</v>
      </c>
      <c r="AH335" t="s">
        <v>1715</v>
      </c>
      <c r="AI335" t="s">
        <v>63</v>
      </c>
      <c r="AJ335" t="s">
        <v>3906</v>
      </c>
      <c r="AK335">
        <v>194481</v>
      </c>
      <c r="AM335" t="s">
        <v>3907</v>
      </c>
      <c r="AN335" t="s">
        <v>3908</v>
      </c>
      <c r="AO335" t="s">
        <v>3909</v>
      </c>
      <c r="AP335" t="s">
        <v>68</v>
      </c>
      <c r="AR335" t="s">
        <v>3910</v>
      </c>
      <c r="AS335" t="s">
        <v>3911</v>
      </c>
      <c r="AT335" t="s">
        <v>3912</v>
      </c>
      <c r="AW335" s="14" t="s">
        <v>72</v>
      </c>
      <c r="AX335" s="14" t="s">
        <v>73</v>
      </c>
      <c r="AY335" s="14" t="s">
        <v>74</v>
      </c>
    </row>
    <row r="336" spans="1:51" ht="15" customHeight="1" x14ac:dyDescent="0.4">
      <c r="A336" s="12">
        <v>3666</v>
      </c>
      <c r="B336" s="21" t="s">
        <v>3913</v>
      </c>
      <c r="C336" s="13" t="s">
        <v>3914</v>
      </c>
      <c r="D336" s="25" t="s">
        <v>3914</v>
      </c>
      <c r="E336" s="13"/>
      <c r="F336" s="41"/>
      <c r="G336" s="41"/>
      <c r="H336" s="41"/>
      <c r="I336" s="14" t="s">
        <v>49</v>
      </c>
      <c r="J336" s="15">
        <v>44755</v>
      </c>
      <c r="K336" t="s">
        <v>3759</v>
      </c>
      <c r="L336" t="s">
        <v>51</v>
      </c>
      <c r="M336" t="s">
        <v>52</v>
      </c>
      <c r="N336" t="s">
        <v>53</v>
      </c>
      <c r="O336" t="s">
        <v>3760</v>
      </c>
      <c r="P336" t="s">
        <v>3761</v>
      </c>
      <c r="Q336" t="s">
        <v>56</v>
      </c>
      <c r="R336" s="21" t="s">
        <v>3848</v>
      </c>
      <c r="S336" s="21"/>
      <c r="T336" t="s">
        <v>3849</v>
      </c>
      <c r="U336" t="s">
        <v>3915</v>
      </c>
      <c r="X336" t="s">
        <v>2452</v>
      </c>
      <c r="Y336" t="s">
        <v>60</v>
      </c>
      <c r="AA336" s="15"/>
      <c r="AC336">
        <v>38.272666999999998</v>
      </c>
      <c r="AD336">
        <v>-84.209079000000003</v>
      </c>
      <c r="AE336" t="s">
        <v>3916</v>
      </c>
      <c r="AH336" t="s">
        <v>1715</v>
      </c>
      <c r="AI336" t="s">
        <v>63</v>
      </c>
      <c r="AJ336" t="s">
        <v>3917</v>
      </c>
      <c r="AK336">
        <v>194421</v>
      </c>
      <c r="AM336" t="s">
        <v>3918</v>
      </c>
      <c r="AN336" t="s">
        <v>3919</v>
      </c>
      <c r="AO336" t="s">
        <v>3920</v>
      </c>
      <c r="AP336" t="s">
        <v>68</v>
      </c>
      <c r="AR336" t="s">
        <v>3921</v>
      </c>
      <c r="AS336" t="s">
        <v>3922</v>
      </c>
      <c r="AT336" t="s">
        <v>3923</v>
      </c>
      <c r="AW336" s="14" t="s">
        <v>72</v>
      </c>
      <c r="AX336" s="14" t="s">
        <v>73</v>
      </c>
      <c r="AY336" s="14" t="s">
        <v>74</v>
      </c>
    </row>
    <row r="337" spans="1:51" ht="15" customHeight="1" x14ac:dyDescent="0.4">
      <c r="A337" s="12">
        <v>3667</v>
      </c>
      <c r="B337" s="21" t="s">
        <v>3924</v>
      </c>
      <c r="C337" s="13" t="s">
        <v>3925</v>
      </c>
      <c r="D337" s="25" t="s">
        <v>3925</v>
      </c>
      <c r="E337" s="13"/>
      <c r="F337" s="41"/>
      <c r="G337" s="41"/>
      <c r="H337" s="41"/>
      <c r="I337" s="14" t="s">
        <v>49</v>
      </c>
      <c r="J337" s="15">
        <v>44755</v>
      </c>
      <c r="K337" t="s">
        <v>3759</v>
      </c>
      <c r="L337" t="s">
        <v>51</v>
      </c>
      <c r="M337" t="s">
        <v>52</v>
      </c>
      <c r="N337" t="s">
        <v>53</v>
      </c>
      <c r="O337" t="s">
        <v>3760</v>
      </c>
      <c r="P337" t="s">
        <v>3761</v>
      </c>
      <c r="Q337" t="s">
        <v>56</v>
      </c>
      <c r="R337" s="21" t="s">
        <v>3848</v>
      </c>
      <c r="S337" s="21"/>
      <c r="T337" t="s">
        <v>3849</v>
      </c>
      <c r="U337" t="s">
        <v>3926</v>
      </c>
      <c r="X337" t="s">
        <v>2452</v>
      </c>
      <c r="Y337" t="s">
        <v>60</v>
      </c>
      <c r="AA337" s="15"/>
      <c r="AC337">
        <v>38.273397000000003</v>
      </c>
      <c r="AD337">
        <v>-84.208157999999997</v>
      </c>
      <c r="AE337" t="s">
        <v>3927</v>
      </c>
      <c r="AH337" t="s">
        <v>1715</v>
      </c>
      <c r="AI337" t="s">
        <v>63</v>
      </c>
      <c r="AJ337" t="s">
        <v>3928</v>
      </c>
      <c r="AK337">
        <v>194422</v>
      </c>
      <c r="AM337" t="s">
        <v>3929</v>
      </c>
      <c r="AN337" t="s">
        <v>3930</v>
      </c>
      <c r="AO337" t="s">
        <v>3931</v>
      </c>
      <c r="AP337" t="s">
        <v>68</v>
      </c>
      <c r="AR337" t="s">
        <v>3932</v>
      </c>
      <c r="AS337" t="s">
        <v>3933</v>
      </c>
      <c r="AT337" t="s">
        <v>3934</v>
      </c>
      <c r="AW337" s="14" t="s">
        <v>72</v>
      </c>
      <c r="AX337" s="14" t="s">
        <v>73</v>
      </c>
      <c r="AY337" s="14" t="s">
        <v>74</v>
      </c>
    </row>
    <row r="338" spans="1:51" ht="15" customHeight="1" x14ac:dyDescent="0.4">
      <c r="A338" s="12">
        <v>3668</v>
      </c>
      <c r="B338" s="21" t="s">
        <v>3935</v>
      </c>
      <c r="C338" s="13" t="s">
        <v>3936</v>
      </c>
      <c r="D338" s="25" t="s">
        <v>3936</v>
      </c>
      <c r="E338" s="13"/>
      <c r="F338" s="41"/>
      <c r="G338" s="41"/>
      <c r="H338" s="41"/>
      <c r="I338" s="14" t="s">
        <v>1829</v>
      </c>
      <c r="J338" s="15">
        <v>44755</v>
      </c>
      <c r="K338" t="s">
        <v>3759</v>
      </c>
      <c r="L338" t="s">
        <v>51</v>
      </c>
      <c r="M338" t="s">
        <v>52</v>
      </c>
      <c r="N338" t="s">
        <v>53</v>
      </c>
      <c r="O338" t="s">
        <v>3760</v>
      </c>
      <c r="P338" t="s">
        <v>3761</v>
      </c>
      <c r="Q338" t="s">
        <v>56</v>
      </c>
      <c r="R338" s="21" t="s">
        <v>3848</v>
      </c>
      <c r="S338" s="21"/>
      <c r="T338" t="s">
        <v>3849</v>
      </c>
      <c r="U338" t="s">
        <v>3937</v>
      </c>
      <c r="X338" t="s">
        <v>1758</v>
      </c>
      <c r="Y338" t="s">
        <v>1832</v>
      </c>
      <c r="AA338" s="15"/>
      <c r="AC338">
        <v>38.273643</v>
      </c>
      <c r="AD338">
        <v>-84.208108999999993</v>
      </c>
      <c r="AE338" t="s">
        <v>3938</v>
      </c>
      <c r="AH338" t="s">
        <v>1715</v>
      </c>
      <c r="AI338" t="s">
        <v>63</v>
      </c>
      <c r="AJ338" t="s">
        <v>3939</v>
      </c>
      <c r="AK338">
        <v>194480</v>
      </c>
      <c r="AM338" t="s">
        <v>3940</v>
      </c>
      <c r="AN338" t="s">
        <v>3941</v>
      </c>
      <c r="AO338" t="s">
        <v>3942</v>
      </c>
      <c r="AP338" t="s">
        <v>68</v>
      </c>
      <c r="AR338" t="s">
        <v>3943</v>
      </c>
      <c r="AS338" t="s">
        <v>3944</v>
      </c>
      <c r="AT338" t="s">
        <v>3945</v>
      </c>
      <c r="AW338" s="14" t="s">
        <v>72</v>
      </c>
      <c r="AX338" s="14" t="s">
        <v>73</v>
      </c>
      <c r="AY338" s="14" t="s">
        <v>74</v>
      </c>
    </row>
    <row r="339" spans="1:51" ht="15" customHeight="1" x14ac:dyDescent="0.4">
      <c r="A339" s="12">
        <v>3669</v>
      </c>
      <c r="B339" s="21" t="s">
        <v>3946</v>
      </c>
      <c r="C339" s="13" t="s">
        <v>3947</v>
      </c>
      <c r="D339" s="25" t="s">
        <v>3947</v>
      </c>
      <c r="E339" s="13"/>
      <c r="F339" s="41"/>
      <c r="G339" s="41"/>
      <c r="H339" s="41"/>
      <c r="I339" s="14" t="s">
        <v>49</v>
      </c>
      <c r="J339" s="15">
        <v>44755</v>
      </c>
      <c r="K339" t="s">
        <v>3759</v>
      </c>
      <c r="L339" t="s">
        <v>51</v>
      </c>
      <c r="M339" t="s">
        <v>52</v>
      </c>
      <c r="N339" t="s">
        <v>53</v>
      </c>
      <c r="O339" t="s">
        <v>3760</v>
      </c>
      <c r="P339" t="s">
        <v>3761</v>
      </c>
      <c r="Q339" t="s">
        <v>56</v>
      </c>
      <c r="R339" s="21" t="s">
        <v>3848</v>
      </c>
      <c r="S339" s="21"/>
      <c r="T339" t="s">
        <v>3849</v>
      </c>
      <c r="U339" t="s">
        <v>3948</v>
      </c>
      <c r="X339" t="s">
        <v>1758</v>
      </c>
      <c r="Y339" t="s">
        <v>60</v>
      </c>
      <c r="AA339" s="15"/>
      <c r="AC339">
        <v>38.274020999999998</v>
      </c>
      <c r="AD339">
        <v>-84.209338000000002</v>
      </c>
      <c r="AE339" t="s">
        <v>3949</v>
      </c>
      <c r="AH339" t="s">
        <v>1715</v>
      </c>
      <c r="AI339" t="s">
        <v>63</v>
      </c>
      <c r="AJ339" t="s">
        <v>3950</v>
      </c>
      <c r="AK339">
        <v>194404</v>
      </c>
      <c r="AM339" t="s">
        <v>3951</v>
      </c>
      <c r="AN339" t="s">
        <v>3952</v>
      </c>
      <c r="AO339" t="s">
        <v>3953</v>
      </c>
      <c r="AP339" t="s">
        <v>68</v>
      </c>
      <c r="AR339" t="s">
        <v>3954</v>
      </c>
      <c r="AS339" t="s">
        <v>3955</v>
      </c>
      <c r="AT339" t="s">
        <v>3956</v>
      </c>
      <c r="AW339" s="14" t="s">
        <v>72</v>
      </c>
      <c r="AX339" s="14" t="s">
        <v>73</v>
      </c>
      <c r="AY339" s="14" t="s">
        <v>74</v>
      </c>
    </row>
    <row r="340" spans="1:51" ht="15" customHeight="1" x14ac:dyDescent="0.4">
      <c r="A340" s="12">
        <v>3670</v>
      </c>
      <c r="B340" s="21" t="s">
        <v>3957</v>
      </c>
      <c r="C340" s="13" t="s">
        <v>3958</v>
      </c>
      <c r="D340" s="25" t="s">
        <v>3958</v>
      </c>
      <c r="E340" s="13"/>
      <c r="F340" s="41"/>
      <c r="G340" s="41"/>
      <c r="H340" s="41"/>
      <c r="I340" s="14" t="s">
        <v>49</v>
      </c>
      <c r="J340" s="15">
        <v>44755</v>
      </c>
      <c r="K340" t="s">
        <v>3759</v>
      </c>
      <c r="L340" t="s">
        <v>51</v>
      </c>
      <c r="M340" t="s">
        <v>52</v>
      </c>
      <c r="N340" t="s">
        <v>53</v>
      </c>
      <c r="O340" t="s">
        <v>3760</v>
      </c>
      <c r="P340" t="s">
        <v>3761</v>
      </c>
      <c r="Q340" t="s">
        <v>56</v>
      </c>
      <c r="R340" s="21" t="s">
        <v>3959</v>
      </c>
      <c r="S340" s="21"/>
      <c r="T340" t="s">
        <v>3849</v>
      </c>
      <c r="U340" t="s">
        <v>3960</v>
      </c>
      <c r="X340" t="s">
        <v>2321</v>
      </c>
      <c r="Y340" t="s">
        <v>60</v>
      </c>
      <c r="AA340" s="15"/>
      <c r="AC340">
        <v>38.139609999999998</v>
      </c>
      <c r="AD340">
        <v>-84.759088000000006</v>
      </c>
      <c r="AE340" t="s">
        <v>3961</v>
      </c>
      <c r="AH340" t="s">
        <v>1715</v>
      </c>
      <c r="AI340" t="s">
        <v>63</v>
      </c>
      <c r="AJ340" t="s">
        <v>3962</v>
      </c>
      <c r="AK340">
        <v>194405</v>
      </c>
      <c r="AM340" t="s">
        <v>3963</v>
      </c>
      <c r="AN340" t="s">
        <v>3964</v>
      </c>
      <c r="AO340" t="s">
        <v>3965</v>
      </c>
      <c r="AP340" t="s">
        <v>68</v>
      </c>
      <c r="AR340" t="s">
        <v>3966</v>
      </c>
      <c r="AS340" t="s">
        <v>3967</v>
      </c>
      <c r="AT340" t="s">
        <v>3968</v>
      </c>
      <c r="AW340" s="14" t="s">
        <v>72</v>
      </c>
      <c r="AX340" s="14" t="s">
        <v>73</v>
      </c>
      <c r="AY340" s="14" t="s">
        <v>74</v>
      </c>
    </row>
    <row r="341" spans="1:51" ht="15" customHeight="1" x14ac:dyDescent="0.4">
      <c r="A341" s="12">
        <v>3671</v>
      </c>
      <c r="B341" s="21" t="s">
        <v>3969</v>
      </c>
      <c r="C341" s="13" t="s">
        <v>3970</v>
      </c>
      <c r="D341" s="25" t="s">
        <v>3970</v>
      </c>
      <c r="E341" s="13"/>
      <c r="F341" s="41"/>
      <c r="G341" s="41"/>
      <c r="H341" s="41"/>
      <c r="I341" s="14" t="s">
        <v>49</v>
      </c>
      <c r="J341" s="15">
        <v>44755</v>
      </c>
      <c r="K341" t="s">
        <v>3759</v>
      </c>
      <c r="L341" t="s">
        <v>51</v>
      </c>
      <c r="M341" t="s">
        <v>52</v>
      </c>
      <c r="N341" t="s">
        <v>53</v>
      </c>
      <c r="O341" t="s">
        <v>3760</v>
      </c>
      <c r="P341" t="s">
        <v>3761</v>
      </c>
      <c r="Q341" t="s">
        <v>56</v>
      </c>
      <c r="R341" s="21" t="s">
        <v>3959</v>
      </c>
      <c r="S341" s="21"/>
      <c r="T341" t="s">
        <v>3971</v>
      </c>
      <c r="U341" t="s">
        <v>3972</v>
      </c>
      <c r="X341" t="s">
        <v>2440</v>
      </c>
      <c r="Y341" t="s">
        <v>60</v>
      </c>
      <c r="AA341" s="15"/>
      <c r="AC341">
        <v>38.139913</v>
      </c>
      <c r="AD341">
        <v>-84.759962999999999</v>
      </c>
      <c r="AE341" t="s">
        <v>3973</v>
      </c>
      <c r="AH341" t="s">
        <v>1715</v>
      </c>
      <c r="AI341" t="s">
        <v>63</v>
      </c>
      <c r="AJ341" t="s">
        <v>3974</v>
      </c>
      <c r="AK341">
        <v>194406</v>
      </c>
      <c r="AM341" t="s">
        <v>3975</v>
      </c>
      <c r="AN341" t="s">
        <v>3976</v>
      </c>
      <c r="AO341" t="s">
        <v>3977</v>
      </c>
      <c r="AP341" t="s">
        <v>68</v>
      </c>
      <c r="AR341" t="s">
        <v>3978</v>
      </c>
      <c r="AS341" t="s">
        <v>3979</v>
      </c>
      <c r="AT341" t="s">
        <v>3980</v>
      </c>
      <c r="AW341" s="14" t="s">
        <v>72</v>
      </c>
      <c r="AX341" s="14" t="s">
        <v>73</v>
      </c>
      <c r="AY341" s="14" t="s">
        <v>74</v>
      </c>
    </row>
    <row r="342" spans="1:51" ht="15" customHeight="1" x14ac:dyDescent="0.4">
      <c r="A342" s="12">
        <v>3672</v>
      </c>
      <c r="B342" s="21" t="s">
        <v>3981</v>
      </c>
      <c r="C342" s="13" t="s">
        <v>3982</v>
      </c>
      <c r="D342" s="25" t="s">
        <v>3982</v>
      </c>
      <c r="E342" s="13"/>
      <c r="F342" s="41"/>
      <c r="G342" s="41"/>
      <c r="H342" s="41"/>
      <c r="I342" s="14" t="s">
        <v>49</v>
      </c>
      <c r="J342" s="15">
        <v>44755</v>
      </c>
      <c r="K342" t="s">
        <v>3759</v>
      </c>
      <c r="L342" t="s">
        <v>51</v>
      </c>
      <c r="M342" t="s">
        <v>52</v>
      </c>
      <c r="N342" t="s">
        <v>53</v>
      </c>
      <c r="O342" t="s">
        <v>3760</v>
      </c>
      <c r="P342" t="s">
        <v>3761</v>
      </c>
      <c r="Q342" t="s">
        <v>56</v>
      </c>
      <c r="R342" s="21" t="s">
        <v>3959</v>
      </c>
      <c r="S342" s="21"/>
      <c r="T342" t="s">
        <v>3971</v>
      </c>
      <c r="U342" t="s">
        <v>3983</v>
      </c>
      <c r="X342" t="s">
        <v>2452</v>
      </c>
      <c r="Y342" t="s">
        <v>60</v>
      </c>
      <c r="AA342" s="15"/>
      <c r="AC342">
        <v>38.139006000000002</v>
      </c>
      <c r="AD342">
        <v>-84.760327000000004</v>
      </c>
      <c r="AE342" t="s">
        <v>3984</v>
      </c>
      <c r="AH342" t="s">
        <v>1715</v>
      </c>
      <c r="AI342" t="s">
        <v>63</v>
      </c>
      <c r="AJ342" t="s">
        <v>3985</v>
      </c>
      <c r="AK342">
        <v>194407</v>
      </c>
      <c r="AM342" t="s">
        <v>3986</v>
      </c>
      <c r="AN342" t="s">
        <v>3987</v>
      </c>
      <c r="AO342" t="s">
        <v>3988</v>
      </c>
      <c r="AP342" t="s">
        <v>68</v>
      </c>
      <c r="AR342" t="s">
        <v>3989</v>
      </c>
      <c r="AS342" t="s">
        <v>3990</v>
      </c>
      <c r="AT342" t="s">
        <v>3991</v>
      </c>
      <c r="AW342" s="14" t="s">
        <v>72</v>
      </c>
      <c r="AX342" s="14" t="s">
        <v>73</v>
      </c>
      <c r="AY342" s="14" t="s">
        <v>74</v>
      </c>
    </row>
    <row r="343" spans="1:51" ht="15" customHeight="1" x14ac:dyDescent="0.4">
      <c r="A343" s="12">
        <v>3673</v>
      </c>
      <c r="B343" s="21" t="s">
        <v>3992</v>
      </c>
      <c r="C343" s="13" t="s">
        <v>3993</v>
      </c>
      <c r="D343" s="25" t="s">
        <v>3993</v>
      </c>
      <c r="E343" s="13"/>
      <c r="F343" s="41"/>
      <c r="G343" s="41"/>
      <c r="H343" s="41"/>
      <c r="I343" s="14" t="s">
        <v>1829</v>
      </c>
      <c r="J343" s="15">
        <v>44755</v>
      </c>
      <c r="K343" t="s">
        <v>3759</v>
      </c>
      <c r="L343" t="s">
        <v>51</v>
      </c>
      <c r="M343" t="s">
        <v>52</v>
      </c>
      <c r="N343" t="s">
        <v>53</v>
      </c>
      <c r="O343" t="s">
        <v>3760</v>
      </c>
      <c r="P343" t="s">
        <v>3761</v>
      </c>
      <c r="Q343" t="s">
        <v>56</v>
      </c>
      <c r="R343" s="21" t="s">
        <v>3959</v>
      </c>
      <c r="S343" s="21"/>
      <c r="T343" t="s">
        <v>3994</v>
      </c>
      <c r="U343" t="s">
        <v>3995</v>
      </c>
      <c r="X343" t="s">
        <v>1758</v>
      </c>
      <c r="Y343" t="s">
        <v>1832</v>
      </c>
      <c r="AA343" s="15"/>
      <c r="AC343">
        <v>38.137672000000002</v>
      </c>
      <c r="AD343">
        <v>-84.735528000000002</v>
      </c>
      <c r="AE343" t="s">
        <v>2963</v>
      </c>
      <c r="AH343" t="s">
        <v>1715</v>
      </c>
      <c r="AI343" t="s">
        <v>63</v>
      </c>
      <c r="AJ343" t="s">
        <v>3996</v>
      </c>
      <c r="AK343">
        <v>194479</v>
      </c>
      <c r="AM343" t="s">
        <v>3997</v>
      </c>
      <c r="AN343" t="s">
        <v>3998</v>
      </c>
      <c r="AO343" t="s">
        <v>3999</v>
      </c>
      <c r="AP343" t="s">
        <v>68</v>
      </c>
      <c r="AR343" t="s">
        <v>4000</v>
      </c>
      <c r="AS343" t="s">
        <v>4001</v>
      </c>
      <c r="AT343" t="s">
        <v>4002</v>
      </c>
      <c r="AW343" s="14" t="s">
        <v>72</v>
      </c>
      <c r="AX343" s="14" t="s">
        <v>73</v>
      </c>
      <c r="AY343" s="14" t="s">
        <v>74</v>
      </c>
    </row>
    <row r="344" spans="1:51" ht="15" customHeight="1" x14ac:dyDescent="0.4">
      <c r="A344" s="12">
        <v>3674</v>
      </c>
      <c r="B344" s="21" t="s">
        <v>4003</v>
      </c>
      <c r="C344" s="13" t="s">
        <v>4004</v>
      </c>
      <c r="D344" s="25" t="s">
        <v>4004</v>
      </c>
      <c r="E344" s="13"/>
      <c r="F344" s="41"/>
      <c r="G344" s="41"/>
      <c r="H344" s="41"/>
      <c r="I344" s="14" t="s">
        <v>49</v>
      </c>
      <c r="J344" s="15">
        <v>44755</v>
      </c>
      <c r="K344" t="s">
        <v>3759</v>
      </c>
      <c r="L344" t="s">
        <v>51</v>
      </c>
      <c r="M344" t="s">
        <v>52</v>
      </c>
      <c r="N344" t="s">
        <v>53</v>
      </c>
      <c r="O344" t="s">
        <v>3760</v>
      </c>
      <c r="P344" t="s">
        <v>3761</v>
      </c>
      <c r="Q344" t="s">
        <v>56</v>
      </c>
      <c r="R344" s="21" t="s">
        <v>3959</v>
      </c>
      <c r="S344" s="21"/>
      <c r="T344" t="s">
        <v>3849</v>
      </c>
      <c r="U344" t="s">
        <v>4005</v>
      </c>
      <c r="Y344" t="s">
        <v>60</v>
      </c>
      <c r="AA344" s="15"/>
      <c r="AC344">
        <v>38.137895</v>
      </c>
      <c r="AD344">
        <v>-84.735489999999999</v>
      </c>
      <c r="AE344" t="s">
        <v>4006</v>
      </c>
      <c r="AH344" t="s">
        <v>1715</v>
      </c>
      <c r="AI344" t="s">
        <v>63</v>
      </c>
      <c r="AJ344" t="s">
        <v>4007</v>
      </c>
      <c r="AK344">
        <v>194408</v>
      </c>
      <c r="AM344" t="s">
        <v>4008</v>
      </c>
      <c r="AN344" t="s">
        <v>4009</v>
      </c>
      <c r="AO344" t="s">
        <v>4010</v>
      </c>
      <c r="AP344" t="s">
        <v>68</v>
      </c>
      <c r="AR344" t="s">
        <v>4011</v>
      </c>
      <c r="AS344" t="s">
        <v>4012</v>
      </c>
      <c r="AT344" t="s">
        <v>4013</v>
      </c>
      <c r="AW344" s="14" t="s">
        <v>72</v>
      </c>
      <c r="AX344" s="14" t="s">
        <v>73</v>
      </c>
      <c r="AY344" s="14" t="s">
        <v>74</v>
      </c>
    </row>
    <row r="345" spans="1:51" ht="15" customHeight="1" x14ac:dyDescent="0.4">
      <c r="A345" s="12">
        <v>3675</v>
      </c>
      <c r="B345" s="21" t="s">
        <v>4014</v>
      </c>
      <c r="C345" s="13" t="s">
        <v>4015</v>
      </c>
      <c r="D345" s="25" t="s">
        <v>4015</v>
      </c>
      <c r="E345" s="13"/>
      <c r="F345" s="41"/>
      <c r="G345" s="41"/>
      <c r="H345" s="41"/>
      <c r="I345" s="14" t="s">
        <v>49</v>
      </c>
      <c r="J345" s="15">
        <v>44755</v>
      </c>
      <c r="K345" t="s">
        <v>3759</v>
      </c>
      <c r="L345" t="s">
        <v>51</v>
      </c>
      <c r="M345" t="s">
        <v>52</v>
      </c>
      <c r="N345" t="s">
        <v>53</v>
      </c>
      <c r="O345" t="s">
        <v>3760</v>
      </c>
      <c r="P345" t="s">
        <v>3761</v>
      </c>
      <c r="Q345" t="s">
        <v>56</v>
      </c>
      <c r="R345" s="21" t="s">
        <v>3959</v>
      </c>
      <c r="S345" s="21"/>
      <c r="T345" t="s">
        <v>3849</v>
      </c>
      <c r="U345" t="s">
        <v>4016</v>
      </c>
      <c r="V345">
        <v>119</v>
      </c>
      <c r="X345" t="s">
        <v>1758</v>
      </c>
      <c r="Y345" t="s">
        <v>60</v>
      </c>
      <c r="AA345" s="15"/>
      <c r="AC345">
        <v>38.138075000000001</v>
      </c>
      <c r="AD345">
        <v>-84.734804999999994</v>
      </c>
      <c r="AE345" t="s">
        <v>4017</v>
      </c>
      <c r="AH345" t="s">
        <v>1715</v>
      </c>
      <c r="AI345" t="s">
        <v>63</v>
      </c>
      <c r="AJ345" t="s">
        <v>4018</v>
      </c>
      <c r="AK345">
        <v>194409</v>
      </c>
      <c r="AM345" t="s">
        <v>4019</v>
      </c>
      <c r="AN345" t="s">
        <v>4020</v>
      </c>
      <c r="AO345" t="s">
        <v>4021</v>
      </c>
      <c r="AP345" t="s">
        <v>68</v>
      </c>
      <c r="AR345" t="s">
        <v>4022</v>
      </c>
      <c r="AS345" t="s">
        <v>4023</v>
      </c>
      <c r="AT345" t="s">
        <v>4024</v>
      </c>
      <c r="AW345" s="14" t="s">
        <v>72</v>
      </c>
      <c r="AX345" s="14" t="s">
        <v>73</v>
      </c>
      <c r="AY345" s="14" t="s">
        <v>74</v>
      </c>
    </row>
    <row r="346" spans="1:51" ht="15" customHeight="1" x14ac:dyDescent="0.4">
      <c r="A346" s="12">
        <v>3676</v>
      </c>
      <c r="B346" s="21" t="s">
        <v>4025</v>
      </c>
      <c r="C346" s="13" t="s">
        <v>4026</v>
      </c>
      <c r="D346" s="25" t="s">
        <v>4026</v>
      </c>
      <c r="E346" s="13"/>
      <c r="F346" s="41"/>
      <c r="G346" s="41"/>
      <c r="H346" s="41"/>
      <c r="I346" s="14" t="s">
        <v>1829</v>
      </c>
      <c r="J346" s="15">
        <v>44755</v>
      </c>
      <c r="K346" t="s">
        <v>3759</v>
      </c>
      <c r="L346" t="s">
        <v>51</v>
      </c>
      <c r="M346" t="s">
        <v>52</v>
      </c>
      <c r="N346" t="s">
        <v>53</v>
      </c>
      <c r="O346" t="s">
        <v>3760</v>
      </c>
      <c r="P346" t="s">
        <v>3761</v>
      </c>
      <c r="Q346" t="s">
        <v>56</v>
      </c>
      <c r="R346" s="21" t="s">
        <v>3959</v>
      </c>
      <c r="S346" s="21"/>
      <c r="T346" t="s">
        <v>3849</v>
      </c>
      <c r="U346" t="s">
        <v>4027</v>
      </c>
      <c r="V346">
        <v>157</v>
      </c>
      <c r="X346" t="s">
        <v>3765</v>
      </c>
      <c r="Y346" t="s">
        <v>1832</v>
      </c>
      <c r="AA346" s="15"/>
      <c r="AC346">
        <v>38.136884999999999</v>
      </c>
      <c r="AD346">
        <v>-84.734226000000007</v>
      </c>
      <c r="AE346" t="s">
        <v>4028</v>
      </c>
      <c r="AH346" t="s">
        <v>1715</v>
      </c>
      <c r="AI346" t="s">
        <v>63</v>
      </c>
      <c r="AJ346" t="s">
        <v>4029</v>
      </c>
      <c r="AK346">
        <v>194478</v>
      </c>
      <c r="AM346" t="s">
        <v>4030</v>
      </c>
      <c r="AN346" t="s">
        <v>4031</v>
      </c>
      <c r="AO346" t="s">
        <v>4032</v>
      </c>
      <c r="AP346" t="s">
        <v>68</v>
      </c>
      <c r="AR346" t="s">
        <v>4033</v>
      </c>
      <c r="AS346" t="s">
        <v>4034</v>
      </c>
      <c r="AT346" t="s">
        <v>4035</v>
      </c>
      <c r="AW346" s="14" t="s">
        <v>72</v>
      </c>
      <c r="AX346" s="14" t="s">
        <v>73</v>
      </c>
      <c r="AY346" s="14" t="s">
        <v>74</v>
      </c>
    </row>
    <row r="347" spans="1:51" ht="15" customHeight="1" x14ac:dyDescent="0.4">
      <c r="A347" s="12">
        <v>3677</v>
      </c>
      <c r="B347" s="21" t="s">
        <v>4036</v>
      </c>
      <c r="C347" s="13" t="s">
        <v>4037</v>
      </c>
      <c r="D347" s="25" t="s">
        <v>4037</v>
      </c>
      <c r="E347" s="13"/>
      <c r="F347" s="41"/>
      <c r="G347" s="41"/>
      <c r="H347" s="41"/>
      <c r="I347" s="14" t="s">
        <v>1829</v>
      </c>
      <c r="J347" s="15">
        <v>44755</v>
      </c>
      <c r="K347" t="s">
        <v>3759</v>
      </c>
      <c r="L347" t="s">
        <v>51</v>
      </c>
      <c r="M347" t="s">
        <v>52</v>
      </c>
      <c r="N347" t="s">
        <v>53</v>
      </c>
      <c r="O347" t="s">
        <v>3760</v>
      </c>
      <c r="P347" t="s">
        <v>3761</v>
      </c>
      <c r="Q347" t="s">
        <v>56</v>
      </c>
      <c r="R347" s="21" t="s">
        <v>3959</v>
      </c>
      <c r="S347" s="21"/>
      <c r="T347" t="s">
        <v>4038</v>
      </c>
      <c r="U347" t="s">
        <v>4039</v>
      </c>
      <c r="Y347" t="s">
        <v>1832</v>
      </c>
      <c r="AA347" s="15"/>
      <c r="AC347">
        <v>38.135331999999998</v>
      </c>
      <c r="AD347">
        <v>-84.733104999999995</v>
      </c>
      <c r="AE347" t="s">
        <v>4017</v>
      </c>
      <c r="AH347" t="s">
        <v>1715</v>
      </c>
      <c r="AI347" t="s">
        <v>63</v>
      </c>
      <c r="AJ347" t="s">
        <v>4040</v>
      </c>
      <c r="AK347">
        <v>194477</v>
      </c>
      <c r="AM347" t="s">
        <v>4041</v>
      </c>
      <c r="AN347" t="s">
        <v>4042</v>
      </c>
      <c r="AO347" t="s">
        <v>4043</v>
      </c>
      <c r="AP347" t="s">
        <v>68</v>
      </c>
      <c r="AR347" t="s">
        <v>4044</v>
      </c>
      <c r="AS347" t="s">
        <v>4045</v>
      </c>
      <c r="AT347" t="s">
        <v>4046</v>
      </c>
      <c r="AW347" s="14" t="s">
        <v>72</v>
      </c>
      <c r="AX347" s="14" t="s">
        <v>73</v>
      </c>
      <c r="AY347" s="14" t="s">
        <v>74</v>
      </c>
    </row>
    <row r="348" spans="1:51" ht="15" customHeight="1" x14ac:dyDescent="0.4">
      <c r="A348" s="12">
        <v>3678</v>
      </c>
      <c r="B348" s="21" t="s">
        <v>4047</v>
      </c>
      <c r="C348" s="13" t="s">
        <v>4048</v>
      </c>
      <c r="D348" s="25" t="s">
        <v>4048</v>
      </c>
      <c r="E348" s="13"/>
      <c r="F348" s="41"/>
      <c r="G348" s="41"/>
      <c r="H348" s="41"/>
      <c r="I348" s="14" t="s">
        <v>1829</v>
      </c>
      <c r="J348" s="15">
        <v>44755</v>
      </c>
      <c r="K348" t="s">
        <v>3759</v>
      </c>
      <c r="L348" t="s">
        <v>51</v>
      </c>
      <c r="M348" t="s">
        <v>52</v>
      </c>
      <c r="N348" t="s">
        <v>53</v>
      </c>
      <c r="O348" t="s">
        <v>3760</v>
      </c>
      <c r="P348" t="s">
        <v>3761</v>
      </c>
      <c r="Q348" t="s">
        <v>56</v>
      </c>
      <c r="R348" s="21" t="s">
        <v>3959</v>
      </c>
      <c r="S348" s="21"/>
      <c r="T348" t="s">
        <v>4049</v>
      </c>
      <c r="U348" t="s">
        <v>4050</v>
      </c>
      <c r="Y348" t="s">
        <v>1832</v>
      </c>
      <c r="AA348" s="15"/>
      <c r="AC348">
        <v>38.137234999999997</v>
      </c>
      <c r="AD348">
        <v>-84.733179000000007</v>
      </c>
      <c r="AE348" t="s">
        <v>4051</v>
      </c>
      <c r="AH348" t="s">
        <v>1715</v>
      </c>
      <c r="AI348" t="s">
        <v>63</v>
      </c>
      <c r="AJ348" t="s">
        <v>4052</v>
      </c>
      <c r="AK348">
        <v>194476</v>
      </c>
      <c r="AM348" t="s">
        <v>4053</v>
      </c>
      <c r="AN348" t="s">
        <v>4054</v>
      </c>
      <c r="AO348" t="s">
        <v>4055</v>
      </c>
      <c r="AP348" t="s">
        <v>68</v>
      </c>
      <c r="AR348" t="s">
        <v>4056</v>
      </c>
      <c r="AS348" t="s">
        <v>4057</v>
      </c>
      <c r="AT348" t="s">
        <v>4058</v>
      </c>
      <c r="AW348" s="14" t="s">
        <v>72</v>
      </c>
      <c r="AX348" s="14" t="s">
        <v>73</v>
      </c>
      <c r="AY348" s="14" t="s">
        <v>74</v>
      </c>
    </row>
    <row r="349" spans="1:51" ht="15" customHeight="1" x14ac:dyDescent="0.4">
      <c r="A349" s="12">
        <v>3679</v>
      </c>
      <c r="B349" s="21" t="s">
        <v>4059</v>
      </c>
      <c r="C349" s="13" t="s">
        <v>4060</v>
      </c>
      <c r="D349" s="25" t="s">
        <v>4060</v>
      </c>
      <c r="E349" s="13"/>
      <c r="F349" s="41"/>
      <c r="G349" s="41"/>
      <c r="H349" s="41"/>
      <c r="I349" s="14" t="s">
        <v>1829</v>
      </c>
      <c r="J349" s="15">
        <v>44755</v>
      </c>
      <c r="K349" t="s">
        <v>3759</v>
      </c>
      <c r="L349" t="s">
        <v>51</v>
      </c>
      <c r="M349" t="s">
        <v>52</v>
      </c>
      <c r="N349" t="s">
        <v>53</v>
      </c>
      <c r="O349" t="s">
        <v>3760</v>
      </c>
      <c r="P349" t="s">
        <v>3761</v>
      </c>
      <c r="Q349" t="s">
        <v>56</v>
      </c>
      <c r="R349" s="21" t="s">
        <v>3959</v>
      </c>
      <c r="S349" s="21"/>
      <c r="T349" t="s">
        <v>4061</v>
      </c>
      <c r="U349" t="s">
        <v>4062</v>
      </c>
      <c r="V349">
        <v>21</v>
      </c>
      <c r="Y349" t="s">
        <v>1832</v>
      </c>
      <c r="AA349" s="15"/>
      <c r="AC349">
        <v>38.136532000000003</v>
      </c>
      <c r="AD349">
        <v>-84.735518999999996</v>
      </c>
      <c r="AE349" t="s">
        <v>3916</v>
      </c>
      <c r="AH349" t="s">
        <v>1715</v>
      </c>
      <c r="AI349" t="s">
        <v>63</v>
      </c>
      <c r="AJ349" t="s">
        <v>4063</v>
      </c>
      <c r="AK349">
        <v>194475</v>
      </c>
      <c r="AM349" t="s">
        <v>4064</v>
      </c>
      <c r="AN349" t="s">
        <v>4065</v>
      </c>
      <c r="AO349" t="s">
        <v>4066</v>
      </c>
      <c r="AP349" t="s">
        <v>68</v>
      </c>
      <c r="AR349" t="s">
        <v>4067</v>
      </c>
      <c r="AS349" t="s">
        <v>4068</v>
      </c>
      <c r="AT349" t="s">
        <v>4069</v>
      </c>
      <c r="AW349" s="14" t="s">
        <v>72</v>
      </c>
      <c r="AX349" s="14" t="s">
        <v>73</v>
      </c>
      <c r="AY349" s="14" t="s">
        <v>74</v>
      </c>
    </row>
    <row r="350" spans="1:51" ht="15" customHeight="1" x14ac:dyDescent="0.4">
      <c r="A350" s="12">
        <v>3680</v>
      </c>
      <c r="B350" s="21" t="s">
        <v>4070</v>
      </c>
      <c r="C350" s="13" t="s">
        <v>4071</v>
      </c>
      <c r="D350" s="25" t="s">
        <v>4071</v>
      </c>
      <c r="E350" s="13"/>
      <c r="F350" s="41"/>
      <c r="G350" s="41"/>
      <c r="H350" s="41"/>
      <c r="I350" s="14" t="s">
        <v>1703</v>
      </c>
      <c r="J350" s="15">
        <v>44756</v>
      </c>
      <c r="K350" t="s">
        <v>3700</v>
      </c>
      <c r="L350" t="s">
        <v>51</v>
      </c>
      <c r="M350" t="s">
        <v>52</v>
      </c>
      <c r="N350" t="s">
        <v>53</v>
      </c>
      <c r="O350" t="s">
        <v>3760</v>
      </c>
      <c r="P350" t="s">
        <v>4072</v>
      </c>
      <c r="Q350" t="s">
        <v>56</v>
      </c>
      <c r="R350" s="21" t="s">
        <v>4073</v>
      </c>
      <c r="S350" s="21"/>
      <c r="T350" t="s">
        <v>4074</v>
      </c>
      <c r="U350" t="s">
        <v>4075</v>
      </c>
      <c r="X350" t="s">
        <v>1758</v>
      </c>
      <c r="Y350" t="s">
        <v>1713</v>
      </c>
      <c r="AA350" s="15"/>
      <c r="AC350">
        <v>37.890421000000003</v>
      </c>
      <c r="AD350">
        <v>-87.539696000000006</v>
      </c>
      <c r="AE350" t="s">
        <v>4076</v>
      </c>
      <c r="AH350" t="s">
        <v>1715</v>
      </c>
      <c r="AI350" t="s">
        <v>63</v>
      </c>
      <c r="AJ350" t="s">
        <v>4077</v>
      </c>
      <c r="AK350">
        <v>193765</v>
      </c>
      <c r="AM350" t="s">
        <v>4078</v>
      </c>
      <c r="AN350" t="s">
        <v>4079</v>
      </c>
      <c r="AO350" t="s">
        <v>4080</v>
      </c>
      <c r="AP350" t="s">
        <v>68</v>
      </c>
      <c r="AR350" t="s">
        <v>4081</v>
      </c>
      <c r="AS350" t="s">
        <v>4082</v>
      </c>
      <c r="AT350" t="s">
        <v>4083</v>
      </c>
      <c r="AW350" s="14" t="s">
        <v>72</v>
      </c>
      <c r="AX350" s="14" t="s">
        <v>73</v>
      </c>
      <c r="AY350" s="14" t="s">
        <v>1723</v>
      </c>
    </row>
    <row r="351" spans="1:51" ht="15" customHeight="1" x14ac:dyDescent="0.4">
      <c r="A351" s="12">
        <v>3681</v>
      </c>
      <c r="B351" s="21" t="s">
        <v>4084</v>
      </c>
      <c r="C351" s="13" t="s">
        <v>4085</v>
      </c>
      <c r="D351" s="25" t="s">
        <v>4085</v>
      </c>
      <c r="E351" s="13"/>
      <c r="F351" s="43" t="s">
        <v>2006</v>
      </c>
      <c r="G351" s="43" t="s">
        <v>8132</v>
      </c>
      <c r="H351" s="43"/>
      <c r="I351" s="14" t="s">
        <v>2006</v>
      </c>
      <c r="J351" s="15">
        <v>44756</v>
      </c>
      <c r="K351" t="s">
        <v>3700</v>
      </c>
      <c r="L351" t="s">
        <v>51</v>
      </c>
      <c r="M351" t="s">
        <v>52</v>
      </c>
      <c r="N351" t="s">
        <v>53</v>
      </c>
      <c r="O351" t="s">
        <v>3760</v>
      </c>
      <c r="P351" t="s">
        <v>4072</v>
      </c>
      <c r="Q351" t="s">
        <v>56</v>
      </c>
      <c r="R351" s="21" t="s">
        <v>4073</v>
      </c>
      <c r="S351" s="21"/>
      <c r="T351" t="s">
        <v>4074</v>
      </c>
      <c r="U351" t="s">
        <v>4086</v>
      </c>
      <c r="Y351" t="s">
        <v>2009</v>
      </c>
      <c r="AA351" s="15"/>
      <c r="AC351">
        <v>37.892356999999997</v>
      </c>
      <c r="AD351">
        <v>-87.539500000000004</v>
      </c>
      <c r="AE351" t="s">
        <v>1714</v>
      </c>
      <c r="AH351" t="s">
        <v>1715</v>
      </c>
      <c r="AI351" t="s">
        <v>63</v>
      </c>
      <c r="AJ351" t="s">
        <v>4087</v>
      </c>
      <c r="AK351">
        <v>194230</v>
      </c>
      <c r="AM351" t="s">
        <v>4088</v>
      </c>
      <c r="AN351" t="s">
        <v>4089</v>
      </c>
      <c r="AO351" t="s">
        <v>4090</v>
      </c>
      <c r="AP351" t="s">
        <v>68</v>
      </c>
      <c r="AR351" t="s">
        <v>4091</v>
      </c>
      <c r="AS351" t="s">
        <v>4092</v>
      </c>
      <c r="AT351" t="s">
        <v>4093</v>
      </c>
      <c r="AW351" s="14" t="s">
        <v>72</v>
      </c>
      <c r="AX351" s="14" t="s">
        <v>73</v>
      </c>
      <c r="AY351" s="14" t="s">
        <v>74</v>
      </c>
    </row>
    <row r="352" spans="1:51" ht="15" customHeight="1" x14ac:dyDescent="0.4">
      <c r="A352" s="12">
        <v>3682</v>
      </c>
      <c r="B352" s="21" t="s">
        <v>4094</v>
      </c>
      <c r="C352" s="13" t="s">
        <v>4095</v>
      </c>
      <c r="D352" s="25" t="s">
        <v>4095</v>
      </c>
      <c r="E352" s="13"/>
      <c r="F352" s="41" t="s">
        <v>8131</v>
      </c>
      <c r="G352" s="41"/>
      <c r="H352" s="41"/>
      <c r="I352" s="14" t="s">
        <v>1703</v>
      </c>
      <c r="J352" s="15">
        <v>44756</v>
      </c>
      <c r="K352" t="s">
        <v>3700</v>
      </c>
      <c r="L352" t="s">
        <v>51</v>
      </c>
      <c r="M352" t="s">
        <v>52</v>
      </c>
      <c r="N352" t="s">
        <v>53</v>
      </c>
      <c r="O352" t="s">
        <v>3760</v>
      </c>
      <c r="P352" t="s">
        <v>4072</v>
      </c>
      <c r="Q352" t="s">
        <v>56</v>
      </c>
      <c r="R352" s="21" t="s">
        <v>4073</v>
      </c>
      <c r="S352" s="21"/>
      <c r="T352" t="s">
        <v>4096</v>
      </c>
      <c r="U352" t="s">
        <v>4097</v>
      </c>
      <c r="X352" t="s">
        <v>2440</v>
      </c>
      <c r="Y352" t="s">
        <v>1713</v>
      </c>
      <c r="AA352" s="15"/>
      <c r="AC352">
        <v>37.894174999999997</v>
      </c>
      <c r="AD352">
        <v>-87.538855999999996</v>
      </c>
      <c r="AE352" t="s">
        <v>4098</v>
      </c>
      <c r="AH352" t="s">
        <v>1715</v>
      </c>
      <c r="AI352" t="s">
        <v>63</v>
      </c>
      <c r="AJ352" t="s">
        <v>4099</v>
      </c>
      <c r="AK352">
        <v>194563</v>
      </c>
      <c r="AM352" t="s">
        <v>4100</v>
      </c>
      <c r="AN352" t="s">
        <v>4101</v>
      </c>
      <c r="AO352" t="s">
        <v>4102</v>
      </c>
      <c r="AP352" t="s">
        <v>68</v>
      </c>
      <c r="AR352" t="s">
        <v>4103</v>
      </c>
      <c r="AS352" t="s">
        <v>4104</v>
      </c>
      <c r="AT352" t="s">
        <v>4105</v>
      </c>
      <c r="AW352" s="14" t="s">
        <v>72</v>
      </c>
      <c r="AX352" s="14" t="s">
        <v>73</v>
      </c>
      <c r="AY352" s="14" t="s">
        <v>1723</v>
      </c>
    </row>
    <row r="353" spans="1:51" ht="15" customHeight="1" x14ac:dyDescent="0.4">
      <c r="A353" s="12">
        <v>3683</v>
      </c>
      <c r="B353" s="21" t="s">
        <v>4106</v>
      </c>
      <c r="C353" s="13" t="s">
        <v>4107</v>
      </c>
      <c r="D353" s="25" t="s">
        <v>4107</v>
      </c>
      <c r="E353" s="13"/>
      <c r="F353" s="41"/>
      <c r="G353" s="41"/>
      <c r="H353" s="41"/>
      <c r="I353" s="14" t="s">
        <v>1703</v>
      </c>
      <c r="J353" s="15">
        <v>44756</v>
      </c>
      <c r="K353" t="s">
        <v>3700</v>
      </c>
      <c r="L353" t="s">
        <v>51</v>
      </c>
      <c r="M353" t="s">
        <v>52</v>
      </c>
      <c r="N353" t="s">
        <v>53</v>
      </c>
      <c r="O353" t="s">
        <v>3760</v>
      </c>
      <c r="P353" t="s">
        <v>4072</v>
      </c>
      <c r="Q353" t="s">
        <v>56</v>
      </c>
      <c r="R353" s="21" t="s">
        <v>4073</v>
      </c>
      <c r="S353" s="21"/>
      <c r="T353" t="s">
        <v>4074</v>
      </c>
      <c r="U353" t="s">
        <v>4108</v>
      </c>
      <c r="Y353" t="s">
        <v>1713</v>
      </c>
      <c r="AA353" s="15"/>
      <c r="AC353">
        <v>37.894157999999997</v>
      </c>
      <c r="AD353">
        <v>-87.538287999999994</v>
      </c>
      <c r="AE353" t="s">
        <v>4109</v>
      </c>
      <c r="AH353" t="s">
        <v>1715</v>
      </c>
      <c r="AI353" t="s">
        <v>63</v>
      </c>
      <c r="AJ353" t="s">
        <v>4110</v>
      </c>
      <c r="AK353">
        <v>193766</v>
      </c>
      <c r="AM353" t="s">
        <v>4111</v>
      </c>
      <c r="AN353" t="s">
        <v>4112</v>
      </c>
      <c r="AO353" t="s">
        <v>4113</v>
      </c>
      <c r="AP353" t="s">
        <v>68</v>
      </c>
      <c r="AR353" t="s">
        <v>4114</v>
      </c>
      <c r="AS353" t="s">
        <v>4115</v>
      </c>
      <c r="AT353" t="s">
        <v>4116</v>
      </c>
      <c r="AW353" s="14" t="s">
        <v>72</v>
      </c>
      <c r="AX353" s="14" t="s">
        <v>73</v>
      </c>
      <c r="AY353" s="14" t="s">
        <v>1723</v>
      </c>
    </row>
    <row r="354" spans="1:51" ht="15" customHeight="1" x14ac:dyDescent="0.4">
      <c r="A354" s="12">
        <v>3684</v>
      </c>
      <c r="B354" s="21" t="s">
        <v>4117</v>
      </c>
      <c r="C354" s="13" t="s">
        <v>4118</v>
      </c>
      <c r="D354" s="25" t="s">
        <v>4118</v>
      </c>
      <c r="E354" s="13"/>
      <c r="F354" s="41"/>
      <c r="G354" s="41"/>
      <c r="H354" s="41"/>
      <c r="I354" s="14" t="s">
        <v>2006</v>
      </c>
      <c r="J354" s="15">
        <v>44756</v>
      </c>
      <c r="K354" t="s">
        <v>3700</v>
      </c>
      <c r="L354" t="s">
        <v>51</v>
      </c>
      <c r="M354" t="s">
        <v>52</v>
      </c>
      <c r="N354" t="s">
        <v>53</v>
      </c>
      <c r="O354" t="s">
        <v>3760</v>
      </c>
      <c r="P354" t="s">
        <v>4072</v>
      </c>
      <c r="Q354" t="s">
        <v>56</v>
      </c>
      <c r="R354" s="21" t="s">
        <v>4073</v>
      </c>
      <c r="S354" s="21"/>
      <c r="T354" t="s">
        <v>4074</v>
      </c>
      <c r="U354" t="s">
        <v>4119</v>
      </c>
      <c r="X354" t="s">
        <v>2440</v>
      </c>
      <c r="Y354" t="s">
        <v>2009</v>
      </c>
      <c r="AA354" s="15"/>
      <c r="AC354">
        <v>37.894136000000003</v>
      </c>
      <c r="AD354">
        <v>-87.538228000000004</v>
      </c>
      <c r="AE354" t="s">
        <v>4109</v>
      </c>
      <c r="AH354" t="s">
        <v>1715</v>
      </c>
      <c r="AI354" t="s">
        <v>63</v>
      </c>
      <c r="AJ354" t="s">
        <v>4120</v>
      </c>
      <c r="AK354">
        <v>194231</v>
      </c>
      <c r="AM354" t="s">
        <v>4121</v>
      </c>
      <c r="AN354" t="s">
        <v>4122</v>
      </c>
      <c r="AO354" t="s">
        <v>4123</v>
      </c>
      <c r="AP354" t="s">
        <v>68</v>
      </c>
      <c r="AR354" t="s">
        <v>4124</v>
      </c>
      <c r="AS354" t="s">
        <v>4125</v>
      </c>
      <c r="AT354" t="s">
        <v>4126</v>
      </c>
      <c r="AW354" s="14" t="s">
        <v>72</v>
      </c>
      <c r="AX354" s="14" t="s">
        <v>73</v>
      </c>
      <c r="AY354" s="14" t="s">
        <v>74</v>
      </c>
    </row>
    <row r="355" spans="1:51" ht="15" customHeight="1" x14ac:dyDescent="0.4">
      <c r="A355" s="12">
        <v>3685</v>
      </c>
      <c r="B355" s="21" t="s">
        <v>4127</v>
      </c>
      <c r="C355" s="13" t="s">
        <v>4128</v>
      </c>
      <c r="D355" s="25" t="s">
        <v>4128</v>
      </c>
      <c r="E355" s="13"/>
      <c r="F355" s="41"/>
      <c r="G355" s="41"/>
      <c r="H355" s="41"/>
      <c r="I355" s="14" t="s">
        <v>1878</v>
      </c>
      <c r="J355" s="15">
        <v>44756</v>
      </c>
      <c r="K355" t="s">
        <v>3700</v>
      </c>
      <c r="L355" t="s">
        <v>51</v>
      </c>
      <c r="M355" t="s">
        <v>52</v>
      </c>
      <c r="N355" t="s">
        <v>53</v>
      </c>
      <c r="O355" t="s">
        <v>3760</v>
      </c>
      <c r="P355" t="s">
        <v>4072</v>
      </c>
      <c r="Q355" t="s">
        <v>56</v>
      </c>
      <c r="R355" s="21" t="s">
        <v>4073</v>
      </c>
      <c r="S355" s="21"/>
      <c r="T355" t="s">
        <v>4074</v>
      </c>
      <c r="U355" t="s">
        <v>4129</v>
      </c>
      <c r="X355" t="s">
        <v>2440</v>
      </c>
      <c r="Y355" t="s">
        <v>1881</v>
      </c>
      <c r="AA355" s="15"/>
      <c r="AC355">
        <v>37.894244999999998</v>
      </c>
      <c r="AD355">
        <v>-87.537823000000003</v>
      </c>
      <c r="AE355" t="s">
        <v>4130</v>
      </c>
      <c r="AH355" t="s">
        <v>1715</v>
      </c>
      <c r="AI355" t="s">
        <v>63</v>
      </c>
      <c r="AJ355" t="s">
        <v>4131</v>
      </c>
      <c r="AK355">
        <v>194176</v>
      </c>
      <c r="AM355" t="s">
        <v>4132</v>
      </c>
      <c r="AN355" t="s">
        <v>4133</v>
      </c>
      <c r="AO355" t="s">
        <v>4134</v>
      </c>
      <c r="AP355" t="s">
        <v>68</v>
      </c>
      <c r="AR355" t="s">
        <v>4135</v>
      </c>
      <c r="AS355" t="s">
        <v>4136</v>
      </c>
      <c r="AT355" t="s">
        <v>4137</v>
      </c>
      <c r="AW355" s="14" t="s">
        <v>72</v>
      </c>
      <c r="AX355" s="14" t="s">
        <v>73</v>
      </c>
      <c r="AY355" s="14" t="s">
        <v>1723</v>
      </c>
    </row>
    <row r="356" spans="1:51" ht="15" customHeight="1" x14ac:dyDescent="0.4">
      <c r="A356" s="12">
        <v>3686</v>
      </c>
      <c r="B356" s="21" t="s">
        <v>4138</v>
      </c>
      <c r="C356" s="13" t="s">
        <v>4139</v>
      </c>
      <c r="D356" s="25" t="s">
        <v>4139</v>
      </c>
      <c r="E356" s="13"/>
      <c r="F356" s="57" t="s">
        <v>4140</v>
      </c>
      <c r="G356" s="41"/>
      <c r="H356" s="41"/>
      <c r="I356" s="14" t="s">
        <v>4140</v>
      </c>
      <c r="J356" s="15">
        <v>44756</v>
      </c>
      <c r="K356" t="s">
        <v>3700</v>
      </c>
      <c r="L356" t="s">
        <v>51</v>
      </c>
      <c r="M356" t="s">
        <v>52</v>
      </c>
      <c r="N356" t="s">
        <v>53</v>
      </c>
      <c r="O356" t="s">
        <v>3760</v>
      </c>
      <c r="P356" t="s">
        <v>4072</v>
      </c>
      <c r="Q356" t="s">
        <v>56</v>
      </c>
      <c r="R356" s="21" t="s">
        <v>4073</v>
      </c>
      <c r="S356" s="21"/>
      <c r="T356" t="s">
        <v>4141</v>
      </c>
      <c r="U356" t="s">
        <v>4142</v>
      </c>
      <c r="Y356" t="s">
        <v>4143</v>
      </c>
      <c r="AA356" s="15"/>
      <c r="AC356">
        <v>37.894219</v>
      </c>
      <c r="AD356">
        <v>-87.537845000000004</v>
      </c>
      <c r="AE356" t="s">
        <v>4130</v>
      </c>
      <c r="AH356" t="s">
        <v>1715</v>
      </c>
      <c r="AI356" t="s">
        <v>63</v>
      </c>
      <c r="AJ356" t="s">
        <v>4144</v>
      </c>
      <c r="AK356">
        <v>194564</v>
      </c>
      <c r="AM356" t="s">
        <v>4145</v>
      </c>
      <c r="AN356" t="s">
        <v>4146</v>
      </c>
      <c r="AO356" t="s">
        <v>4147</v>
      </c>
      <c r="AP356" t="s">
        <v>68</v>
      </c>
      <c r="AR356" t="s">
        <v>4148</v>
      </c>
      <c r="AS356" t="s">
        <v>4149</v>
      </c>
      <c r="AT356" t="s">
        <v>4150</v>
      </c>
      <c r="AW356" s="14" t="e">
        <v>#N/A</v>
      </c>
      <c r="AX356" s="14" t="e">
        <v>#N/A</v>
      </c>
      <c r="AY356" s="14" t="e">
        <v>#N/A</v>
      </c>
    </row>
    <row r="357" spans="1:51" ht="15" customHeight="1" x14ac:dyDescent="0.4">
      <c r="A357" s="12">
        <v>3687</v>
      </c>
      <c r="B357" s="21" t="s">
        <v>4151</v>
      </c>
      <c r="C357" s="13" t="s">
        <v>4152</v>
      </c>
      <c r="D357" s="25" t="s">
        <v>4152</v>
      </c>
      <c r="E357" s="13"/>
      <c r="F357" s="41"/>
      <c r="G357" s="41"/>
      <c r="H357" s="41"/>
      <c r="I357" s="14" t="s">
        <v>1703</v>
      </c>
      <c r="J357" s="15">
        <v>44756</v>
      </c>
      <c r="K357" t="s">
        <v>3700</v>
      </c>
      <c r="L357" t="s">
        <v>51</v>
      </c>
      <c r="M357" t="s">
        <v>52</v>
      </c>
      <c r="N357" t="s">
        <v>53</v>
      </c>
      <c r="O357" t="s">
        <v>3760</v>
      </c>
      <c r="P357" t="s">
        <v>4072</v>
      </c>
      <c r="Q357" t="s">
        <v>56</v>
      </c>
      <c r="R357" s="21" t="s">
        <v>4073</v>
      </c>
      <c r="S357" s="21"/>
      <c r="T357" t="s">
        <v>4074</v>
      </c>
      <c r="U357" t="s">
        <v>4153</v>
      </c>
      <c r="X357" t="s">
        <v>2440</v>
      </c>
      <c r="Y357" t="s">
        <v>1713</v>
      </c>
      <c r="AA357" s="15"/>
      <c r="AC357">
        <v>37.894291000000003</v>
      </c>
      <c r="AD357">
        <v>-87.537802999999997</v>
      </c>
      <c r="AE357" t="s">
        <v>4109</v>
      </c>
      <c r="AH357" t="s">
        <v>1715</v>
      </c>
      <c r="AI357" t="s">
        <v>63</v>
      </c>
      <c r="AJ357" t="s">
        <v>4154</v>
      </c>
      <c r="AK357">
        <v>193748</v>
      </c>
      <c r="AM357" t="s">
        <v>4155</v>
      </c>
      <c r="AN357" t="s">
        <v>4156</v>
      </c>
      <c r="AO357" t="s">
        <v>4157</v>
      </c>
      <c r="AP357" t="s">
        <v>68</v>
      </c>
      <c r="AR357" t="s">
        <v>4158</v>
      </c>
      <c r="AS357" t="s">
        <v>4159</v>
      </c>
      <c r="AT357" t="s">
        <v>4160</v>
      </c>
      <c r="AW357" s="14" t="s">
        <v>72</v>
      </c>
      <c r="AX357" s="14" t="s">
        <v>73</v>
      </c>
      <c r="AY357" s="14" t="s">
        <v>1723</v>
      </c>
    </row>
    <row r="358" spans="1:51" ht="15" customHeight="1" x14ac:dyDescent="0.4">
      <c r="A358" s="12">
        <v>3688</v>
      </c>
      <c r="B358" s="21" t="s">
        <v>4161</v>
      </c>
      <c r="C358" s="13" t="s">
        <v>4162</v>
      </c>
      <c r="D358" s="25" t="s">
        <v>4162</v>
      </c>
      <c r="E358" s="13"/>
      <c r="F358" s="41"/>
      <c r="G358" s="41"/>
      <c r="H358" s="41"/>
      <c r="I358" s="14" t="s">
        <v>2006</v>
      </c>
      <c r="J358" s="15">
        <v>44756</v>
      </c>
      <c r="K358" t="s">
        <v>3700</v>
      </c>
      <c r="L358" t="s">
        <v>51</v>
      </c>
      <c r="M358" t="s">
        <v>52</v>
      </c>
      <c r="N358" t="s">
        <v>53</v>
      </c>
      <c r="O358" t="s">
        <v>3760</v>
      </c>
      <c r="P358" t="s">
        <v>4072</v>
      </c>
      <c r="Q358" t="s">
        <v>56</v>
      </c>
      <c r="R358" s="21" t="s">
        <v>4073</v>
      </c>
      <c r="S358" s="21"/>
      <c r="T358" t="s">
        <v>4141</v>
      </c>
      <c r="U358" t="s">
        <v>4163</v>
      </c>
      <c r="Y358" t="s">
        <v>2009</v>
      </c>
      <c r="AA358" s="15"/>
      <c r="AC358">
        <v>37.894409000000003</v>
      </c>
      <c r="AD358">
        <v>-87.537690999999995</v>
      </c>
      <c r="AE358" t="s">
        <v>4164</v>
      </c>
      <c r="AH358" t="s">
        <v>1715</v>
      </c>
      <c r="AI358" t="s">
        <v>63</v>
      </c>
      <c r="AJ358" t="s">
        <v>4165</v>
      </c>
      <c r="AK358">
        <v>194232</v>
      </c>
      <c r="AM358" t="s">
        <v>4166</v>
      </c>
      <c r="AN358" t="s">
        <v>4167</v>
      </c>
      <c r="AO358" t="s">
        <v>4168</v>
      </c>
      <c r="AP358" t="s">
        <v>68</v>
      </c>
      <c r="AR358" t="s">
        <v>4169</v>
      </c>
      <c r="AS358" t="s">
        <v>4170</v>
      </c>
      <c r="AT358" t="s">
        <v>4171</v>
      </c>
      <c r="AW358" s="14" t="s">
        <v>72</v>
      </c>
      <c r="AX358" s="14" t="s">
        <v>73</v>
      </c>
      <c r="AY358" s="14" t="s">
        <v>74</v>
      </c>
    </row>
    <row r="359" spans="1:51" ht="15" customHeight="1" x14ac:dyDescent="0.4">
      <c r="A359" s="12">
        <v>3689</v>
      </c>
      <c r="B359" s="21" t="s">
        <v>4172</v>
      </c>
      <c r="C359" s="13" t="s">
        <v>4173</v>
      </c>
      <c r="D359" s="25" t="s">
        <v>4173</v>
      </c>
      <c r="E359" s="13"/>
      <c r="F359" s="41"/>
      <c r="G359" s="41"/>
      <c r="H359" s="41"/>
      <c r="I359" s="14" t="s">
        <v>1878</v>
      </c>
      <c r="J359" s="15">
        <v>44756</v>
      </c>
      <c r="K359" t="s">
        <v>3700</v>
      </c>
      <c r="L359" t="s">
        <v>51</v>
      </c>
      <c r="M359" t="s">
        <v>52</v>
      </c>
      <c r="N359" t="s">
        <v>53</v>
      </c>
      <c r="O359" t="s">
        <v>3760</v>
      </c>
      <c r="P359" t="s">
        <v>4072</v>
      </c>
      <c r="Q359" t="s">
        <v>56</v>
      </c>
      <c r="R359" s="21" t="s">
        <v>4073</v>
      </c>
      <c r="S359" s="21"/>
      <c r="T359" t="s">
        <v>4141</v>
      </c>
      <c r="U359" t="s">
        <v>4174</v>
      </c>
      <c r="Y359" t="s">
        <v>1881</v>
      </c>
      <c r="AA359" s="15"/>
      <c r="AC359">
        <v>37.894531000000001</v>
      </c>
      <c r="AD359">
        <v>-87.537704000000005</v>
      </c>
      <c r="AE359" t="s">
        <v>4175</v>
      </c>
      <c r="AH359" t="s">
        <v>1715</v>
      </c>
      <c r="AI359" t="s">
        <v>63</v>
      </c>
      <c r="AJ359" t="s">
        <v>4176</v>
      </c>
      <c r="AK359">
        <v>194177</v>
      </c>
      <c r="AM359" t="s">
        <v>4177</v>
      </c>
      <c r="AN359" t="s">
        <v>4178</v>
      </c>
      <c r="AO359" t="s">
        <v>4179</v>
      </c>
      <c r="AP359" t="s">
        <v>68</v>
      </c>
      <c r="AR359" t="s">
        <v>4180</v>
      </c>
      <c r="AS359" t="s">
        <v>4181</v>
      </c>
      <c r="AT359" t="s">
        <v>4182</v>
      </c>
      <c r="AW359" s="14" t="s">
        <v>72</v>
      </c>
      <c r="AX359" s="14" t="s">
        <v>73</v>
      </c>
      <c r="AY359" s="14" t="s">
        <v>1723</v>
      </c>
    </row>
    <row r="360" spans="1:51" ht="15" customHeight="1" x14ac:dyDescent="0.4">
      <c r="A360" s="12">
        <v>3690</v>
      </c>
      <c r="B360" s="21" t="s">
        <v>4183</v>
      </c>
      <c r="C360" s="13" t="s">
        <v>4184</v>
      </c>
      <c r="D360" s="25" t="s">
        <v>4184</v>
      </c>
      <c r="E360" s="13"/>
      <c r="F360" s="45" t="s">
        <v>2006</v>
      </c>
      <c r="G360" s="45" t="s">
        <v>8130</v>
      </c>
      <c r="H360" s="45"/>
      <c r="I360" s="14" t="s">
        <v>2006</v>
      </c>
      <c r="J360" s="15">
        <v>44756</v>
      </c>
      <c r="K360" t="s">
        <v>3700</v>
      </c>
      <c r="L360" t="s">
        <v>51</v>
      </c>
      <c r="M360" t="s">
        <v>52</v>
      </c>
      <c r="N360" t="s">
        <v>53</v>
      </c>
      <c r="O360" t="s">
        <v>3760</v>
      </c>
      <c r="P360" t="s">
        <v>4072</v>
      </c>
      <c r="Q360" t="s">
        <v>56</v>
      </c>
      <c r="R360" s="21" t="s">
        <v>4073</v>
      </c>
      <c r="S360" s="21"/>
      <c r="T360" t="s">
        <v>4185</v>
      </c>
      <c r="U360" t="s">
        <v>4186</v>
      </c>
      <c r="X360" t="s">
        <v>2440</v>
      </c>
      <c r="Y360" t="s">
        <v>2009</v>
      </c>
      <c r="AA360" s="15"/>
      <c r="AC360">
        <v>37.894907000000003</v>
      </c>
      <c r="AD360">
        <v>-87.540391</v>
      </c>
      <c r="AE360" t="s">
        <v>4187</v>
      </c>
      <c r="AH360" t="s">
        <v>1715</v>
      </c>
      <c r="AI360" t="s">
        <v>63</v>
      </c>
      <c r="AJ360" t="s">
        <v>4188</v>
      </c>
      <c r="AK360">
        <v>194233</v>
      </c>
      <c r="AM360" t="s">
        <v>4189</v>
      </c>
      <c r="AN360" t="s">
        <v>4190</v>
      </c>
      <c r="AO360" t="s">
        <v>4191</v>
      </c>
      <c r="AP360" t="s">
        <v>68</v>
      </c>
      <c r="AR360" t="s">
        <v>4192</v>
      </c>
      <c r="AS360" t="s">
        <v>4193</v>
      </c>
      <c r="AT360" t="s">
        <v>4194</v>
      </c>
      <c r="AW360" s="14" t="s">
        <v>72</v>
      </c>
      <c r="AX360" s="14" t="s">
        <v>73</v>
      </c>
      <c r="AY360" s="14" t="s">
        <v>74</v>
      </c>
    </row>
    <row r="361" spans="1:51" ht="15" customHeight="1" x14ac:dyDescent="0.4">
      <c r="A361" s="12">
        <v>3691</v>
      </c>
      <c r="B361" s="21" t="s">
        <v>4195</v>
      </c>
      <c r="C361" s="13" t="s">
        <v>4196</v>
      </c>
      <c r="D361" s="25" t="s">
        <v>4196</v>
      </c>
      <c r="E361" s="13"/>
      <c r="F361" s="41"/>
      <c r="G361" s="41"/>
      <c r="H361" s="41"/>
      <c r="I361" s="14" t="s">
        <v>1878</v>
      </c>
      <c r="J361" s="15">
        <v>44756</v>
      </c>
      <c r="K361" t="s">
        <v>3700</v>
      </c>
      <c r="L361" t="s">
        <v>51</v>
      </c>
      <c r="M361" t="s">
        <v>52</v>
      </c>
      <c r="N361" t="s">
        <v>53</v>
      </c>
      <c r="O361" t="s">
        <v>3760</v>
      </c>
      <c r="P361" t="s">
        <v>4072</v>
      </c>
      <c r="Q361" t="s">
        <v>56</v>
      </c>
      <c r="R361" s="21" t="s">
        <v>4073</v>
      </c>
      <c r="S361" s="21"/>
      <c r="T361" t="s">
        <v>4074</v>
      </c>
      <c r="U361" t="s">
        <v>4197</v>
      </c>
      <c r="Y361" t="s">
        <v>1881</v>
      </c>
      <c r="AA361" s="15"/>
      <c r="AC361">
        <v>37.894607000000001</v>
      </c>
      <c r="AD361">
        <v>-87.543357</v>
      </c>
      <c r="AE361" t="s">
        <v>4198</v>
      </c>
      <c r="AH361" t="s">
        <v>1715</v>
      </c>
      <c r="AI361" t="s">
        <v>63</v>
      </c>
      <c r="AJ361" t="s">
        <v>4199</v>
      </c>
      <c r="AK361">
        <v>194178</v>
      </c>
      <c r="AM361" t="s">
        <v>4200</v>
      </c>
      <c r="AN361" t="s">
        <v>4201</v>
      </c>
      <c r="AO361" t="s">
        <v>4202</v>
      </c>
      <c r="AP361" t="s">
        <v>68</v>
      </c>
      <c r="AR361" t="s">
        <v>4203</v>
      </c>
      <c r="AS361" t="s">
        <v>4204</v>
      </c>
      <c r="AT361" t="s">
        <v>4205</v>
      </c>
      <c r="AW361" s="14" t="s">
        <v>72</v>
      </c>
      <c r="AX361" s="14" t="s">
        <v>73</v>
      </c>
      <c r="AY361" s="14" t="s">
        <v>1723</v>
      </c>
    </row>
    <row r="362" spans="1:51" ht="15" customHeight="1" x14ac:dyDescent="0.4">
      <c r="A362" s="12">
        <v>3692</v>
      </c>
      <c r="B362" s="21" t="s">
        <v>4206</v>
      </c>
      <c r="C362" s="13" t="s">
        <v>4207</v>
      </c>
      <c r="D362" s="25" t="s">
        <v>4207</v>
      </c>
      <c r="E362" s="13"/>
      <c r="F362" s="41"/>
      <c r="G362" s="41"/>
      <c r="H362" s="41"/>
      <c r="I362" s="14" t="s">
        <v>1829</v>
      </c>
      <c r="J362" s="15">
        <v>44756</v>
      </c>
      <c r="K362" t="s">
        <v>3700</v>
      </c>
      <c r="L362" t="s">
        <v>51</v>
      </c>
      <c r="M362" t="s">
        <v>52</v>
      </c>
      <c r="N362" t="s">
        <v>53</v>
      </c>
      <c r="O362" t="s">
        <v>3760</v>
      </c>
      <c r="P362" t="s">
        <v>4072</v>
      </c>
      <c r="Q362" t="s">
        <v>56</v>
      </c>
      <c r="R362" s="21" t="s">
        <v>4073</v>
      </c>
      <c r="S362" s="21"/>
      <c r="T362" t="s">
        <v>4208</v>
      </c>
      <c r="U362" t="s">
        <v>4209</v>
      </c>
      <c r="X362" t="s">
        <v>2440</v>
      </c>
      <c r="Y362" t="s">
        <v>1832</v>
      </c>
      <c r="AA362" s="15"/>
      <c r="AC362">
        <v>37.883276000000002</v>
      </c>
      <c r="AD362">
        <v>-87.553537000000006</v>
      </c>
      <c r="AE362" t="s">
        <v>4210</v>
      </c>
      <c r="AH362" t="s">
        <v>1715</v>
      </c>
      <c r="AI362" t="s">
        <v>63</v>
      </c>
      <c r="AJ362" t="s">
        <v>4211</v>
      </c>
      <c r="AK362">
        <v>194473</v>
      </c>
      <c r="AM362" t="s">
        <v>4212</v>
      </c>
      <c r="AN362" t="s">
        <v>4213</v>
      </c>
      <c r="AO362" t="s">
        <v>4214</v>
      </c>
      <c r="AP362" t="s">
        <v>68</v>
      </c>
      <c r="AR362" t="s">
        <v>4215</v>
      </c>
      <c r="AS362" t="s">
        <v>4216</v>
      </c>
      <c r="AT362" t="s">
        <v>4217</v>
      </c>
      <c r="AW362" s="14" t="s">
        <v>72</v>
      </c>
      <c r="AX362" s="14" t="s">
        <v>73</v>
      </c>
      <c r="AY362" s="14" t="s">
        <v>74</v>
      </c>
    </row>
    <row r="363" spans="1:51" ht="15" customHeight="1" x14ac:dyDescent="0.4">
      <c r="A363" s="12">
        <v>3693</v>
      </c>
      <c r="B363" s="21" t="s">
        <v>4218</v>
      </c>
      <c r="C363" s="13" t="s">
        <v>4219</v>
      </c>
      <c r="D363" s="25" t="s">
        <v>4219</v>
      </c>
      <c r="E363" s="13"/>
      <c r="F363" s="41"/>
      <c r="G363" s="41"/>
      <c r="H363" s="41"/>
      <c r="I363" s="14" t="s">
        <v>1829</v>
      </c>
      <c r="J363" s="15">
        <v>44756</v>
      </c>
      <c r="K363" t="s">
        <v>3700</v>
      </c>
      <c r="L363" t="s">
        <v>51</v>
      </c>
      <c r="M363" t="s">
        <v>52</v>
      </c>
      <c r="N363" t="s">
        <v>53</v>
      </c>
      <c r="O363" t="s">
        <v>3760</v>
      </c>
      <c r="P363" t="s">
        <v>4072</v>
      </c>
      <c r="Q363" t="s">
        <v>56</v>
      </c>
      <c r="R363" s="21" t="s">
        <v>4073</v>
      </c>
      <c r="S363" s="21"/>
      <c r="T363" t="s">
        <v>4220</v>
      </c>
      <c r="U363" t="s">
        <v>4221</v>
      </c>
      <c r="X363" t="s">
        <v>2336</v>
      </c>
      <c r="Y363" t="s">
        <v>1832</v>
      </c>
      <c r="AA363" s="15"/>
      <c r="AC363">
        <v>37.885952000000003</v>
      </c>
      <c r="AD363">
        <v>-87.553352000000004</v>
      </c>
      <c r="AE363" t="s">
        <v>4222</v>
      </c>
      <c r="AH363" t="s">
        <v>1715</v>
      </c>
      <c r="AI363" t="s">
        <v>63</v>
      </c>
      <c r="AJ363" t="s">
        <v>4223</v>
      </c>
      <c r="AK363">
        <v>194474</v>
      </c>
      <c r="AM363" t="s">
        <v>4224</v>
      </c>
      <c r="AN363" t="s">
        <v>4225</v>
      </c>
      <c r="AO363" t="s">
        <v>4226</v>
      </c>
      <c r="AP363" t="s">
        <v>68</v>
      </c>
      <c r="AR363" t="s">
        <v>4227</v>
      </c>
      <c r="AS363" t="s">
        <v>4228</v>
      </c>
      <c r="AT363" t="s">
        <v>4229</v>
      </c>
      <c r="AW363" s="14" t="s">
        <v>72</v>
      </c>
      <c r="AX363" s="14" t="s">
        <v>73</v>
      </c>
      <c r="AY363" s="14" t="s">
        <v>74</v>
      </c>
    </row>
    <row r="364" spans="1:51" ht="15" customHeight="1" x14ac:dyDescent="0.4">
      <c r="A364" s="12">
        <v>3694</v>
      </c>
      <c r="B364" s="21" t="s">
        <v>4230</v>
      </c>
      <c r="C364" s="13" t="s">
        <v>4231</v>
      </c>
      <c r="D364" s="25" t="s">
        <v>4231</v>
      </c>
      <c r="E364" s="13"/>
      <c r="F364" s="41"/>
      <c r="G364" s="41"/>
      <c r="H364" s="41"/>
      <c r="I364" s="14" t="s">
        <v>1829</v>
      </c>
      <c r="J364" s="15">
        <v>44756</v>
      </c>
      <c r="K364" t="s">
        <v>3700</v>
      </c>
      <c r="L364" t="s">
        <v>51</v>
      </c>
      <c r="M364" t="s">
        <v>52</v>
      </c>
      <c r="N364" t="s">
        <v>53</v>
      </c>
      <c r="O364" t="s">
        <v>3760</v>
      </c>
      <c r="P364" t="s">
        <v>4072</v>
      </c>
      <c r="Q364" t="s">
        <v>56</v>
      </c>
      <c r="R364" s="21" t="s">
        <v>4073</v>
      </c>
      <c r="S364" s="21"/>
      <c r="T364" t="s">
        <v>4232</v>
      </c>
      <c r="U364" t="s">
        <v>4233</v>
      </c>
      <c r="Y364" t="s">
        <v>1832</v>
      </c>
      <c r="AA364" s="15"/>
      <c r="AC364">
        <v>37.881841000000001</v>
      </c>
      <c r="AD364">
        <v>-87.557665999999998</v>
      </c>
      <c r="AE364" t="s">
        <v>4222</v>
      </c>
      <c r="AH364" t="s">
        <v>1715</v>
      </c>
      <c r="AI364" t="s">
        <v>63</v>
      </c>
      <c r="AJ364" t="s">
        <v>4234</v>
      </c>
      <c r="AK364">
        <v>194529</v>
      </c>
      <c r="AM364" t="s">
        <v>4235</v>
      </c>
      <c r="AN364" t="s">
        <v>4236</v>
      </c>
      <c r="AO364" t="s">
        <v>4237</v>
      </c>
      <c r="AP364" t="s">
        <v>68</v>
      </c>
      <c r="AR364" t="s">
        <v>4238</v>
      </c>
      <c r="AS364" t="s">
        <v>4239</v>
      </c>
      <c r="AT364" t="s">
        <v>4240</v>
      </c>
      <c r="AW364" s="14" t="s">
        <v>72</v>
      </c>
      <c r="AX364" s="14" t="s">
        <v>73</v>
      </c>
      <c r="AY364" s="14" t="s">
        <v>74</v>
      </c>
    </row>
    <row r="365" spans="1:51" ht="15" customHeight="1" x14ac:dyDescent="0.4">
      <c r="A365" s="12">
        <v>3695</v>
      </c>
      <c r="B365" s="21" t="s">
        <v>4241</v>
      </c>
      <c r="C365" s="13" t="s">
        <v>4242</v>
      </c>
      <c r="D365" s="25" t="s">
        <v>4242</v>
      </c>
      <c r="E365" s="13"/>
      <c r="F365" s="41"/>
      <c r="G365" s="41"/>
      <c r="H365" s="41"/>
      <c r="I365" s="14" t="s">
        <v>49</v>
      </c>
      <c r="J365" s="15">
        <v>44756</v>
      </c>
      <c r="K365" t="s">
        <v>3700</v>
      </c>
      <c r="L365" t="s">
        <v>51</v>
      </c>
      <c r="M365" t="s">
        <v>52</v>
      </c>
      <c r="N365" t="s">
        <v>53</v>
      </c>
      <c r="O365" t="s">
        <v>3760</v>
      </c>
      <c r="P365" t="s">
        <v>4072</v>
      </c>
      <c r="Q365" t="s">
        <v>56</v>
      </c>
      <c r="R365" s="21" t="s">
        <v>4243</v>
      </c>
      <c r="S365" s="21"/>
      <c r="T365" t="s">
        <v>4244</v>
      </c>
      <c r="U365" t="s">
        <v>4245</v>
      </c>
      <c r="Y365" t="s">
        <v>60</v>
      </c>
      <c r="AA365" s="15"/>
      <c r="AC365">
        <v>37.899307</v>
      </c>
      <c r="AD365">
        <v>-87.506533000000005</v>
      </c>
      <c r="AE365" t="s">
        <v>4246</v>
      </c>
      <c r="AH365" t="s">
        <v>1715</v>
      </c>
      <c r="AI365" t="s">
        <v>63</v>
      </c>
      <c r="AJ365" t="s">
        <v>4247</v>
      </c>
      <c r="AK365">
        <v>194410</v>
      </c>
      <c r="AM365" t="s">
        <v>4248</v>
      </c>
      <c r="AN365" t="s">
        <v>4249</v>
      </c>
      <c r="AO365" t="s">
        <v>4250</v>
      </c>
      <c r="AP365" t="s">
        <v>68</v>
      </c>
      <c r="AR365" t="s">
        <v>4251</v>
      </c>
      <c r="AS365" t="s">
        <v>4252</v>
      </c>
      <c r="AT365" t="s">
        <v>4253</v>
      </c>
      <c r="AW365" s="14" t="s">
        <v>72</v>
      </c>
      <c r="AX365" s="14" t="s">
        <v>73</v>
      </c>
      <c r="AY365" s="14" t="s">
        <v>74</v>
      </c>
    </row>
    <row r="366" spans="1:51" ht="15" customHeight="1" x14ac:dyDescent="0.4">
      <c r="A366" s="12">
        <v>3696</v>
      </c>
      <c r="B366" s="21" t="s">
        <v>4254</v>
      </c>
      <c r="C366" s="13" t="s">
        <v>4255</v>
      </c>
      <c r="D366" s="25" t="s">
        <v>4255</v>
      </c>
      <c r="E366" s="13"/>
      <c r="F366" s="41"/>
      <c r="G366" s="41"/>
      <c r="H366" s="41"/>
      <c r="I366" s="14" t="s">
        <v>49</v>
      </c>
      <c r="J366" s="15">
        <v>44756</v>
      </c>
      <c r="K366" t="s">
        <v>3700</v>
      </c>
      <c r="L366" t="s">
        <v>51</v>
      </c>
      <c r="M366" t="s">
        <v>52</v>
      </c>
      <c r="N366" t="s">
        <v>53</v>
      </c>
      <c r="O366" t="s">
        <v>3760</v>
      </c>
      <c r="P366" t="s">
        <v>4072</v>
      </c>
      <c r="Q366" t="s">
        <v>56</v>
      </c>
      <c r="R366" s="21" t="s">
        <v>4243</v>
      </c>
      <c r="S366" s="21"/>
      <c r="T366" t="s">
        <v>4256</v>
      </c>
      <c r="U366" t="s">
        <v>4257</v>
      </c>
      <c r="X366" t="s">
        <v>2336</v>
      </c>
      <c r="Y366" t="s">
        <v>60</v>
      </c>
      <c r="AA366" s="15"/>
      <c r="AC366">
        <v>37.898916</v>
      </c>
      <c r="AD366">
        <v>-87.504164000000003</v>
      </c>
      <c r="AE366" t="s">
        <v>4258</v>
      </c>
      <c r="AH366" t="s">
        <v>1715</v>
      </c>
      <c r="AI366" t="s">
        <v>63</v>
      </c>
      <c r="AJ366" t="s">
        <v>4259</v>
      </c>
      <c r="AK366">
        <v>194411</v>
      </c>
      <c r="AM366" t="s">
        <v>4260</v>
      </c>
      <c r="AN366" t="s">
        <v>4261</v>
      </c>
      <c r="AO366" t="s">
        <v>4262</v>
      </c>
      <c r="AP366" t="s">
        <v>68</v>
      </c>
      <c r="AR366" t="s">
        <v>4263</v>
      </c>
      <c r="AS366" t="s">
        <v>4264</v>
      </c>
      <c r="AT366" t="s">
        <v>4265</v>
      </c>
      <c r="AW366" s="14" t="s">
        <v>72</v>
      </c>
      <c r="AX366" s="14" t="s">
        <v>73</v>
      </c>
      <c r="AY366" s="14" t="s">
        <v>74</v>
      </c>
    </row>
    <row r="367" spans="1:51" ht="15" customHeight="1" x14ac:dyDescent="0.4">
      <c r="A367" s="12">
        <v>3697</v>
      </c>
      <c r="B367" s="21" t="s">
        <v>4266</v>
      </c>
      <c r="C367" s="13" t="s">
        <v>4267</v>
      </c>
      <c r="D367" s="25" t="s">
        <v>4267</v>
      </c>
      <c r="E367" s="13"/>
      <c r="F367" s="41"/>
      <c r="G367" s="41"/>
      <c r="H367" s="41"/>
      <c r="I367" s="14" t="s">
        <v>49</v>
      </c>
      <c r="J367" s="15">
        <v>44756</v>
      </c>
      <c r="K367" t="s">
        <v>3700</v>
      </c>
      <c r="L367" t="s">
        <v>51</v>
      </c>
      <c r="M367" t="s">
        <v>52</v>
      </c>
      <c r="N367" t="s">
        <v>53</v>
      </c>
      <c r="O367" t="s">
        <v>3760</v>
      </c>
      <c r="P367" t="s">
        <v>4072</v>
      </c>
      <c r="Q367" t="s">
        <v>56</v>
      </c>
      <c r="R367" s="21" t="s">
        <v>4243</v>
      </c>
      <c r="S367" s="21"/>
      <c r="T367" t="s">
        <v>4256</v>
      </c>
      <c r="U367" t="s">
        <v>4268</v>
      </c>
      <c r="X367" t="s">
        <v>2440</v>
      </c>
      <c r="Y367" t="s">
        <v>60</v>
      </c>
      <c r="AA367" s="15"/>
      <c r="AC367">
        <v>37.898797999999999</v>
      </c>
      <c r="AD367">
        <v>-87.502920000000003</v>
      </c>
      <c r="AE367" t="s">
        <v>4258</v>
      </c>
      <c r="AH367" t="s">
        <v>1715</v>
      </c>
      <c r="AI367" t="s">
        <v>63</v>
      </c>
      <c r="AJ367" t="s">
        <v>4269</v>
      </c>
      <c r="AK367">
        <v>194412</v>
      </c>
      <c r="AM367" t="s">
        <v>4270</v>
      </c>
      <c r="AN367" t="s">
        <v>4271</v>
      </c>
      <c r="AO367" t="s">
        <v>4272</v>
      </c>
      <c r="AP367" t="s">
        <v>68</v>
      </c>
      <c r="AR367" t="s">
        <v>4273</v>
      </c>
      <c r="AS367" t="s">
        <v>4274</v>
      </c>
      <c r="AT367" t="s">
        <v>4275</v>
      </c>
      <c r="AW367" s="14" t="s">
        <v>72</v>
      </c>
      <c r="AX367" s="14" t="s">
        <v>73</v>
      </c>
      <c r="AY367" s="14" t="s">
        <v>74</v>
      </c>
    </row>
    <row r="368" spans="1:51" ht="15" customHeight="1" x14ac:dyDescent="0.4">
      <c r="A368" s="12">
        <v>3698</v>
      </c>
      <c r="B368" s="21" t="s">
        <v>4276</v>
      </c>
      <c r="C368" s="13" t="s">
        <v>4277</v>
      </c>
      <c r="D368" s="25" t="s">
        <v>4277</v>
      </c>
      <c r="E368" s="13"/>
      <c r="F368" s="41"/>
      <c r="G368" s="41"/>
      <c r="H368" s="41"/>
      <c r="I368" s="14" t="s">
        <v>49</v>
      </c>
      <c r="J368" s="15">
        <v>44756</v>
      </c>
      <c r="K368" t="s">
        <v>3700</v>
      </c>
      <c r="L368" t="s">
        <v>51</v>
      </c>
      <c r="M368" t="s">
        <v>52</v>
      </c>
      <c r="N368" t="s">
        <v>53</v>
      </c>
      <c r="O368" t="s">
        <v>3760</v>
      </c>
      <c r="P368" t="s">
        <v>4072</v>
      </c>
      <c r="Q368" t="s">
        <v>56</v>
      </c>
      <c r="R368" s="21" t="s">
        <v>4243</v>
      </c>
      <c r="S368" s="21"/>
      <c r="T368" t="s">
        <v>4256</v>
      </c>
      <c r="U368" t="s">
        <v>4278</v>
      </c>
      <c r="V368" t="s">
        <v>4279</v>
      </c>
      <c r="X368" t="s">
        <v>2440</v>
      </c>
      <c r="Y368" t="s">
        <v>60</v>
      </c>
      <c r="AA368" s="15"/>
      <c r="AC368">
        <v>37.502158000000001</v>
      </c>
      <c r="AD368">
        <v>-87.502157999999994</v>
      </c>
      <c r="AE368" t="s">
        <v>4280</v>
      </c>
      <c r="AH368" t="s">
        <v>1715</v>
      </c>
      <c r="AI368" t="s">
        <v>63</v>
      </c>
      <c r="AJ368" t="s">
        <v>4281</v>
      </c>
      <c r="AK368">
        <v>194413</v>
      </c>
      <c r="AM368" t="s">
        <v>4282</v>
      </c>
      <c r="AN368" t="s">
        <v>4283</v>
      </c>
      <c r="AO368" t="s">
        <v>4284</v>
      </c>
      <c r="AP368" t="s">
        <v>68</v>
      </c>
      <c r="AR368" t="s">
        <v>4285</v>
      </c>
      <c r="AS368" t="s">
        <v>4286</v>
      </c>
      <c r="AT368" t="s">
        <v>4287</v>
      </c>
      <c r="AW368" s="14" t="s">
        <v>72</v>
      </c>
      <c r="AX368" s="14" t="s">
        <v>73</v>
      </c>
      <c r="AY368" s="14" t="s">
        <v>74</v>
      </c>
    </row>
    <row r="369" spans="1:51" ht="15" customHeight="1" x14ac:dyDescent="0.4">
      <c r="A369" s="12">
        <v>3699</v>
      </c>
      <c r="B369" s="21" t="s">
        <v>4288</v>
      </c>
      <c r="C369" s="13" t="s">
        <v>4289</v>
      </c>
      <c r="D369" s="25" t="s">
        <v>4289</v>
      </c>
      <c r="E369" s="13"/>
      <c r="F369" s="41"/>
      <c r="G369" s="41"/>
      <c r="H369" s="41"/>
      <c r="I369" s="14" t="s">
        <v>49</v>
      </c>
      <c r="J369" s="15">
        <v>44756</v>
      </c>
      <c r="K369" t="s">
        <v>3700</v>
      </c>
      <c r="L369" t="s">
        <v>51</v>
      </c>
      <c r="M369" t="s">
        <v>52</v>
      </c>
      <c r="N369" t="s">
        <v>53</v>
      </c>
      <c r="O369" t="s">
        <v>3760</v>
      </c>
      <c r="P369" t="s">
        <v>4072</v>
      </c>
      <c r="Q369" t="s">
        <v>56</v>
      </c>
      <c r="R369" s="21" t="s">
        <v>4243</v>
      </c>
      <c r="S369" s="21"/>
      <c r="T369" t="s">
        <v>4256</v>
      </c>
      <c r="U369" t="s">
        <v>4290</v>
      </c>
      <c r="Y369" t="s">
        <v>60</v>
      </c>
      <c r="AA369" s="15"/>
      <c r="AC369">
        <v>37.898645000000002</v>
      </c>
      <c r="AD369">
        <v>-87.501429000000002</v>
      </c>
      <c r="AE369" t="s">
        <v>4291</v>
      </c>
      <c r="AH369" t="s">
        <v>1715</v>
      </c>
      <c r="AI369" t="s">
        <v>63</v>
      </c>
      <c r="AJ369" t="s">
        <v>4292</v>
      </c>
      <c r="AK369">
        <v>194414</v>
      </c>
      <c r="AM369" t="s">
        <v>4293</v>
      </c>
      <c r="AN369" t="s">
        <v>4294</v>
      </c>
      <c r="AO369" t="s">
        <v>4295</v>
      </c>
      <c r="AP369" t="s">
        <v>68</v>
      </c>
      <c r="AR369" t="s">
        <v>4296</v>
      </c>
      <c r="AS369" t="s">
        <v>4297</v>
      </c>
      <c r="AT369" t="s">
        <v>4298</v>
      </c>
      <c r="AW369" s="14" t="s">
        <v>72</v>
      </c>
      <c r="AX369" s="14" t="s">
        <v>73</v>
      </c>
      <c r="AY369" s="14" t="s">
        <v>74</v>
      </c>
    </row>
    <row r="370" spans="1:51" ht="15" customHeight="1" x14ac:dyDescent="0.4">
      <c r="A370" s="12">
        <v>3700</v>
      </c>
      <c r="B370" s="21" t="s">
        <v>4299</v>
      </c>
      <c r="C370" s="13" t="s">
        <v>4300</v>
      </c>
      <c r="D370" s="25" t="s">
        <v>4300</v>
      </c>
      <c r="E370" s="13"/>
      <c r="F370" s="41"/>
      <c r="G370" s="41"/>
      <c r="H370" s="41"/>
      <c r="I370" s="14" t="s">
        <v>49</v>
      </c>
      <c r="J370" s="15">
        <v>44761</v>
      </c>
      <c r="K370" t="s">
        <v>2719</v>
      </c>
      <c r="L370" t="s">
        <v>51</v>
      </c>
      <c r="M370" t="s">
        <v>52</v>
      </c>
      <c r="N370" t="s">
        <v>53</v>
      </c>
      <c r="O370" t="s">
        <v>574</v>
      </c>
      <c r="P370" t="s">
        <v>2435</v>
      </c>
      <c r="Q370" t="s">
        <v>56</v>
      </c>
      <c r="R370" s="21" t="s">
        <v>4301</v>
      </c>
      <c r="S370" s="21"/>
      <c r="T370" t="s">
        <v>4302</v>
      </c>
      <c r="U370" t="s">
        <v>4303</v>
      </c>
      <c r="Y370" t="s">
        <v>60</v>
      </c>
      <c r="AA370" s="15"/>
      <c r="AC370">
        <v>43.148663999999997</v>
      </c>
      <c r="AD370">
        <v>-90.043608000000006</v>
      </c>
      <c r="AE370" t="s">
        <v>3079</v>
      </c>
      <c r="AH370" t="s">
        <v>1715</v>
      </c>
      <c r="AI370" t="s">
        <v>63</v>
      </c>
      <c r="AJ370" t="s">
        <v>4304</v>
      </c>
      <c r="AK370">
        <v>192653</v>
      </c>
      <c r="AM370" t="s">
        <v>4305</v>
      </c>
      <c r="AN370" t="s">
        <v>4306</v>
      </c>
      <c r="AO370" t="s">
        <v>4307</v>
      </c>
      <c r="AP370" t="s">
        <v>68</v>
      </c>
      <c r="AR370" t="s">
        <v>4308</v>
      </c>
      <c r="AS370" t="s">
        <v>4309</v>
      </c>
      <c r="AT370" t="s">
        <v>4310</v>
      </c>
      <c r="AW370" s="14" t="s">
        <v>72</v>
      </c>
      <c r="AX370" s="14" t="s">
        <v>73</v>
      </c>
      <c r="AY370" s="14" t="s">
        <v>74</v>
      </c>
    </row>
    <row r="371" spans="1:51" ht="15" customHeight="1" x14ac:dyDescent="0.4">
      <c r="A371" s="12">
        <v>3701</v>
      </c>
      <c r="B371" s="21" t="s">
        <v>4311</v>
      </c>
      <c r="C371" s="13" t="s">
        <v>4312</v>
      </c>
      <c r="D371" s="25" t="s">
        <v>4312</v>
      </c>
      <c r="E371" s="13"/>
      <c r="F371" s="41"/>
      <c r="G371" s="41"/>
      <c r="H371" s="41"/>
      <c r="I371" s="14" t="s">
        <v>1878</v>
      </c>
      <c r="J371" s="15">
        <v>44761</v>
      </c>
      <c r="K371" t="s">
        <v>2719</v>
      </c>
      <c r="L371" t="s">
        <v>51</v>
      </c>
      <c r="M371" t="s">
        <v>52</v>
      </c>
      <c r="N371" t="s">
        <v>53</v>
      </c>
      <c r="O371" t="s">
        <v>574</v>
      </c>
      <c r="P371" t="s">
        <v>2435</v>
      </c>
      <c r="Q371" t="s">
        <v>56</v>
      </c>
      <c r="R371" s="21" t="s">
        <v>4301</v>
      </c>
      <c r="S371" s="21"/>
      <c r="T371" t="s">
        <v>4313</v>
      </c>
      <c r="U371" t="s">
        <v>4314</v>
      </c>
      <c r="Y371" t="s">
        <v>1881</v>
      </c>
      <c r="AA371" s="15"/>
      <c r="AC371">
        <v>43.148147000000002</v>
      </c>
      <c r="AD371">
        <v>-90.041259999999994</v>
      </c>
      <c r="AE371" t="s">
        <v>4315</v>
      </c>
      <c r="AH371" t="s">
        <v>1715</v>
      </c>
      <c r="AI371" t="s">
        <v>63</v>
      </c>
      <c r="AJ371" t="s">
        <v>4316</v>
      </c>
      <c r="AK371">
        <v>194179</v>
      </c>
      <c r="AM371" t="s">
        <v>4317</v>
      </c>
      <c r="AN371" t="s">
        <v>4318</v>
      </c>
      <c r="AO371" t="s">
        <v>4319</v>
      </c>
      <c r="AP371" t="s">
        <v>68</v>
      </c>
      <c r="AR371" t="s">
        <v>4320</v>
      </c>
      <c r="AS371" t="s">
        <v>4321</v>
      </c>
      <c r="AT371" t="s">
        <v>4322</v>
      </c>
      <c r="AW371" s="14" t="s">
        <v>72</v>
      </c>
      <c r="AX371" s="14" t="s">
        <v>73</v>
      </c>
      <c r="AY371" s="14" t="s">
        <v>1723</v>
      </c>
    </row>
    <row r="372" spans="1:51" ht="15" customHeight="1" x14ac:dyDescent="0.4">
      <c r="A372" s="12">
        <v>3702</v>
      </c>
      <c r="B372" s="21" t="s">
        <v>4323</v>
      </c>
      <c r="C372" s="13" t="s">
        <v>4324</v>
      </c>
      <c r="D372" s="25" t="s">
        <v>4324</v>
      </c>
      <c r="E372" s="13"/>
      <c r="F372" s="41"/>
      <c r="G372" s="41"/>
      <c r="H372" s="41"/>
      <c r="I372" s="14" t="s">
        <v>1878</v>
      </c>
      <c r="J372" s="15">
        <v>44761</v>
      </c>
      <c r="K372" t="s">
        <v>2719</v>
      </c>
      <c r="L372" t="s">
        <v>51</v>
      </c>
      <c r="M372" t="s">
        <v>52</v>
      </c>
      <c r="N372" t="s">
        <v>53</v>
      </c>
      <c r="O372" t="s">
        <v>574</v>
      </c>
      <c r="P372" t="s">
        <v>2435</v>
      </c>
      <c r="Q372" t="s">
        <v>56</v>
      </c>
      <c r="R372" s="21" t="s">
        <v>4301</v>
      </c>
      <c r="S372" s="21"/>
      <c r="T372" t="s">
        <v>4325</v>
      </c>
      <c r="U372" t="s">
        <v>4326</v>
      </c>
      <c r="Y372" t="s">
        <v>1881</v>
      </c>
      <c r="AA372" s="15"/>
      <c r="AC372">
        <v>43.148617000000002</v>
      </c>
      <c r="AD372">
        <v>-90.041292999999996</v>
      </c>
      <c r="AE372" t="s">
        <v>4327</v>
      </c>
      <c r="AH372" t="s">
        <v>1715</v>
      </c>
      <c r="AI372" t="s">
        <v>63</v>
      </c>
      <c r="AJ372" t="s">
        <v>4328</v>
      </c>
      <c r="AK372">
        <v>194180</v>
      </c>
      <c r="AM372" t="s">
        <v>4329</v>
      </c>
      <c r="AN372" t="s">
        <v>4330</v>
      </c>
      <c r="AO372" t="s">
        <v>4331</v>
      </c>
      <c r="AP372" t="s">
        <v>68</v>
      </c>
      <c r="AR372" t="s">
        <v>4332</v>
      </c>
      <c r="AS372" t="s">
        <v>4333</v>
      </c>
      <c r="AT372" t="s">
        <v>4334</v>
      </c>
      <c r="AW372" s="14" t="s">
        <v>72</v>
      </c>
      <c r="AX372" s="14" t="s">
        <v>73</v>
      </c>
      <c r="AY372" s="14" t="s">
        <v>1723</v>
      </c>
    </row>
    <row r="373" spans="1:51" ht="15" customHeight="1" x14ac:dyDescent="0.4">
      <c r="A373" s="12">
        <v>3703</v>
      </c>
      <c r="B373" s="21" t="s">
        <v>4335</v>
      </c>
      <c r="C373" s="13" t="s">
        <v>4336</v>
      </c>
      <c r="D373" s="25" t="s">
        <v>4336</v>
      </c>
      <c r="E373" s="13"/>
      <c r="F373" s="41"/>
      <c r="G373" s="41"/>
      <c r="H373" s="41"/>
      <c r="I373" s="14" t="s">
        <v>1878</v>
      </c>
      <c r="J373" s="15">
        <v>44761</v>
      </c>
      <c r="K373" t="s">
        <v>2719</v>
      </c>
      <c r="L373" t="s">
        <v>51</v>
      </c>
      <c r="M373" t="s">
        <v>52</v>
      </c>
      <c r="N373" t="s">
        <v>53</v>
      </c>
      <c r="O373" t="s">
        <v>574</v>
      </c>
      <c r="P373" t="s">
        <v>2435</v>
      </c>
      <c r="Q373" t="s">
        <v>56</v>
      </c>
      <c r="R373" s="21" t="s">
        <v>4301</v>
      </c>
      <c r="S373" s="21"/>
      <c r="T373" t="s">
        <v>4337</v>
      </c>
      <c r="U373" t="s">
        <v>4338</v>
      </c>
      <c r="X373" t="s">
        <v>2440</v>
      </c>
      <c r="Y373" t="s">
        <v>1881</v>
      </c>
      <c r="AA373" s="15"/>
      <c r="AC373">
        <v>43.150036</v>
      </c>
      <c r="AD373">
        <v>-90.041292999999996</v>
      </c>
      <c r="AE373" t="s">
        <v>4339</v>
      </c>
      <c r="AH373" t="s">
        <v>1715</v>
      </c>
      <c r="AI373" t="s">
        <v>63</v>
      </c>
      <c r="AJ373" t="s">
        <v>4340</v>
      </c>
      <c r="AK373">
        <v>194181</v>
      </c>
      <c r="AM373" t="s">
        <v>4341</v>
      </c>
      <c r="AN373" t="s">
        <v>4342</v>
      </c>
      <c r="AO373" t="s">
        <v>4343</v>
      </c>
      <c r="AP373" t="s">
        <v>68</v>
      </c>
      <c r="AR373" t="s">
        <v>4344</v>
      </c>
      <c r="AS373" t="s">
        <v>4345</v>
      </c>
      <c r="AT373" t="s">
        <v>4346</v>
      </c>
      <c r="AW373" s="14" t="s">
        <v>72</v>
      </c>
      <c r="AX373" s="14" t="s">
        <v>73</v>
      </c>
      <c r="AY373" s="14" t="s">
        <v>1723</v>
      </c>
    </row>
    <row r="374" spans="1:51" ht="15" customHeight="1" x14ac:dyDescent="0.4">
      <c r="A374" s="12">
        <v>3704</v>
      </c>
      <c r="B374" s="21" t="s">
        <v>4347</v>
      </c>
      <c r="C374" s="13" t="s">
        <v>4348</v>
      </c>
      <c r="D374" s="25" t="s">
        <v>4348</v>
      </c>
      <c r="E374" s="13"/>
      <c r="F374" s="41"/>
      <c r="G374" s="41"/>
      <c r="H374" s="41"/>
      <c r="I374" s="14" t="s">
        <v>1878</v>
      </c>
      <c r="J374" s="15">
        <v>44761</v>
      </c>
      <c r="K374" t="s">
        <v>2719</v>
      </c>
      <c r="L374" t="s">
        <v>51</v>
      </c>
      <c r="M374" t="s">
        <v>52</v>
      </c>
      <c r="N374" t="s">
        <v>53</v>
      </c>
      <c r="O374" t="s">
        <v>574</v>
      </c>
      <c r="P374" t="s">
        <v>2435</v>
      </c>
      <c r="Q374" t="s">
        <v>56</v>
      </c>
      <c r="R374" s="21" t="s">
        <v>4301</v>
      </c>
      <c r="S374" s="21"/>
      <c r="T374" t="s">
        <v>4349</v>
      </c>
      <c r="U374" t="s">
        <v>4350</v>
      </c>
      <c r="X374" t="s">
        <v>2440</v>
      </c>
      <c r="Y374" t="s">
        <v>1881</v>
      </c>
      <c r="AA374" s="15"/>
      <c r="AC374">
        <v>43.150426000000003</v>
      </c>
      <c r="AD374">
        <v>-90.045288999999997</v>
      </c>
      <c r="AE374" t="s">
        <v>4351</v>
      </c>
      <c r="AH374" t="s">
        <v>1715</v>
      </c>
      <c r="AI374" t="s">
        <v>63</v>
      </c>
      <c r="AJ374" t="s">
        <v>4352</v>
      </c>
      <c r="AK374">
        <v>194220</v>
      </c>
      <c r="AM374" t="s">
        <v>4353</v>
      </c>
      <c r="AN374" t="s">
        <v>4354</v>
      </c>
      <c r="AO374" t="s">
        <v>4355</v>
      </c>
      <c r="AP374" t="s">
        <v>68</v>
      </c>
      <c r="AR374" t="s">
        <v>4356</v>
      </c>
      <c r="AS374" t="s">
        <v>4357</v>
      </c>
      <c r="AT374" t="s">
        <v>4358</v>
      </c>
      <c r="AW374" s="14" t="s">
        <v>72</v>
      </c>
      <c r="AX374" s="14" t="s">
        <v>73</v>
      </c>
      <c r="AY374" s="14" t="s">
        <v>1723</v>
      </c>
    </row>
    <row r="375" spans="1:51" ht="15" customHeight="1" x14ac:dyDescent="0.4">
      <c r="A375" s="12">
        <v>3705</v>
      </c>
      <c r="B375" s="21" t="s">
        <v>4359</v>
      </c>
      <c r="C375" s="13" t="s">
        <v>4360</v>
      </c>
      <c r="D375" s="25" t="s">
        <v>4360</v>
      </c>
      <c r="E375" s="13"/>
      <c r="F375" s="41"/>
      <c r="G375" s="41"/>
      <c r="H375" s="41"/>
      <c r="I375" s="14" t="s">
        <v>49</v>
      </c>
      <c r="J375" s="15">
        <v>44761</v>
      </c>
      <c r="K375" t="s">
        <v>2719</v>
      </c>
      <c r="L375" t="s">
        <v>51</v>
      </c>
      <c r="M375" t="s">
        <v>52</v>
      </c>
      <c r="N375" t="s">
        <v>53</v>
      </c>
      <c r="O375" t="s">
        <v>574</v>
      </c>
      <c r="P375" t="s">
        <v>2435</v>
      </c>
      <c r="Q375" t="s">
        <v>56</v>
      </c>
      <c r="R375" s="21" t="s">
        <v>4301</v>
      </c>
      <c r="S375" s="21"/>
      <c r="T375" t="s">
        <v>4361</v>
      </c>
      <c r="U375" t="s">
        <v>4362</v>
      </c>
      <c r="Y375" t="s">
        <v>60</v>
      </c>
      <c r="AA375" s="15"/>
      <c r="AC375">
        <v>43.148781</v>
      </c>
      <c r="AD375">
        <v>-90.043418000000003</v>
      </c>
      <c r="AE375" t="s">
        <v>3079</v>
      </c>
      <c r="AH375" t="s">
        <v>1715</v>
      </c>
      <c r="AI375" t="s">
        <v>63</v>
      </c>
      <c r="AJ375" t="s">
        <v>4363</v>
      </c>
      <c r="AK375">
        <v>194472</v>
      </c>
      <c r="AM375" t="s">
        <v>4364</v>
      </c>
      <c r="AN375" t="s">
        <v>4365</v>
      </c>
      <c r="AO375" t="s">
        <v>4366</v>
      </c>
      <c r="AP375" t="s">
        <v>68</v>
      </c>
      <c r="AR375" t="s">
        <v>4367</v>
      </c>
      <c r="AS375" t="s">
        <v>4368</v>
      </c>
      <c r="AT375" t="s">
        <v>4369</v>
      </c>
      <c r="AW375" s="14" t="s">
        <v>72</v>
      </c>
      <c r="AX375" s="14" t="s">
        <v>73</v>
      </c>
      <c r="AY375" s="14" t="s">
        <v>74</v>
      </c>
    </row>
    <row r="376" spans="1:51" ht="15" customHeight="1" x14ac:dyDescent="0.4">
      <c r="A376" s="12">
        <v>3706</v>
      </c>
      <c r="B376" s="21" t="s">
        <v>4370</v>
      </c>
      <c r="C376" s="13" t="s">
        <v>4371</v>
      </c>
      <c r="D376" s="25" t="s">
        <v>4371</v>
      </c>
      <c r="E376" s="13"/>
      <c r="F376" s="41"/>
      <c r="G376" s="41"/>
      <c r="H376" s="41"/>
      <c r="I376" s="14" t="s">
        <v>49</v>
      </c>
      <c r="J376" s="15">
        <v>44762</v>
      </c>
      <c r="K376" t="s">
        <v>2719</v>
      </c>
      <c r="L376" t="s">
        <v>51</v>
      </c>
      <c r="M376" t="s">
        <v>52</v>
      </c>
      <c r="N376" t="s">
        <v>53</v>
      </c>
      <c r="O376" t="s">
        <v>999</v>
      </c>
      <c r="P376" t="s">
        <v>4372</v>
      </c>
      <c r="Q376" t="s">
        <v>56</v>
      </c>
      <c r="R376" s="21" t="s">
        <v>4373</v>
      </c>
      <c r="S376" s="21"/>
      <c r="T376" t="s">
        <v>4374</v>
      </c>
      <c r="U376" t="s">
        <v>4375</v>
      </c>
      <c r="X376" t="s">
        <v>2336</v>
      </c>
      <c r="Y376" t="s">
        <v>60</v>
      </c>
      <c r="AA376" s="15"/>
      <c r="AC376">
        <v>43.902219000000002</v>
      </c>
      <c r="AD376">
        <v>-91.638919000000001</v>
      </c>
      <c r="AE376" t="s">
        <v>4376</v>
      </c>
      <c r="AH376" t="s">
        <v>1715</v>
      </c>
      <c r="AI376" t="s">
        <v>63</v>
      </c>
      <c r="AJ376" t="s">
        <v>4377</v>
      </c>
      <c r="AK376">
        <v>192543</v>
      </c>
      <c r="AM376" t="s">
        <v>4378</v>
      </c>
      <c r="AN376" t="s">
        <v>4379</v>
      </c>
      <c r="AO376" t="s">
        <v>4380</v>
      </c>
      <c r="AP376" t="s">
        <v>68</v>
      </c>
      <c r="AR376" t="s">
        <v>4381</v>
      </c>
      <c r="AS376" t="s">
        <v>4382</v>
      </c>
      <c r="AT376" t="s">
        <v>4383</v>
      </c>
      <c r="AW376" s="14" t="s">
        <v>72</v>
      </c>
      <c r="AX376" s="14" t="s">
        <v>73</v>
      </c>
      <c r="AY376" s="14" t="s">
        <v>74</v>
      </c>
    </row>
    <row r="377" spans="1:51" ht="15" customHeight="1" x14ac:dyDescent="0.4">
      <c r="A377" s="12">
        <v>3707</v>
      </c>
      <c r="B377" s="21" t="s">
        <v>4384</v>
      </c>
      <c r="C377" s="13" t="s">
        <v>4385</v>
      </c>
      <c r="D377" s="25" t="s">
        <v>4385</v>
      </c>
      <c r="E377" s="13"/>
      <c r="F377" s="41"/>
      <c r="G377" s="41"/>
      <c r="H377" s="41"/>
      <c r="I377" s="14" t="s">
        <v>49</v>
      </c>
      <c r="J377" s="15">
        <v>44762</v>
      </c>
      <c r="K377" t="s">
        <v>2719</v>
      </c>
      <c r="L377" t="s">
        <v>51</v>
      </c>
      <c r="M377" t="s">
        <v>52</v>
      </c>
      <c r="N377" t="s">
        <v>53</v>
      </c>
      <c r="O377" t="s">
        <v>999</v>
      </c>
      <c r="P377" t="s">
        <v>4372</v>
      </c>
      <c r="Q377" t="s">
        <v>56</v>
      </c>
      <c r="R377" s="21" t="s">
        <v>4373</v>
      </c>
      <c r="S377" s="21"/>
      <c r="T377" t="s">
        <v>4386</v>
      </c>
      <c r="U377" t="s">
        <v>4387</v>
      </c>
      <c r="X377" t="s">
        <v>1758</v>
      </c>
      <c r="Y377" t="s">
        <v>60</v>
      </c>
      <c r="AA377" s="15"/>
      <c r="AC377">
        <v>43.903267</v>
      </c>
      <c r="AD377">
        <v>-91.640004000000005</v>
      </c>
      <c r="AE377" t="s">
        <v>4388</v>
      </c>
      <c r="AH377" t="s">
        <v>1715</v>
      </c>
      <c r="AI377" t="s">
        <v>63</v>
      </c>
      <c r="AJ377" t="s">
        <v>4389</v>
      </c>
      <c r="AK377">
        <v>192575</v>
      </c>
      <c r="AM377" t="s">
        <v>4390</v>
      </c>
      <c r="AN377" t="s">
        <v>4391</v>
      </c>
      <c r="AO377" t="s">
        <v>4392</v>
      </c>
      <c r="AP377" t="s">
        <v>68</v>
      </c>
      <c r="AR377" t="s">
        <v>4393</v>
      </c>
      <c r="AS377" t="s">
        <v>4394</v>
      </c>
      <c r="AT377" t="s">
        <v>4395</v>
      </c>
      <c r="AW377" s="14" t="s">
        <v>72</v>
      </c>
      <c r="AX377" s="14" t="s">
        <v>73</v>
      </c>
      <c r="AY377" s="14" t="s">
        <v>74</v>
      </c>
    </row>
    <row r="378" spans="1:51" ht="15" customHeight="1" x14ac:dyDescent="0.4">
      <c r="A378" s="12">
        <v>3708</v>
      </c>
      <c r="B378" s="21" t="s">
        <v>4396</v>
      </c>
      <c r="C378" s="13" t="s">
        <v>4397</v>
      </c>
      <c r="D378" s="25" t="s">
        <v>4397</v>
      </c>
      <c r="E378" s="13"/>
      <c r="F378" s="41"/>
      <c r="G378" s="41"/>
      <c r="H378" s="41"/>
      <c r="I378" s="14" t="s">
        <v>49</v>
      </c>
      <c r="J378" s="15">
        <v>44762</v>
      </c>
      <c r="K378" t="s">
        <v>2719</v>
      </c>
      <c r="L378" t="s">
        <v>51</v>
      </c>
      <c r="M378" t="s">
        <v>52</v>
      </c>
      <c r="N378" t="s">
        <v>53</v>
      </c>
      <c r="O378" t="s">
        <v>999</v>
      </c>
      <c r="P378" t="s">
        <v>4372</v>
      </c>
      <c r="Q378" t="s">
        <v>56</v>
      </c>
      <c r="R378" s="21" t="s">
        <v>4373</v>
      </c>
      <c r="S378" s="21"/>
      <c r="T378" t="s">
        <v>4398</v>
      </c>
      <c r="U378" t="s">
        <v>4399</v>
      </c>
      <c r="Y378" t="s">
        <v>60</v>
      </c>
      <c r="AA378" s="15"/>
      <c r="AC378">
        <v>43.904381999999998</v>
      </c>
      <c r="AD378">
        <v>-91.639274</v>
      </c>
      <c r="AE378" t="s">
        <v>4400</v>
      </c>
      <c r="AH378" t="s">
        <v>1715</v>
      </c>
      <c r="AI378" t="s">
        <v>63</v>
      </c>
      <c r="AJ378" t="s">
        <v>4401</v>
      </c>
      <c r="AK378">
        <v>194471</v>
      </c>
      <c r="AM378" t="s">
        <v>4402</v>
      </c>
      <c r="AN378" t="s">
        <v>4403</v>
      </c>
      <c r="AO378" t="s">
        <v>4404</v>
      </c>
      <c r="AP378" t="s">
        <v>68</v>
      </c>
      <c r="AR378" t="s">
        <v>4405</v>
      </c>
      <c r="AS378" t="s">
        <v>4406</v>
      </c>
      <c r="AT378" t="s">
        <v>4407</v>
      </c>
      <c r="AW378" s="14" t="s">
        <v>72</v>
      </c>
      <c r="AX378" s="14" t="s">
        <v>73</v>
      </c>
      <c r="AY378" s="14" t="s">
        <v>74</v>
      </c>
    </row>
    <row r="379" spans="1:51" ht="15" customHeight="1" x14ac:dyDescent="0.4">
      <c r="A379" s="12">
        <v>3709</v>
      </c>
      <c r="B379" s="21" t="s">
        <v>4408</v>
      </c>
      <c r="C379" s="13" t="s">
        <v>4409</v>
      </c>
      <c r="D379" s="25" t="s">
        <v>4409</v>
      </c>
      <c r="E379" s="13"/>
      <c r="F379" s="41"/>
      <c r="G379" s="41"/>
      <c r="H379" s="41"/>
      <c r="I379" s="14" t="s">
        <v>1878</v>
      </c>
      <c r="J379" s="15">
        <v>44762</v>
      </c>
      <c r="K379" t="s">
        <v>2719</v>
      </c>
      <c r="L379" t="s">
        <v>51</v>
      </c>
      <c r="M379" t="s">
        <v>52</v>
      </c>
      <c r="N379" t="s">
        <v>53</v>
      </c>
      <c r="O379" t="s">
        <v>999</v>
      </c>
      <c r="P379" t="s">
        <v>4372</v>
      </c>
      <c r="Q379" t="s">
        <v>56</v>
      </c>
      <c r="R379" s="21" t="s">
        <v>4373</v>
      </c>
      <c r="S379" s="21"/>
      <c r="T379" t="s">
        <v>4410</v>
      </c>
      <c r="U379" t="s">
        <v>4411</v>
      </c>
      <c r="Y379" t="s">
        <v>1881</v>
      </c>
      <c r="AA379" s="15"/>
      <c r="AC379">
        <v>43.904418</v>
      </c>
      <c r="AD379">
        <v>-91.639259999999993</v>
      </c>
      <c r="AE379" t="s">
        <v>4412</v>
      </c>
      <c r="AH379" t="s">
        <v>1715</v>
      </c>
      <c r="AI379" t="s">
        <v>63</v>
      </c>
      <c r="AJ379" t="s">
        <v>4413</v>
      </c>
      <c r="AK379">
        <v>192539</v>
      </c>
      <c r="AM379" t="s">
        <v>4414</v>
      </c>
      <c r="AN379" t="s">
        <v>4415</v>
      </c>
      <c r="AO379" t="s">
        <v>4416</v>
      </c>
      <c r="AP379" t="s">
        <v>68</v>
      </c>
      <c r="AR379" t="s">
        <v>4417</v>
      </c>
      <c r="AS379" t="s">
        <v>4418</v>
      </c>
      <c r="AT379" t="s">
        <v>4419</v>
      </c>
      <c r="AW379" s="14" t="s">
        <v>72</v>
      </c>
      <c r="AX379" s="14" t="s">
        <v>73</v>
      </c>
      <c r="AY379" s="14" t="s">
        <v>1723</v>
      </c>
    </row>
    <row r="380" spans="1:51" ht="15" customHeight="1" x14ac:dyDescent="0.4">
      <c r="A380" s="12">
        <v>3710</v>
      </c>
      <c r="B380" s="21" t="s">
        <v>4420</v>
      </c>
      <c r="C380" s="13" t="s">
        <v>4421</v>
      </c>
      <c r="D380" s="25" t="s">
        <v>4421</v>
      </c>
      <c r="E380" s="13"/>
      <c r="F380" s="41"/>
      <c r="G380" s="41"/>
      <c r="H380" s="41"/>
      <c r="I380" s="14" t="s">
        <v>49</v>
      </c>
      <c r="J380" s="15">
        <v>44762</v>
      </c>
      <c r="K380" t="s">
        <v>2719</v>
      </c>
      <c r="L380" t="s">
        <v>51</v>
      </c>
      <c r="M380" t="s">
        <v>52</v>
      </c>
      <c r="N380" t="s">
        <v>53</v>
      </c>
      <c r="O380" t="s">
        <v>999</v>
      </c>
      <c r="P380" t="s">
        <v>4372</v>
      </c>
      <c r="Q380" t="s">
        <v>56</v>
      </c>
      <c r="R380" s="21" t="s">
        <v>4373</v>
      </c>
      <c r="S380" s="21"/>
      <c r="T380" t="s">
        <v>4398</v>
      </c>
      <c r="U380" t="s">
        <v>4422</v>
      </c>
      <c r="X380" t="s">
        <v>2321</v>
      </c>
      <c r="Y380" t="s">
        <v>60</v>
      </c>
      <c r="AA380" s="15"/>
      <c r="AC380">
        <v>43.904260999999998</v>
      </c>
      <c r="AD380">
        <v>-91.639259999999993</v>
      </c>
      <c r="AE380" t="s">
        <v>4423</v>
      </c>
      <c r="AH380" t="s">
        <v>1715</v>
      </c>
      <c r="AI380" t="s">
        <v>63</v>
      </c>
      <c r="AJ380" t="s">
        <v>4424</v>
      </c>
      <c r="AK380">
        <v>192654</v>
      </c>
      <c r="AM380" t="s">
        <v>4425</v>
      </c>
      <c r="AN380" t="s">
        <v>4426</v>
      </c>
      <c r="AO380" t="s">
        <v>4427</v>
      </c>
      <c r="AP380" t="s">
        <v>68</v>
      </c>
      <c r="AR380" t="s">
        <v>4428</v>
      </c>
      <c r="AS380" t="s">
        <v>4429</v>
      </c>
      <c r="AT380" t="s">
        <v>4430</v>
      </c>
      <c r="AW380" s="14" t="s">
        <v>72</v>
      </c>
      <c r="AX380" s="14" t="s">
        <v>73</v>
      </c>
      <c r="AY380" s="14" t="s">
        <v>74</v>
      </c>
    </row>
    <row r="381" spans="1:51" ht="15" customHeight="1" x14ac:dyDescent="0.4">
      <c r="A381" s="12">
        <v>3711</v>
      </c>
      <c r="B381" s="21" t="s">
        <v>4431</v>
      </c>
      <c r="C381" s="13" t="s">
        <v>4432</v>
      </c>
      <c r="D381" s="25" t="s">
        <v>4432</v>
      </c>
      <c r="E381" s="13"/>
      <c r="F381" s="41"/>
      <c r="G381" s="41"/>
      <c r="H381" s="41"/>
      <c r="I381" s="14" t="s">
        <v>49</v>
      </c>
      <c r="J381" s="15">
        <v>44762</v>
      </c>
      <c r="K381" t="s">
        <v>2719</v>
      </c>
      <c r="L381" t="s">
        <v>51</v>
      </c>
      <c r="M381" t="s">
        <v>52</v>
      </c>
      <c r="N381" t="s">
        <v>53</v>
      </c>
      <c r="O381" t="s">
        <v>999</v>
      </c>
      <c r="P381" t="s">
        <v>4372</v>
      </c>
      <c r="Q381" t="s">
        <v>56</v>
      </c>
      <c r="R381" s="21" t="s">
        <v>4373</v>
      </c>
      <c r="S381" s="21"/>
      <c r="T381" t="s">
        <v>2271</v>
      </c>
      <c r="U381" t="s">
        <v>4433</v>
      </c>
      <c r="X381" t="s">
        <v>2321</v>
      </c>
      <c r="Y381" t="s">
        <v>60</v>
      </c>
      <c r="AA381" s="15"/>
      <c r="AC381">
        <v>43.892257999999998</v>
      </c>
      <c r="AD381">
        <v>-91.642792</v>
      </c>
      <c r="AE381" t="s">
        <v>4434</v>
      </c>
      <c r="AH381" t="s">
        <v>1715</v>
      </c>
      <c r="AI381" t="s">
        <v>63</v>
      </c>
      <c r="AJ381" t="s">
        <v>4435</v>
      </c>
      <c r="AK381">
        <v>194464</v>
      </c>
      <c r="AM381" t="s">
        <v>4436</v>
      </c>
      <c r="AN381" t="s">
        <v>4437</v>
      </c>
      <c r="AO381" t="s">
        <v>4438</v>
      </c>
      <c r="AP381" t="s">
        <v>68</v>
      </c>
      <c r="AR381" t="s">
        <v>4439</v>
      </c>
      <c r="AS381" t="s">
        <v>4440</v>
      </c>
      <c r="AT381" t="s">
        <v>4441</v>
      </c>
      <c r="AW381" s="14" t="s">
        <v>72</v>
      </c>
      <c r="AX381" s="14" t="s">
        <v>73</v>
      </c>
      <c r="AY381" s="14" t="s">
        <v>74</v>
      </c>
    </row>
    <row r="382" spans="1:51" ht="15" customHeight="1" x14ac:dyDescent="0.4">
      <c r="A382" s="12">
        <v>3712</v>
      </c>
      <c r="B382" s="21" t="s">
        <v>4442</v>
      </c>
      <c r="C382" s="13" t="s">
        <v>4443</v>
      </c>
      <c r="D382" s="25" t="s">
        <v>4443</v>
      </c>
      <c r="E382" s="13"/>
      <c r="F382" s="41" t="s">
        <v>8119</v>
      </c>
      <c r="G382" s="41"/>
      <c r="H382" s="41"/>
      <c r="I382" s="14" t="s">
        <v>1878</v>
      </c>
      <c r="J382" s="15">
        <v>44762</v>
      </c>
      <c r="K382" t="s">
        <v>2719</v>
      </c>
      <c r="L382" t="s">
        <v>51</v>
      </c>
      <c r="M382" t="s">
        <v>52</v>
      </c>
      <c r="N382" t="s">
        <v>53</v>
      </c>
      <c r="O382" t="s">
        <v>999</v>
      </c>
      <c r="P382" t="s">
        <v>4372</v>
      </c>
      <c r="Q382" t="s">
        <v>56</v>
      </c>
      <c r="R382" s="21" t="s">
        <v>4373</v>
      </c>
      <c r="S382" s="21"/>
      <c r="T382" t="s">
        <v>4444</v>
      </c>
      <c r="U382" t="s">
        <v>4445</v>
      </c>
      <c r="X382" t="s">
        <v>2666</v>
      </c>
      <c r="Y382" t="s">
        <v>1881</v>
      </c>
      <c r="AA382" s="15"/>
      <c r="AC382">
        <v>43.896107999999998</v>
      </c>
      <c r="AD382">
        <v>-91.631756999999993</v>
      </c>
      <c r="AE382" t="s">
        <v>4446</v>
      </c>
      <c r="AH382" t="s">
        <v>1715</v>
      </c>
      <c r="AI382" t="s">
        <v>63</v>
      </c>
      <c r="AJ382" t="s">
        <v>4447</v>
      </c>
      <c r="AK382">
        <v>192552</v>
      </c>
      <c r="AM382" t="s">
        <v>4448</v>
      </c>
      <c r="AN382" t="s">
        <v>4449</v>
      </c>
      <c r="AO382" t="s">
        <v>4450</v>
      </c>
      <c r="AP382" t="s">
        <v>68</v>
      </c>
      <c r="AR382" t="s">
        <v>4451</v>
      </c>
      <c r="AS382" t="s">
        <v>4452</v>
      </c>
      <c r="AT382" t="s">
        <v>4453</v>
      </c>
      <c r="AW382" s="14" t="s">
        <v>72</v>
      </c>
      <c r="AX382" s="14" t="s">
        <v>73</v>
      </c>
      <c r="AY382" s="14" t="s">
        <v>1723</v>
      </c>
    </row>
    <row r="383" spans="1:51" ht="15" customHeight="1" x14ac:dyDescent="0.4">
      <c r="A383" s="12">
        <v>3713</v>
      </c>
      <c r="B383" s="21" t="s">
        <v>4454</v>
      </c>
      <c r="C383" s="13" t="s">
        <v>4455</v>
      </c>
      <c r="D383" s="25" t="s">
        <v>4455</v>
      </c>
      <c r="E383" s="13"/>
      <c r="F383" s="41"/>
      <c r="G383" s="41"/>
      <c r="H383" s="41"/>
      <c r="I383" s="14" t="s">
        <v>1878</v>
      </c>
      <c r="J383" s="15">
        <v>44762</v>
      </c>
      <c r="K383" t="s">
        <v>2719</v>
      </c>
      <c r="L383" t="s">
        <v>51</v>
      </c>
      <c r="M383" t="s">
        <v>52</v>
      </c>
      <c r="N383" t="s">
        <v>53</v>
      </c>
      <c r="O383" t="s">
        <v>999</v>
      </c>
      <c r="P383" t="s">
        <v>4372</v>
      </c>
      <c r="Q383" t="s">
        <v>56</v>
      </c>
      <c r="R383" s="21" t="s">
        <v>4373</v>
      </c>
      <c r="S383" s="21"/>
      <c r="T383" t="s">
        <v>4456</v>
      </c>
      <c r="U383" t="s">
        <v>4457</v>
      </c>
      <c r="Y383" t="s">
        <v>1881</v>
      </c>
      <c r="AA383" s="15"/>
      <c r="AC383">
        <v>43.892114999999997</v>
      </c>
      <c r="AD383">
        <v>-91.632148000000001</v>
      </c>
      <c r="AE383" t="s">
        <v>4446</v>
      </c>
      <c r="AH383" t="s">
        <v>1715</v>
      </c>
      <c r="AI383" t="s">
        <v>63</v>
      </c>
      <c r="AJ383" t="s">
        <v>4458</v>
      </c>
      <c r="AK383">
        <v>192538</v>
      </c>
      <c r="AM383" t="s">
        <v>4459</v>
      </c>
      <c r="AN383" t="s">
        <v>4460</v>
      </c>
      <c r="AO383" t="s">
        <v>4461</v>
      </c>
      <c r="AP383" t="s">
        <v>68</v>
      </c>
      <c r="AR383" t="s">
        <v>4462</v>
      </c>
      <c r="AS383" t="s">
        <v>4463</v>
      </c>
      <c r="AT383" t="s">
        <v>4464</v>
      </c>
      <c r="AW383" s="14" t="s">
        <v>72</v>
      </c>
      <c r="AX383" s="14" t="s">
        <v>73</v>
      </c>
      <c r="AY383" s="14" t="s">
        <v>1723</v>
      </c>
    </row>
    <row r="384" spans="1:51" ht="15" customHeight="1" x14ac:dyDescent="0.4">
      <c r="A384" s="12">
        <v>3714</v>
      </c>
      <c r="B384" s="21" t="s">
        <v>4465</v>
      </c>
      <c r="C384" s="13" t="s">
        <v>4466</v>
      </c>
      <c r="D384" s="25" t="s">
        <v>4466</v>
      </c>
      <c r="E384" s="13"/>
      <c r="F384" s="41" t="s">
        <v>8119</v>
      </c>
      <c r="G384" s="41"/>
      <c r="H384" s="41"/>
      <c r="I384" s="14" t="s">
        <v>1878</v>
      </c>
      <c r="J384" s="15">
        <v>44763</v>
      </c>
      <c r="K384" t="s">
        <v>2719</v>
      </c>
      <c r="L384" t="s">
        <v>51</v>
      </c>
      <c r="M384" t="s">
        <v>52</v>
      </c>
      <c r="N384" t="s">
        <v>53</v>
      </c>
      <c r="O384" t="s">
        <v>574</v>
      </c>
      <c r="P384" t="s">
        <v>4467</v>
      </c>
      <c r="Q384" t="s">
        <v>56</v>
      </c>
      <c r="R384" s="21" t="s">
        <v>4468</v>
      </c>
      <c r="S384" s="21"/>
      <c r="T384" t="s">
        <v>4469</v>
      </c>
      <c r="U384" t="s">
        <v>4470</v>
      </c>
      <c r="X384" t="s">
        <v>1758</v>
      </c>
      <c r="Y384" t="s">
        <v>1881</v>
      </c>
      <c r="AA384" s="15"/>
      <c r="AC384">
        <v>46.332048</v>
      </c>
      <c r="AD384">
        <v>-91.507300999999998</v>
      </c>
      <c r="AE384" t="s">
        <v>4471</v>
      </c>
      <c r="AH384" t="s">
        <v>1715</v>
      </c>
      <c r="AI384" t="s">
        <v>63</v>
      </c>
      <c r="AJ384" t="s">
        <v>4472</v>
      </c>
      <c r="AK384">
        <v>192554</v>
      </c>
      <c r="AM384" t="s">
        <v>4473</v>
      </c>
      <c r="AN384" t="s">
        <v>4474</v>
      </c>
      <c r="AO384" t="s">
        <v>4475</v>
      </c>
      <c r="AP384" t="s">
        <v>68</v>
      </c>
      <c r="AR384" t="s">
        <v>4476</v>
      </c>
      <c r="AS384" t="s">
        <v>4477</v>
      </c>
      <c r="AT384" t="s">
        <v>4478</v>
      </c>
      <c r="AW384" s="14" t="s">
        <v>72</v>
      </c>
      <c r="AX384" s="14" t="s">
        <v>73</v>
      </c>
      <c r="AY384" s="14" t="s">
        <v>1723</v>
      </c>
    </row>
    <row r="385" spans="1:51" s="34" customFormat="1" ht="15" customHeight="1" x14ac:dyDescent="0.4">
      <c r="A385" s="33">
        <v>3715</v>
      </c>
      <c r="B385" s="37" t="s">
        <v>4479</v>
      </c>
      <c r="C385" s="35" t="s">
        <v>4480</v>
      </c>
      <c r="D385" s="55" t="s">
        <v>4480</v>
      </c>
      <c r="E385" s="35"/>
      <c r="F385" s="42" t="s">
        <v>8119</v>
      </c>
      <c r="G385" s="42"/>
      <c r="H385" s="42"/>
      <c r="I385" s="34" t="s">
        <v>1878</v>
      </c>
      <c r="J385" s="36">
        <v>44763</v>
      </c>
      <c r="K385" s="34" t="s">
        <v>2719</v>
      </c>
      <c r="L385" s="34" t="s">
        <v>51</v>
      </c>
      <c r="M385" s="34" t="s">
        <v>52</v>
      </c>
      <c r="N385" s="34" t="s">
        <v>53</v>
      </c>
      <c r="O385" s="34" t="s">
        <v>574</v>
      </c>
      <c r="P385" s="34" t="s">
        <v>4467</v>
      </c>
      <c r="Q385" s="34" t="s">
        <v>56</v>
      </c>
      <c r="R385" s="37" t="s">
        <v>4468</v>
      </c>
      <c r="S385" s="37"/>
      <c r="T385" s="34" t="s">
        <v>4469</v>
      </c>
      <c r="U385" s="34" t="s">
        <v>4481</v>
      </c>
      <c r="X385" s="34" t="s">
        <v>1758</v>
      </c>
      <c r="Y385" s="34" t="s">
        <v>1881</v>
      </c>
      <c r="AA385" s="36"/>
      <c r="AC385" s="34">
        <v>46.332273000000001</v>
      </c>
      <c r="AD385" s="34">
        <v>-91.507436999999996</v>
      </c>
      <c r="AE385" s="34" t="s">
        <v>4482</v>
      </c>
      <c r="AH385" s="34" t="s">
        <v>1715</v>
      </c>
      <c r="AI385" s="34" t="s">
        <v>63</v>
      </c>
      <c r="AJ385" s="34" t="s">
        <v>4483</v>
      </c>
      <c r="AK385" s="34">
        <v>192555</v>
      </c>
      <c r="AM385" s="34" t="s">
        <v>4484</v>
      </c>
      <c r="AN385" s="34" t="s">
        <v>4485</v>
      </c>
      <c r="AO385" s="34" t="s">
        <v>4486</v>
      </c>
      <c r="AP385" s="34" t="s">
        <v>68</v>
      </c>
      <c r="AR385" s="34" t="s">
        <v>4487</v>
      </c>
      <c r="AS385" s="34" t="s">
        <v>4488</v>
      </c>
      <c r="AT385" s="34" t="s">
        <v>4489</v>
      </c>
      <c r="AW385" s="34" t="s">
        <v>72</v>
      </c>
      <c r="AX385" s="34" t="s">
        <v>73</v>
      </c>
      <c r="AY385" s="34" t="s">
        <v>1723</v>
      </c>
    </row>
    <row r="386" spans="1:51" ht="15" customHeight="1" x14ac:dyDescent="0.4">
      <c r="A386" s="12">
        <v>3716</v>
      </c>
      <c r="B386" s="21" t="s">
        <v>4490</v>
      </c>
      <c r="C386" s="13" t="s">
        <v>4491</v>
      </c>
      <c r="D386" s="25" t="s">
        <v>4491</v>
      </c>
      <c r="E386" s="13"/>
      <c r="F386" s="43" t="s">
        <v>1878</v>
      </c>
      <c r="G386" s="43" t="s">
        <v>8129</v>
      </c>
      <c r="H386" s="43"/>
      <c r="I386" s="14" t="s">
        <v>1878</v>
      </c>
      <c r="J386" s="15">
        <v>44763</v>
      </c>
      <c r="K386" t="s">
        <v>2719</v>
      </c>
      <c r="L386" t="s">
        <v>51</v>
      </c>
      <c r="M386" t="s">
        <v>52</v>
      </c>
      <c r="N386" t="s">
        <v>53</v>
      </c>
      <c r="O386" t="s">
        <v>574</v>
      </c>
      <c r="P386" t="s">
        <v>4467</v>
      </c>
      <c r="Q386" t="s">
        <v>56</v>
      </c>
      <c r="R386" s="21" t="s">
        <v>4468</v>
      </c>
      <c r="S386" s="21"/>
      <c r="T386" t="s">
        <v>4469</v>
      </c>
      <c r="U386" t="s">
        <v>4492</v>
      </c>
      <c r="X386" t="s">
        <v>1758</v>
      </c>
      <c r="Y386" t="s">
        <v>1881</v>
      </c>
      <c r="AA386" s="15"/>
      <c r="AC386">
        <v>46.332523000000002</v>
      </c>
      <c r="AD386">
        <v>-91.507718999999994</v>
      </c>
      <c r="AE386" t="s">
        <v>4493</v>
      </c>
      <c r="AH386" t="s">
        <v>1715</v>
      </c>
      <c r="AI386" t="s">
        <v>63</v>
      </c>
      <c r="AJ386" t="s">
        <v>4494</v>
      </c>
      <c r="AK386">
        <v>194221</v>
      </c>
      <c r="AM386" t="s">
        <v>4495</v>
      </c>
      <c r="AN386" t="s">
        <v>4496</v>
      </c>
      <c r="AO386" t="s">
        <v>4497</v>
      </c>
      <c r="AP386" t="s">
        <v>68</v>
      </c>
      <c r="AR386" t="s">
        <v>4498</v>
      </c>
      <c r="AS386" t="s">
        <v>4499</v>
      </c>
      <c r="AT386" t="s">
        <v>4500</v>
      </c>
      <c r="AW386" s="14" t="s">
        <v>72</v>
      </c>
      <c r="AX386" s="14" t="s">
        <v>73</v>
      </c>
      <c r="AY386" s="14" t="s">
        <v>1723</v>
      </c>
    </row>
    <row r="387" spans="1:51" ht="15" customHeight="1" x14ac:dyDescent="0.4">
      <c r="A387" s="12">
        <v>3717</v>
      </c>
      <c r="B387" s="21" t="s">
        <v>4501</v>
      </c>
      <c r="C387" s="13" t="s">
        <v>4502</v>
      </c>
      <c r="D387" s="25" t="s">
        <v>4502</v>
      </c>
      <c r="E387" s="13"/>
      <c r="F387" s="45" t="s">
        <v>49</v>
      </c>
      <c r="G387" s="45" t="s">
        <v>8128</v>
      </c>
      <c r="H387" s="45"/>
      <c r="I387" s="14" t="s">
        <v>1878</v>
      </c>
      <c r="J387" s="15">
        <v>44763</v>
      </c>
      <c r="K387" t="s">
        <v>2719</v>
      </c>
      <c r="L387" t="s">
        <v>51</v>
      </c>
      <c r="M387" t="s">
        <v>52</v>
      </c>
      <c r="N387" t="s">
        <v>53</v>
      </c>
      <c r="O387" t="s">
        <v>574</v>
      </c>
      <c r="P387" t="s">
        <v>4467</v>
      </c>
      <c r="Q387" t="s">
        <v>56</v>
      </c>
      <c r="R387" s="21" t="s">
        <v>4468</v>
      </c>
      <c r="S387" s="21"/>
      <c r="T387" t="s">
        <v>4469</v>
      </c>
      <c r="U387" t="s">
        <v>4503</v>
      </c>
      <c r="X387" t="s">
        <v>2321</v>
      </c>
      <c r="Y387" t="s">
        <v>1881</v>
      </c>
      <c r="AA387" s="15"/>
      <c r="AC387">
        <v>46.331696999999998</v>
      </c>
      <c r="AD387">
        <v>-91.507323999999997</v>
      </c>
      <c r="AE387" t="s">
        <v>4504</v>
      </c>
      <c r="AH387" t="s">
        <v>1715</v>
      </c>
      <c r="AI387" t="s">
        <v>63</v>
      </c>
      <c r="AJ387" t="s">
        <v>4505</v>
      </c>
      <c r="AK387">
        <v>192553</v>
      </c>
      <c r="AM387" t="s">
        <v>4506</v>
      </c>
      <c r="AN387" t="s">
        <v>4507</v>
      </c>
      <c r="AO387" t="s">
        <v>4508</v>
      </c>
      <c r="AP387" t="s">
        <v>68</v>
      </c>
      <c r="AR387" t="s">
        <v>4509</v>
      </c>
      <c r="AS387" t="s">
        <v>4510</v>
      </c>
      <c r="AT387" t="s">
        <v>4511</v>
      </c>
      <c r="AW387" s="14" t="s">
        <v>72</v>
      </c>
      <c r="AX387" s="14" t="s">
        <v>73</v>
      </c>
      <c r="AY387" s="14" t="s">
        <v>1723</v>
      </c>
    </row>
    <row r="388" spans="1:51" ht="15" customHeight="1" x14ac:dyDescent="0.4">
      <c r="A388" s="12">
        <v>3718</v>
      </c>
      <c r="B388" s="21" t="s">
        <v>4512</v>
      </c>
      <c r="C388" s="13" t="s">
        <v>4513</v>
      </c>
      <c r="D388" s="25" t="s">
        <v>4513</v>
      </c>
      <c r="E388" s="13"/>
      <c r="F388" s="41"/>
      <c r="G388" s="41"/>
      <c r="H388" s="41"/>
      <c r="I388" s="14" t="s">
        <v>49</v>
      </c>
      <c r="J388" s="15">
        <v>44763</v>
      </c>
      <c r="K388" t="s">
        <v>2719</v>
      </c>
      <c r="L388" t="s">
        <v>51</v>
      </c>
      <c r="M388" t="s">
        <v>52</v>
      </c>
      <c r="N388" t="s">
        <v>53</v>
      </c>
      <c r="O388" t="s">
        <v>574</v>
      </c>
      <c r="P388" t="s">
        <v>4467</v>
      </c>
      <c r="Q388" t="s">
        <v>56</v>
      </c>
      <c r="R388" s="21" t="s">
        <v>4468</v>
      </c>
      <c r="S388" s="21"/>
      <c r="T388" t="s">
        <v>4469</v>
      </c>
      <c r="U388" t="s">
        <v>4514</v>
      </c>
      <c r="X388" t="s">
        <v>2336</v>
      </c>
      <c r="Y388" t="s">
        <v>60</v>
      </c>
      <c r="AA388" s="15"/>
      <c r="AC388">
        <v>46.331710999999999</v>
      </c>
      <c r="AD388">
        <v>-91.507253000000006</v>
      </c>
      <c r="AE388" t="s">
        <v>4515</v>
      </c>
      <c r="AH388" t="s">
        <v>1715</v>
      </c>
      <c r="AI388" t="s">
        <v>63</v>
      </c>
      <c r="AJ388" t="s">
        <v>4516</v>
      </c>
      <c r="AK388">
        <v>194470</v>
      </c>
      <c r="AM388" t="s">
        <v>4517</v>
      </c>
      <c r="AN388" t="s">
        <v>4518</v>
      </c>
      <c r="AO388" t="s">
        <v>4519</v>
      </c>
      <c r="AP388" t="s">
        <v>68</v>
      </c>
      <c r="AR388" t="s">
        <v>4520</v>
      </c>
      <c r="AS388" t="s">
        <v>4521</v>
      </c>
      <c r="AT388" t="s">
        <v>4522</v>
      </c>
      <c r="AW388" s="14" t="s">
        <v>72</v>
      </c>
      <c r="AX388" s="14" t="s">
        <v>73</v>
      </c>
      <c r="AY388" s="14" t="s">
        <v>74</v>
      </c>
    </row>
    <row r="389" spans="1:51" ht="15" customHeight="1" x14ac:dyDescent="0.4">
      <c r="A389" s="12">
        <v>3719</v>
      </c>
      <c r="B389" s="21" t="s">
        <v>4523</v>
      </c>
      <c r="C389" s="13" t="s">
        <v>4524</v>
      </c>
      <c r="D389" s="25" t="s">
        <v>4524</v>
      </c>
      <c r="E389" s="13"/>
      <c r="F389" s="41"/>
      <c r="G389" s="41"/>
      <c r="H389" s="41"/>
      <c r="I389" s="14" t="s">
        <v>49</v>
      </c>
      <c r="J389" s="15">
        <v>44763</v>
      </c>
      <c r="K389" t="s">
        <v>2719</v>
      </c>
      <c r="L389" t="s">
        <v>51</v>
      </c>
      <c r="M389" t="s">
        <v>52</v>
      </c>
      <c r="N389" t="s">
        <v>53</v>
      </c>
      <c r="O389" t="s">
        <v>574</v>
      </c>
      <c r="P389" t="s">
        <v>4467</v>
      </c>
      <c r="Q389" t="s">
        <v>56</v>
      </c>
      <c r="R389" s="21" t="s">
        <v>4468</v>
      </c>
      <c r="S389" s="21"/>
      <c r="T389" t="s">
        <v>4469</v>
      </c>
      <c r="U389" t="s">
        <v>4525</v>
      </c>
      <c r="X389" t="s">
        <v>2321</v>
      </c>
      <c r="Y389" t="s">
        <v>60</v>
      </c>
      <c r="AA389" s="15"/>
      <c r="AC389">
        <v>46.330843999999999</v>
      </c>
      <c r="AD389">
        <v>-91.506894000000003</v>
      </c>
      <c r="AE389" t="s">
        <v>4493</v>
      </c>
      <c r="AH389" t="s">
        <v>1715</v>
      </c>
      <c r="AI389" t="s">
        <v>63</v>
      </c>
      <c r="AJ389" t="s">
        <v>4526</v>
      </c>
      <c r="AK389">
        <v>192576</v>
      </c>
      <c r="AM389" t="s">
        <v>4527</v>
      </c>
      <c r="AN389" t="s">
        <v>4528</v>
      </c>
      <c r="AO389" t="s">
        <v>4529</v>
      </c>
      <c r="AP389" t="s">
        <v>68</v>
      </c>
      <c r="AQ389" t="s">
        <v>4530</v>
      </c>
      <c r="AR389" t="s">
        <v>4531</v>
      </c>
      <c r="AS389" t="s">
        <v>4532</v>
      </c>
      <c r="AT389" t="s">
        <v>4533</v>
      </c>
      <c r="AU389" s="31" t="s">
        <v>4534</v>
      </c>
      <c r="AW389" s="14" t="s">
        <v>72</v>
      </c>
      <c r="AX389" s="14" t="s">
        <v>73</v>
      </c>
      <c r="AY389" s="14" t="s">
        <v>74</v>
      </c>
    </row>
    <row r="390" spans="1:51" ht="15" customHeight="1" x14ac:dyDescent="0.4">
      <c r="A390" s="12">
        <v>3720</v>
      </c>
      <c r="B390" s="21" t="s">
        <v>4535</v>
      </c>
      <c r="C390" s="13" t="s">
        <v>4536</v>
      </c>
      <c r="D390" s="25" t="s">
        <v>4536</v>
      </c>
      <c r="E390" s="13"/>
      <c r="F390" s="41"/>
      <c r="G390" s="41"/>
      <c r="H390" s="41"/>
      <c r="I390" s="14" t="s">
        <v>49</v>
      </c>
      <c r="J390" s="15">
        <v>44763</v>
      </c>
      <c r="K390" t="s">
        <v>2719</v>
      </c>
      <c r="L390" t="s">
        <v>51</v>
      </c>
      <c r="M390" t="s">
        <v>52</v>
      </c>
      <c r="N390" t="s">
        <v>53</v>
      </c>
      <c r="O390" t="s">
        <v>574</v>
      </c>
      <c r="P390" t="s">
        <v>4467</v>
      </c>
      <c r="Q390" t="s">
        <v>56</v>
      </c>
      <c r="R390" s="21" t="s">
        <v>4468</v>
      </c>
      <c r="S390" s="21"/>
      <c r="T390" t="s">
        <v>4469</v>
      </c>
      <c r="U390" t="s">
        <v>4537</v>
      </c>
      <c r="X390" t="s">
        <v>2321</v>
      </c>
      <c r="Y390" t="s">
        <v>60</v>
      </c>
      <c r="AA390" s="15"/>
      <c r="AC390">
        <v>46.331659000000002</v>
      </c>
      <c r="AD390">
        <v>-91.506574000000001</v>
      </c>
      <c r="AE390" t="s">
        <v>4538</v>
      </c>
      <c r="AH390" t="s">
        <v>1715</v>
      </c>
      <c r="AI390" t="s">
        <v>63</v>
      </c>
      <c r="AJ390" t="s">
        <v>4539</v>
      </c>
      <c r="AK390">
        <v>192656</v>
      </c>
      <c r="AM390" t="s">
        <v>4540</v>
      </c>
      <c r="AN390" t="s">
        <v>4541</v>
      </c>
      <c r="AO390" t="s">
        <v>4542</v>
      </c>
      <c r="AP390" t="s">
        <v>68</v>
      </c>
      <c r="AR390" t="s">
        <v>4543</v>
      </c>
      <c r="AS390" t="s">
        <v>4544</v>
      </c>
      <c r="AT390" t="s">
        <v>4545</v>
      </c>
      <c r="AW390" s="14" t="s">
        <v>72</v>
      </c>
      <c r="AX390" s="14" t="s">
        <v>73</v>
      </c>
      <c r="AY390" s="14" t="s">
        <v>74</v>
      </c>
    </row>
    <row r="391" spans="1:51" ht="15" customHeight="1" x14ac:dyDescent="0.4">
      <c r="A391" s="12">
        <v>3721</v>
      </c>
      <c r="B391" s="21" t="s">
        <v>4546</v>
      </c>
      <c r="C391" s="13" t="s">
        <v>4547</v>
      </c>
      <c r="D391" s="25" t="s">
        <v>4547</v>
      </c>
      <c r="E391" s="13"/>
      <c r="F391" s="41"/>
      <c r="G391" s="41"/>
      <c r="H391" s="41"/>
      <c r="I391" s="14" t="s">
        <v>49</v>
      </c>
      <c r="J391" s="15">
        <v>44763</v>
      </c>
      <c r="K391" t="s">
        <v>2719</v>
      </c>
      <c r="L391" t="s">
        <v>51</v>
      </c>
      <c r="M391" t="s">
        <v>52</v>
      </c>
      <c r="N391" t="s">
        <v>53</v>
      </c>
      <c r="O391" t="s">
        <v>574</v>
      </c>
      <c r="P391" t="s">
        <v>4467</v>
      </c>
      <c r="Q391" t="s">
        <v>56</v>
      </c>
      <c r="R391" s="21" t="s">
        <v>4468</v>
      </c>
      <c r="S391" s="21"/>
      <c r="T391" t="s">
        <v>4548</v>
      </c>
      <c r="U391" t="s">
        <v>4549</v>
      </c>
      <c r="X391" t="s">
        <v>2321</v>
      </c>
      <c r="Y391" t="s">
        <v>60</v>
      </c>
      <c r="AA391" s="15"/>
      <c r="AC391">
        <v>46.330621999999998</v>
      </c>
      <c r="AD391">
        <v>-91.506962000000001</v>
      </c>
      <c r="AE391" t="s">
        <v>4550</v>
      </c>
      <c r="AH391" t="s">
        <v>1715</v>
      </c>
      <c r="AI391" t="s">
        <v>63</v>
      </c>
      <c r="AJ391" t="s">
        <v>4551</v>
      </c>
      <c r="AK391">
        <v>192537</v>
      </c>
      <c r="AM391" t="s">
        <v>4552</v>
      </c>
      <c r="AN391" t="s">
        <v>4553</v>
      </c>
      <c r="AO391" t="s">
        <v>4554</v>
      </c>
      <c r="AP391" t="s">
        <v>68</v>
      </c>
      <c r="AR391" t="s">
        <v>4555</v>
      </c>
      <c r="AS391" t="s">
        <v>4556</v>
      </c>
      <c r="AT391" t="s">
        <v>4557</v>
      </c>
      <c r="AW391" s="14" t="s">
        <v>72</v>
      </c>
      <c r="AX391" s="14" t="s">
        <v>73</v>
      </c>
      <c r="AY391" s="14" t="s">
        <v>74</v>
      </c>
    </row>
    <row r="392" spans="1:51" ht="15" customHeight="1" x14ac:dyDescent="0.4">
      <c r="A392" s="12">
        <v>3722</v>
      </c>
      <c r="B392" s="21" t="s">
        <v>4558</v>
      </c>
      <c r="C392" s="13" t="s">
        <v>4559</v>
      </c>
      <c r="D392" s="25" t="s">
        <v>4559</v>
      </c>
      <c r="E392" s="13"/>
      <c r="F392" s="41"/>
      <c r="G392" s="41"/>
      <c r="H392" s="41"/>
      <c r="I392" s="14" t="s">
        <v>49</v>
      </c>
      <c r="J392" s="15">
        <v>44763</v>
      </c>
      <c r="K392" t="s">
        <v>2719</v>
      </c>
      <c r="L392" t="s">
        <v>51</v>
      </c>
      <c r="M392" t="s">
        <v>52</v>
      </c>
      <c r="N392" t="s">
        <v>53</v>
      </c>
      <c r="O392" t="s">
        <v>574</v>
      </c>
      <c r="P392" t="s">
        <v>4467</v>
      </c>
      <c r="Q392" t="s">
        <v>56</v>
      </c>
      <c r="R392" s="21" t="s">
        <v>4468</v>
      </c>
      <c r="S392" s="21"/>
      <c r="T392" t="s">
        <v>4548</v>
      </c>
      <c r="U392" t="s">
        <v>4560</v>
      </c>
      <c r="X392" t="s">
        <v>2321</v>
      </c>
      <c r="Y392" t="s">
        <v>60</v>
      </c>
      <c r="AA392" s="15"/>
      <c r="AC392">
        <v>46.330665000000003</v>
      </c>
      <c r="AD392">
        <v>-91.507785999999996</v>
      </c>
      <c r="AE392" t="s">
        <v>4561</v>
      </c>
      <c r="AH392" t="s">
        <v>1715</v>
      </c>
      <c r="AI392" t="s">
        <v>63</v>
      </c>
      <c r="AJ392" t="s">
        <v>4562</v>
      </c>
      <c r="AK392">
        <v>194469</v>
      </c>
      <c r="AM392" t="s">
        <v>4563</v>
      </c>
      <c r="AN392" t="s">
        <v>4564</v>
      </c>
      <c r="AO392" t="s">
        <v>4565</v>
      </c>
      <c r="AP392" t="s">
        <v>68</v>
      </c>
      <c r="AR392" t="s">
        <v>4566</v>
      </c>
      <c r="AS392" t="s">
        <v>4567</v>
      </c>
      <c r="AT392" t="s">
        <v>4568</v>
      </c>
      <c r="AW392" s="14" t="s">
        <v>72</v>
      </c>
      <c r="AX392" s="14" t="s">
        <v>73</v>
      </c>
      <c r="AY392" s="14" t="s">
        <v>74</v>
      </c>
    </row>
    <row r="393" spans="1:51" ht="15" customHeight="1" x14ac:dyDescent="0.4">
      <c r="A393" s="12">
        <v>3723</v>
      </c>
      <c r="B393" s="21" t="s">
        <v>4569</v>
      </c>
      <c r="C393" s="13" t="s">
        <v>4570</v>
      </c>
      <c r="D393" s="25" t="s">
        <v>4570</v>
      </c>
      <c r="E393" s="13"/>
      <c r="F393" s="41"/>
      <c r="G393" s="41"/>
      <c r="H393" s="41"/>
      <c r="I393" s="14" t="s">
        <v>49</v>
      </c>
      <c r="J393" s="15">
        <v>44764</v>
      </c>
      <c r="K393" t="s">
        <v>2719</v>
      </c>
      <c r="L393" t="s">
        <v>51</v>
      </c>
      <c r="M393" t="s">
        <v>52</v>
      </c>
      <c r="N393" t="s">
        <v>53</v>
      </c>
      <c r="O393" t="s">
        <v>574</v>
      </c>
      <c r="P393" t="s">
        <v>4571</v>
      </c>
      <c r="Q393" t="s">
        <v>56</v>
      </c>
      <c r="R393" s="21" t="s">
        <v>4572</v>
      </c>
      <c r="S393" s="21"/>
      <c r="T393" t="s">
        <v>4573</v>
      </c>
      <c r="U393" t="s">
        <v>4574</v>
      </c>
      <c r="X393" t="s">
        <v>2321</v>
      </c>
      <c r="Y393" t="s">
        <v>60</v>
      </c>
      <c r="AA393" s="15"/>
      <c r="AC393">
        <v>43.016382999999998</v>
      </c>
      <c r="AD393">
        <v>-88.438509999999994</v>
      </c>
      <c r="AE393" t="s">
        <v>4575</v>
      </c>
      <c r="AH393" t="s">
        <v>1715</v>
      </c>
      <c r="AI393" t="s">
        <v>63</v>
      </c>
      <c r="AJ393" t="s">
        <v>4576</v>
      </c>
      <c r="AK393">
        <v>194463</v>
      </c>
      <c r="AM393" t="s">
        <v>4577</v>
      </c>
      <c r="AN393" t="s">
        <v>4578</v>
      </c>
      <c r="AO393" t="s">
        <v>4579</v>
      </c>
      <c r="AP393" t="s">
        <v>68</v>
      </c>
      <c r="AR393" t="s">
        <v>4580</v>
      </c>
      <c r="AS393" t="s">
        <v>4581</v>
      </c>
      <c r="AT393" t="s">
        <v>4582</v>
      </c>
      <c r="AW393" s="14" t="s">
        <v>72</v>
      </c>
      <c r="AX393" s="14" t="s">
        <v>73</v>
      </c>
      <c r="AY393" s="14" t="s">
        <v>74</v>
      </c>
    </row>
    <row r="394" spans="1:51" ht="15" customHeight="1" x14ac:dyDescent="0.4">
      <c r="A394" s="12">
        <v>3724</v>
      </c>
      <c r="B394" s="21" t="s">
        <v>4583</v>
      </c>
      <c r="C394" s="13" t="s">
        <v>4584</v>
      </c>
      <c r="D394" s="25" t="s">
        <v>4584</v>
      </c>
      <c r="E394" s="13"/>
      <c r="F394" s="41"/>
      <c r="G394" s="41"/>
      <c r="H394" s="41"/>
      <c r="I394" s="14" t="s">
        <v>49</v>
      </c>
      <c r="J394" s="15">
        <v>44764</v>
      </c>
      <c r="K394" t="s">
        <v>2719</v>
      </c>
      <c r="L394" t="s">
        <v>51</v>
      </c>
      <c r="M394" t="s">
        <v>52</v>
      </c>
      <c r="N394" t="s">
        <v>53</v>
      </c>
      <c r="O394" t="s">
        <v>574</v>
      </c>
      <c r="P394" t="s">
        <v>4571</v>
      </c>
      <c r="Q394" t="s">
        <v>56</v>
      </c>
      <c r="R394" s="21" t="s">
        <v>4572</v>
      </c>
      <c r="S394" s="21"/>
      <c r="T394" t="s">
        <v>4585</v>
      </c>
      <c r="U394" t="s">
        <v>4586</v>
      </c>
      <c r="X394" t="s">
        <v>1758</v>
      </c>
      <c r="Y394" t="s">
        <v>60</v>
      </c>
      <c r="AA394" s="15"/>
      <c r="AC394">
        <v>43.016533000000003</v>
      </c>
      <c r="AD394">
        <v>-88.434152999999995</v>
      </c>
      <c r="AE394" t="s">
        <v>4587</v>
      </c>
      <c r="AH394" t="s">
        <v>1715</v>
      </c>
      <c r="AI394" t="s">
        <v>63</v>
      </c>
      <c r="AJ394" t="s">
        <v>4588</v>
      </c>
      <c r="AK394">
        <v>192669</v>
      </c>
      <c r="AM394" t="s">
        <v>4589</v>
      </c>
      <c r="AN394" t="s">
        <v>4590</v>
      </c>
      <c r="AO394" t="s">
        <v>4591</v>
      </c>
      <c r="AP394" t="s">
        <v>68</v>
      </c>
      <c r="AR394" t="s">
        <v>4592</v>
      </c>
      <c r="AS394" t="s">
        <v>4593</v>
      </c>
      <c r="AT394" t="s">
        <v>4594</v>
      </c>
      <c r="AW394" s="14" t="s">
        <v>72</v>
      </c>
      <c r="AX394" s="14" t="s">
        <v>73</v>
      </c>
      <c r="AY394" s="14" t="s">
        <v>74</v>
      </c>
    </row>
    <row r="395" spans="1:51" ht="15" customHeight="1" x14ac:dyDescent="0.4">
      <c r="A395" s="12">
        <v>3725</v>
      </c>
      <c r="B395" s="21" t="s">
        <v>4595</v>
      </c>
      <c r="C395" s="13" t="s">
        <v>4596</v>
      </c>
      <c r="D395" s="25" t="s">
        <v>4596</v>
      </c>
      <c r="E395" s="13"/>
      <c r="F395" s="41"/>
      <c r="G395" s="41"/>
      <c r="H395" s="41"/>
      <c r="I395" s="14" t="s">
        <v>49</v>
      </c>
      <c r="J395" s="15">
        <v>44764</v>
      </c>
      <c r="K395" t="s">
        <v>2719</v>
      </c>
      <c r="L395" t="s">
        <v>51</v>
      </c>
      <c r="M395" t="s">
        <v>52</v>
      </c>
      <c r="N395" t="s">
        <v>53</v>
      </c>
      <c r="O395" t="s">
        <v>574</v>
      </c>
      <c r="P395" t="s">
        <v>4571</v>
      </c>
      <c r="Q395" t="s">
        <v>56</v>
      </c>
      <c r="R395" s="21" t="s">
        <v>4572</v>
      </c>
      <c r="S395" s="21"/>
      <c r="T395" t="s">
        <v>4573</v>
      </c>
      <c r="U395" t="s">
        <v>4597</v>
      </c>
      <c r="X395" t="s">
        <v>2321</v>
      </c>
      <c r="Y395" t="s">
        <v>60</v>
      </c>
      <c r="AA395" s="15"/>
      <c r="AC395">
        <v>43.016871000000002</v>
      </c>
      <c r="AD395">
        <v>-88.435539000000006</v>
      </c>
      <c r="AE395" t="s">
        <v>4598</v>
      </c>
      <c r="AH395" t="s">
        <v>1715</v>
      </c>
      <c r="AI395" t="s">
        <v>63</v>
      </c>
      <c r="AJ395" t="s">
        <v>4599</v>
      </c>
      <c r="AK395">
        <v>194465</v>
      </c>
      <c r="AM395" t="s">
        <v>4600</v>
      </c>
      <c r="AN395" t="s">
        <v>4601</v>
      </c>
      <c r="AO395" t="s">
        <v>4602</v>
      </c>
      <c r="AP395" t="s">
        <v>68</v>
      </c>
      <c r="AR395" t="s">
        <v>4603</v>
      </c>
      <c r="AS395" t="s">
        <v>4604</v>
      </c>
      <c r="AT395" t="s">
        <v>4605</v>
      </c>
      <c r="AW395" s="14" t="s">
        <v>72</v>
      </c>
      <c r="AX395" s="14" t="s">
        <v>73</v>
      </c>
      <c r="AY395" s="14" t="s">
        <v>74</v>
      </c>
    </row>
    <row r="396" spans="1:51" ht="15" customHeight="1" x14ac:dyDescent="0.4">
      <c r="A396" s="12">
        <v>3726</v>
      </c>
      <c r="B396" s="21" t="s">
        <v>4606</v>
      </c>
      <c r="C396" s="13" t="s">
        <v>4607</v>
      </c>
      <c r="D396" s="25" t="s">
        <v>4607</v>
      </c>
      <c r="E396" s="13"/>
      <c r="F396" s="41"/>
      <c r="G396" s="41"/>
      <c r="H396" s="41"/>
      <c r="I396" s="14" t="s">
        <v>49</v>
      </c>
      <c r="J396" s="15">
        <v>44764</v>
      </c>
      <c r="K396" t="s">
        <v>2719</v>
      </c>
      <c r="L396" t="s">
        <v>51</v>
      </c>
      <c r="M396" t="s">
        <v>52</v>
      </c>
      <c r="N396" t="s">
        <v>53</v>
      </c>
      <c r="O396" t="s">
        <v>574</v>
      </c>
      <c r="P396" t="s">
        <v>4571</v>
      </c>
      <c r="Q396" t="s">
        <v>56</v>
      </c>
      <c r="R396" s="21" t="s">
        <v>4572</v>
      </c>
      <c r="S396" s="21"/>
      <c r="T396" t="s">
        <v>4573</v>
      </c>
      <c r="U396" t="s">
        <v>4608</v>
      </c>
      <c r="Y396" t="s">
        <v>60</v>
      </c>
      <c r="AA396" s="15"/>
      <c r="AC396">
        <v>43.017411000000003</v>
      </c>
      <c r="AD396">
        <v>-88.436648000000005</v>
      </c>
      <c r="AE396" t="s">
        <v>4609</v>
      </c>
      <c r="AH396" t="s">
        <v>1715</v>
      </c>
      <c r="AI396" t="s">
        <v>63</v>
      </c>
      <c r="AJ396" t="s">
        <v>4610</v>
      </c>
      <c r="AK396">
        <v>194468</v>
      </c>
      <c r="AM396" t="s">
        <v>4611</v>
      </c>
      <c r="AN396" t="s">
        <v>4612</v>
      </c>
      <c r="AO396" t="s">
        <v>4613</v>
      </c>
      <c r="AP396" t="s">
        <v>68</v>
      </c>
      <c r="AR396" t="s">
        <v>4614</v>
      </c>
      <c r="AS396" t="s">
        <v>4615</v>
      </c>
      <c r="AT396" t="s">
        <v>4616</v>
      </c>
      <c r="AW396" s="14" t="s">
        <v>72</v>
      </c>
      <c r="AX396" s="14" t="s">
        <v>73</v>
      </c>
      <c r="AY396" s="14" t="s">
        <v>74</v>
      </c>
    </row>
    <row r="397" spans="1:51" ht="15" customHeight="1" x14ac:dyDescent="0.4">
      <c r="A397" s="12">
        <v>3727</v>
      </c>
      <c r="B397" s="21" t="s">
        <v>4617</v>
      </c>
      <c r="C397" s="13" t="s">
        <v>4618</v>
      </c>
      <c r="D397" s="25" t="s">
        <v>4618</v>
      </c>
      <c r="E397" s="13"/>
      <c r="F397" s="41"/>
      <c r="G397" s="41"/>
      <c r="H397" s="41"/>
      <c r="I397" s="14" t="s">
        <v>1878</v>
      </c>
      <c r="J397" s="15">
        <v>44764</v>
      </c>
      <c r="K397" t="s">
        <v>2719</v>
      </c>
      <c r="L397" t="s">
        <v>51</v>
      </c>
      <c r="M397" t="s">
        <v>52</v>
      </c>
      <c r="N397" t="s">
        <v>53</v>
      </c>
      <c r="O397" t="s">
        <v>574</v>
      </c>
      <c r="P397" t="s">
        <v>4571</v>
      </c>
      <c r="Q397" t="s">
        <v>56</v>
      </c>
      <c r="R397" s="21" t="s">
        <v>4572</v>
      </c>
      <c r="S397" s="21"/>
      <c r="T397" t="s">
        <v>4573</v>
      </c>
      <c r="U397" t="s">
        <v>4619</v>
      </c>
      <c r="X397" t="s">
        <v>2321</v>
      </c>
      <c r="Y397" t="s">
        <v>1881</v>
      </c>
      <c r="AA397" s="15"/>
      <c r="AC397">
        <v>43.017992999999997</v>
      </c>
      <c r="AD397">
        <v>-88.43768</v>
      </c>
      <c r="AE397" t="s">
        <v>4620</v>
      </c>
      <c r="AH397" t="s">
        <v>1715</v>
      </c>
      <c r="AI397" t="s">
        <v>63</v>
      </c>
      <c r="AJ397" t="s">
        <v>4621</v>
      </c>
      <c r="AK397">
        <v>194222</v>
      </c>
      <c r="AM397" t="s">
        <v>4622</v>
      </c>
      <c r="AN397" t="s">
        <v>4623</v>
      </c>
      <c r="AO397" t="s">
        <v>4624</v>
      </c>
      <c r="AP397" t="s">
        <v>68</v>
      </c>
      <c r="AR397" t="s">
        <v>4625</v>
      </c>
      <c r="AS397" t="s">
        <v>4626</v>
      </c>
      <c r="AT397" t="s">
        <v>4627</v>
      </c>
      <c r="AW397" s="14" t="s">
        <v>72</v>
      </c>
      <c r="AX397" s="14" t="s">
        <v>73</v>
      </c>
      <c r="AY397" s="14" t="s">
        <v>1723</v>
      </c>
    </row>
    <row r="398" spans="1:51" ht="15" customHeight="1" x14ac:dyDescent="0.4">
      <c r="A398" s="12">
        <v>3728</v>
      </c>
      <c r="B398" s="21" t="s">
        <v>4628</v>
      </c>
      <c r="C398" s="13" t="s">
        <v>4629</v>
      </c>
      <c r="D398" s="25" t="s">
        <v>4629</v>
      </c>
      <c r="E398" s="13"/>
      <c r="F398" s="41"/>
      <c r="G398" s="41"/>
      <c r="H398" s="41"/>
      <c r="I398" s="14" t="s">
        <v>1878</v>
      </c>
      <c r="J398" s="15">
        <v>44764</v>
      </c>
      <c r="K398" t="s">
        <v>2719</v>
      </c>
      <c r="L398" t="s">
        <v>51</v>
      </c>
      <c r="M398" t="s">
        <v>52</v>
      </c>
      <c r="N398" t="s">
        <v>53</v>
      </c>
      <c r="O398" t="s">
        <v>574</v>
      </c>
      <c r="P398" t="s">
        <v>4571</v>
      </c>
      <c r="Q398" t="s">
        <v>56</v>
      </c>
      <c r="R398" s="21" t="s">
        <v>4572</v>
      </c>
      <c r="S398" s="21"/>
      <c r="T398" t="s">
        <v>4573</v>
      </c>
      <c r="U398" t="s">
        <v>4630</v>
      </c>
      <c r="X398" t="s">
        <v>1758</v>
      </c>
      <c r="Y398" t="s">
        <v>1881</v>
      </c>
      <c r="AA398" s="15"/>
      <c r="AC398">
        <v>43.017924999999998</v>
      </c>
      <c r="AD398">
        <v>-88.438305</v>
      </c>
      <c r="AE398" t="s">
        <v>4631</v>
      </c>
      <c r="AH398" t="s">
        <v>1715</v>
      </c>
      <c r="AI398" t="s">
        <v>63</v>
      </c>
      <c r="AJ398" t="s">
        <v>4632</v>
      </c>
      <c r="AK398">
        <v>194207</v>
      </c>
      <c r="AM398" t="s">
        <v>4633</v>
      </c>
      <c r="AN398" t="s">
        <v>4634</v>
      </c>
      <c r="AO398" t="s">
        <v>4635</v>
      </c>
      <c r="AP398" t="s">
        <v>68</v>
      </c>
      <c r="AR398" t="s">
        <v>4636</v>
      </c>
      <c r="AS398" t="s">
        <v>4637</v>
      </c>
      <c r="AT398" t="s">
        <v>4638</v>
      </c>
      <c r="AW398" s="14" t="s">
        <v>72</v>
      </c>
      <c r="AX398" s="14" t="s">
        <v>73</v>
      </c>
      <c r="AY398" s="14" t="s">
        <v>1723</v>
      </c>
    </row>
    <row r="399" spans="1:51" ht="15" customHeight="1" x14ac:dyDescent="0.4">
      <c r="A399" s="12">
        <v>3729</v>
      </c>
      <c r="B399" s="21" t="s">
        <v>4639</v>
      </c>
      <c r="C399" s="13" t="s">
        <v>4640</v>
      </c>
      <c r="D399" s="25" t="s">
        <v>4640</v>
      </c>
      <c r="E399" s="13"/>
      <c r="F399" s="41"/>
      <c r="G399" s="41"/>
      <c r="H399" s="41"/>
      <c r="I399" s="14" t="s">
        <v>1878</v>
      </c>
      <c r="J399" s="15">
        <v>44764</v>
      </c>
      <c r="K399" t="s">
        <v>2719</v>
      </c>
      <c r="L399" t="s">
        <v>51</v>
      </c>
      <c r="M399" t="s">
        <v>52</v>
      </c>
      <c r="N399" t="s">
        <v>53</v>
      </c>
      <c r="O399" t="s">
        <v>574</v>
      </c>
      <c r="P399" t="s">
        <v>4571</v>
      </c>
      <c r="Q399" t="s">
        <v>56</v>
      </c>
      <c r="R399" s="21" t="s">
        <v>4572</v>
      </c>
      <c r="S399" s="21"/>
      <c r="T399" t="s">
        <v>4641</v>
      </c>
      <c r="U399" t="s">
        <v>4642</v>
      </c>
      <c r="Y399" t="s">
        <v>1881</v>
      </c>
      <c r="AA399" s="15"/>
      <c r="AC399">
        <v>43.018248</v>
      </c>
      <c r="AD399">
        <v>-88.439409999999995</v>
      </c>
      <c r="AE399" t="s">
        <v>4643</v>
      </c>
      <c r="AH399" t="s">
        <v>1715</v>
      </c>
      <c r="AI399" t="s">
        <v>63</v>
      </c>
      <c r="AJ399" t="s">
        <v>4644</v>
      </c>
      <c r="AK399">
        <v>194141</v>
      </c>
      <c r="AM399" t="s">
        <v>4645</v>
      </c>
      <c r="AN399" t="s">
        <v>4646</v>
      </c>
      <c r="AO399" t="s">
        <v>4647</v>
      </c>
      <c r="AP399" t="s">
        <v>68</v>
      </c>
      <c r="AR399" t="s">
        <v>4648</v>
      </c>
      <c r="AS399" t="s">
        <v>4649</v>
      </c>
      <c r="AT399" t="s">
        <v>4650</v>
      </c>
      <c r="AW399" s="14" t="s">
        <v>72</v>
      </c>
      <c r="AX399" s="14" t="s">
        <v>73</v>
      </c>
      <c r="AY399" s="14" t="s">
        <v>1723</v>
      </c>
    </row>
    <row r="400" spans="1:51" ht="15" customHeight="1" x14ac:dyDescent="0.4">
      <c r="A400" s="12">
        <v>3730</v>
      </c>
      <c r="B400" s="21" t="s">
        <v>4651</v>
      </c>
      <c r="C400" s="13" t="s">
        <v>4652</v>
      </c>
      <c r="D400" s="25" t="s">
        <v>4652</v>
      </c>
      <c r="E400" s="13"/>
      <c r="F400" s="41"/>
      <c r="G400" s="41"/>
      <c r="H400" s="41"/>
      <c r="I400" s="14" t="s">
        <v>1878</v>
      </c>
      <c r="J400" s="15">
        <v>44764</v>
      </c>
      <c r="K400" t="s">
        <v>2719</v>
      </c>
      <c r="L400" t="s">
        <v>51</v>
      </c>
      <c r="M400" t="s">
        <v>52</v>
      </c>
      <c r="N400" t="s">
        <v>53</v>
      </c>
      <c r="O400" t="s">
        <v>574</v>
      </c>
      <c r="P400" t="s">
        <v>4571</v>
      </c>
      <c r="Q400" t="s">
        <v>56</v>
      </c>
      <c r="R400" s="21" t="s">
        <v>4572</v>
      </c>
      <c r="S400" s="21"/>
      <c r="T400" t="s">
        <v>4653</v>
      </c>
      <c r="U400" t="s">
        <v>4654</v>
      </c>
      <c r="Y400" t="s">
        <v>1881</v>
      </c>
      <c r="AA400" s="15"/>
      <c r="AC400">
        <v>43.017823999999997</v>
      </c>
      <c r="AD400">
        <v>-88.440448000000004</v>
      </c>
      <c r="AE400" t="s">
        <v>4655</v>
      </c>
      <c r="AH400" t="s">
        <v>1715</v>
      </c>
      <c r="AI400" t="s">
        <v>63</v>
      </c>
      <c r="AJ400" t="s">
        <v>4656</v>
      </c>
      <c r="AK400">
        <v>194239</v>
      </c>
      <c r="AM400" t="s">
        <v>4657</v>
      </c>
      <c r="AN400" t="s">
        <v>4658</v>
      </c>
      <c r="AO400" t="s">
        <v>4659</v>
      </c>
      <c r="AP400" t="s">
        <v>68</v>
      </c>
      <c r="AR400" t="s">
        <v>4660</v>
      </c>
      <c r="AS400" t="s">
        <v>4661</v>
      </c>
      <c r="AT400" t="s">
        <v>4662</v>
      </c>
      <c r="AW400" s="14" t="s">
        <v>72</v>
      </c>
      <c r="AX400" s="14" t="s">
        <v>73</v>
      </c>
      <c r="AY400" s="14" t="s">
        <v>1723</v>
      </c>
    </row>
    <row r="401" spans="1:51" ht="15" customHeight="1" x14ac:dyDescent="0.4">
      <c r="A401" s="12">
        <v>3731</v>
      </c>
      <c r="B401" s="21" t="s">
        <v>4663</v>
      </c>
      <c r="C401" s="13" t="s">
        <v>4664</v>
      </c>
      <c r="D401" s="25" t="s">
        <v>4664</v>
      </c>
      <c r="E401" s="13"/>
      <c r="F401" s="41"/>
      <c r="G401" s="41"/>
      <c r="H401" s="41"/>
      <c r="I401" s="14" t="s">
        <v>49</v>
      </c>
      <c r="J401" s="15">
        <v>44764</v>
      </c>
      <c r="K401" t="s">
        <v>2719</v>
      </c>
      <c r="L401" t="s">
        <v>51</v>
      </c>
      <c r="M401" t="s">
        <v>52</v>
      </c>
      <c r="N401" t="s">
        <v>53</v>
      </c>
      <c r="O401" t="s">
        <v>574</v>
      </c>
      <c r="P401" t="s">
        <v>4571</v>
      </c>
      <c r="Q401" t="s">
        <v>56</v>
      </c>
      <c r="R401" s="21" t="s">
        <v>4572</v>
      </c>
      <c r="S401" s="21"/>
      <c r="T401" t="s">
        <v>4665</v>
      </c>
      <c r="U401" t="s">
        <v>4666</v>
      </c>
      <c r="X401" t="s">
        <v>1758</v>
      </c>
      <c r="Y401" t="s">
        <v>60</v>
      </c>
      <c r="AA401" s="15"/>
      <c r="AC401">
        <v>43.017806999999998</v>
      </c>
      <c r="AD401">
        <v>-88.440777999999995</v>
      </c>
      <c r="AE401" t="s">
        <v>4667</v>
      </c>
      <c r="AH401" t="s">
        <v>1715</v>
      </c>
      <c r="AI401" t="s">
        <v>63</v>
      </c>
      <c r="AJ401" t="s">
        <v>4668</v>
      </c>
      <c r="AK401">
        <v>194466</v>
      </c>
      <c r="AM401" t="s">
        <v>4669</v>
      </c>
      <c r="AN401" t="s">
        <v>4670</v>
      </c>
      <c r="AO401" t="s">
        <v>4671</v>
      </c>
      <c r="AP401" t="s">
        <v>68</v>
      </c>
      <c r="AR401" t="s">
        <v>4672</v>
      </c>
      <c r="AS401" t="s">
        <v>4673</v>
      </c>
      <c r="AT401" t="s">
        <v>4674</v>
      </c>
      <c r="AW401" s="14" t="s">
        <v>72</v>
      </c>
      <c r="AX401" s="14" t="s">
        <v>73</v>
      </c>
      <c r="AY401" s="14" t="s">
        <v>74</v>
      </c>
    </row>
    <row r="402" spans="1:51" ht="15" customHeight="1" x14ac:dyDescent="0.4">
      <c r="A402" s="12">
        <v>3732</v>
      </c>
      <c r="B402" s="21" t="s">
        <v>4675</v>
      </c>
      <c r="C402" s="13" t="s">
        <v>4676</v>
      </c>
      <c r="D402" s="25" t="s">
        <v>4676</v>
      </c>
      <c r="E402" s="13"/>
      <c r="F402" s="41"/>
      <c r="G402" s="41"/>
      <c r="H402" s="41"/>
      <c r="I402" s="14" t="s">
        <v>1878</v>
      </c>
      <c r="J402" s="15">
        <v>44764</v>
      </c>
      <c r="K402" t="s">
        <v>2719</v>
      </c>
      <c r="L402" t="s">
        <v>51</v>
      </c>
      <c r="M402" t="s">
        <v>52</v>
      </c>
      <c r="N402" t="s">
        <v>53</v>
      </c>
      <c r="O402" t="s">
        <v>574</v>
      </c>
      <c r="P402" t="s">
        <v>4571</v>
      </c>
      <c r="Q402" t="s">
        <v>56</v>
      </c>
      <c r="R402" s="21" t="s">
        <v>4572</v>
      </c>
      <c r="S402" s="21"/>
      <c r="T402" t="s">
        <v>4677</v>
      </c>
      <c r="U402" t="s">
        <v>4678</v>
      </c>
      <c r="Y402" t="s">
        <v>1881</v>
      </c>
      <c r="AA402" s="15"/>
      <c r="AC402">
        <v>43.017679999999999</v>
      </c>
      <c r="AD402">
        <v>-88.441062000000002</v>
      </c>
      <c r="AE402" t="s">
        <v>4679</v>
      </c>
      <c r="AH402" t="s">
        <v>1715</v>
      </c>
      <c r="AI402" t="s">
        <v>63</v>
      </c>
      <c r="AJ402" t="s">
        <v>4680</v>
      </c>
      <c r="AK402">
        <v>194215</v>
      </c>
      <c r="AM402" t="s">
        <v>4681</v>
      </c>
      <c r="AN402" t="s">
        <v>4682</v>
      </c>
      <c r="AO402" t="s">
        <v>4683</v>
      </c>
      <c r="AP402" t="s">
        <v>68</v>
      </c>
      <c r="AR402" t="s">
        <v>4684</v>
      </c>
      <c r="AS402" t="s">
        <v>4685</v>
      </c>
      <c r="AT402" t="s">
        <v>4686</v>
      </c>
      <c r="AW402" s="14" t="s">
        <v>72</v>
      </c>
      <c r="AX402" s="14" t="s">
        <v>73</v>
      </c>
      <c r="AY402" s="14" t="s">
        <v>1723</v>
      </c>
    </row>
    <row r="403" spans="1:51" ht="15" customHeight="1" x14ac:dyDescent="0.4">
      <c r="A403" s="12">
        <v>3733</v>
      </c>
      <c r="B403" s="21" t="s">
        <v>4687</v>
      </c>
      <c r="C403" s="13" t="s">
        <v>4688</v>
      </c>
      <c r="D403" s="25" t="s">
        <v>4688</v>
      </c>
      <c r="E403" s="13"/>
      <c r="F403" s="41"/>
      <c r="G403" s="41"/>
      <c r="H403" s="41"/>
      <c r="I403" s="14" t="s">
        <v>2222</v>
      </c>
      <c r="J403" s="15">
        <v>44768</v>
      </c>
      <c r="K403" t="s">
        <v>2719</v>
      </c>
      <c r="L403" t="s">
        <v>51</v>
      </c>
      <c r="M403" t="s">
        <v>52</v>
      </c>
      <c r="N403" t="s">
        <v>53</v>
      </c>
      <c r="O403" t="s">
        <v>1226</v>
      </c>
      <c r="P403" t="s">
        <v>4689</v>
      </c>
      <c r="Q403" t="s">
        <v>56</v>
      </c>
      <c r="R403" s="21" t="s">
        <v>4690</v>
      </c>
      <c r="S403" s="21"/>
      <c r="T403" t="s">
        <v>4691</v>
      </c>
      <c r="U403" t="s">
        <v>4692</v>
      </c>
      <c r="Y403" t="s">
        <v>2225</v>
      </c>
      <c r="AA403" s="15"/>
      <c r="AC403">
        <v>41.553216999999997</v>
      </c>
      <c r="AD403">
        <v>-84.361215000000001</v>
      </c>
      <c r="AE403" t="s">
        <v>4693</v>
      </c>
      <c r="AH403" t="s">
        <v>1715</v>
      </c>
      <c r="AI403" t="s">
        <v>63</v>
      </c>
      <c r="AJ403" t="s">
        <v>4694</v>
      </c>
      <c r="AK403">
        <v>192603</v>
      </c>
      <c r="AM403" t="s">
        <v>4695</v>
      </c>
      <c r="AN403" t="s">
        <v>4696</v>
      </c>
      <c r="AO403" t="s">
        <v>4697</v>
      </c>
      <c r="AP403" t="s">
        <v>68</v>
      </c>
      <c r="AR403" t="s">
        <v>4698</v>
      </c>
      <c r="AS403" t="s">
        <v>4699</v>
      </c>
      <c r="AT403" t="s">
        <v>4700</v>
      </c>
      <c r="AW403" s="14" t="s">
        <v>72</v>
      </c>
      <c r="AX403" s="14" t="s">
        <v>73</v>
      </c>
      <c r="AY403" s="14" t="s">
        <v>74</v>
      </c>
    </row>
    <row r="404" spans="1:51" ht="15" customHeight="1" x14ac:dyDescent="0.4">
      <c r="A404" s="12">
        <v>3734</v>
      </c>
      <c r="B404" s="21" t="s">
        <v>4701</v>
      </c>
      <c r="C404" s="13" t="s">
        <v>4702</v>
      </c>
      <c r="D404" s="25" t="s">
        <v>4702</v>
      </c>
      <c r="E404" s="13"/>
      <c r="F404" s="41"/>
      <c r="G404" s="41"/>
      <c r="H404" s="41"/>
      <c r="I404" s="14" t="s">
        <v>2222</v>
      </c>
      <c r="J404" s="15">
        <v>44768</v>
      </c>
      <c r="K404" t="s">
        <v>2719</v>
      </c>
      <c r="L404" t="s">
        <v>51</v>
      </c>
      <c r="M404" t="s">
        <v>52</v>
      </c>
      <c r="N404" t="s">
        <v>53</v>
      </c>
      <c r="O404" t="s">
        <v>1226</v>
      </c>
      <c r="P404" t="s">
        <v>4689</v>
      </c>
      <c r="Q404" t="s">
        <v>56</v>
      </c>
      <c r="R404" s="21" t="s">
        <v>4690</v>
      </c>
      <c r="S404" s="21"/>
      <c r="T404" t="s">
        <v>4703</v>
      </c>
      <c r="U404" t="s">
        <v>4704</v>
      </c>
      <c r="Y404" t="s">
        <v>2225</v>
      </c>
      <c r="AA404" s="15"/>
      <c r="AC404">
        <v>41.553038000000001</v>
      </c>
      <c r="AD404">
        <v>-84.361064999999996</v>
      </c>
      <c r="AE404" t="s">
        <v>4705</v>
      </c>
      <c r="AH404" t="s">
        <v>1715</v>
      </c>
      <c r="AI404" t="s">
        <v>63</v>
      </c>
      <c r="AJ404" t="s">
        <v>4706</v>
      </c>
      <c r="AK404">
        <v>192604</v>
      </c>
      <c r="AM404" t="s">
        <v>4707</v>
      </c>
      <c r="AN404" t="s">
        <v>4708</v>
      </c>
      <c r="AO404" t="s">
        <v>4709</v>
      </c>
      <c r="AP404" t="s">
        <v>68</v>
      </c>
      <c r="AR404" t="s">
        <v>4710</v>
      </c>
      <c r="AS404" t="s">
        <v>4711</v>
      </c>
      <c r="AT404" t="s">
        <v>4712</v>
      </c>
      <c r="AW404" s="14" t="s">
        <v>72</v>
      </c>
      <c r="AX404" s="14" t="s">
        <v>73</v>
      </c>
      <c r="AY404" s="14" t="s">
        <v>74</v>
      </c>
    </row>
    <row r="405" spans="1:51" ht="15" customHeight="1" x14ac:dyDescent="0.4">
      <c r="A405" s="12">
        <v>3735</v>
      </c>
      <c r="B405" s="21" t="s">
        <v>4713</v>
      </c>
      <c r="C405" s="13" t="s">
        <v>4714</v>
      </c>
      <c r="D405" s="25" t="s">
        <v>4714</v>
      </c>
      <c r="E405" s="13"/>
      <c r="F405" s="41"/>
      <c r="G405" s="41"/>
      <c r="H405" s="41"/>
      <c r="I405" s="14" t="s">
        <v>1829</v>
      </c>
      <c r="J405" s="15">
        <v>44768</v>
      </c>
      <c r="K405" t="s">
        <v>2719</v>
      </c>
      <c r="L405" t="s">
        <v>51</v>
      </c>
      <c r="M405" t="s">
        <v>52</v>
      </c>
      <c r="N405" t="s">
        <v>53</v>
      </c>
      <c r="O405" t="s">
        <v>1226</v>
      </c>
      <c r="P405" t="s">
        <v>4689</v>
      </c>
      <c r="Q405" t="s">
        <v>56</v>
      </c>
      <c r="R405" s="21" t="s">
        <v>4690</v>
      </c>
      <c r="S405" s="21"/>
      <c r="T405" t="s">
        <v>4715</v>
      </c>
      <c r="U405" t="s">
        <v>4716</v>
      </c>
      <c r="Y405" t="s">
        <v>1832</v>
      </c>
      <c r="AA405" s="15"/>
      <c r="AC405">
        <v>41.551110000000001</v>
      </c>
      <c r="AD405">
        <v>-84.358405000000005</v>
      </c>
      <c r="AE405" t="s">
        <v>4717</v>
      </c>
      <c r="AH405" t="s">
        <v>1715</v>
      </c>
      <c r="AI405" t="s">
        <v>63</v>
      </c>
      <c r="AJ405" t="s">
        <v>4718</v>
      </c>
      <c r="AK405">
        <v>194530</v>
      </c>
      <c r="AM405" t="s">
        <v>4719</v>
      </c>
      <c r="AN405" t="s">
        <v>4720</v>
      </c>
      <c r="AO405" t="s">
        <v>4721</v>
      </c>
      <c r="AP405" t="s">
        <v>68</v>
      </c>
      <c r="AR405" t="s">
        <v>4722</v>
      </c>
      <c r="AS405" t="s">
        <v>4723</v>
      </c>
      <c r="AT405" t="s">
        <v>4724</v>
      </c>
      <c r="AW405" s="14" t="s">
        <v>72</v>
      </c>
      <c r="AX405" s="14" t="s">
        <v>73</v>
      </c>
      <c r="AY405" s="14" t="s">
        <v>74</v>
      </c>
    </row>
    <row r="406" spans="1:51" ht="15" customHeight="1" x14ac:dyDescent="0.4">
      <c r="A406" s="12">
        <v>3736</v>
      </c>
      <c r="B406" s="21" t="s">
        <v>4725</v>
      </c>
      <c r="C406" s="13" t="s">
        <v>4726</v>
      </c>
      <c r="D406" s="25" t="s">
        <v>4726</v>
      </c>
      <c r="E406" s="13"/>
      <c r="F406" s="41"/>
      <c r="G406" s="41"/>
      <c r="H406" s="41"/>
      <c r="I406" s="14" t="s">
        <v>49</v>
      </c>
      <c r="J406" s="15">
        <v>44768</v>
      </c>
      <c r="K406" t="s">
        <v>2719</v>
      </c>
      <c r="L406" t="s">
        <v>51</v>
      </c>
      <c r="M406" t="s">
        <v>52</v>
      </c>
      <c r="N406" t="s">
        <v>53</v>
      </c>
      <c r="O406" t="s">
        <v>1226</v>
      </c>
      <c r="P406" t="s">
        <v>4689</v>
      </c>
      <c r="Q406" t="s">
        <v>56</v>
      </c>
      <c r="R406" s="21" t="s">
        <v>4690</v>
      </c>
      <c r="S406" s="21"/>
      <c r="T406" t="s">
        <v>4727</v>
      </c>
      <c r="U406" t="s">
        <v>4728</v>
      </c>
      <c r="Y406" t="s">
        <v>60</v>
      </c>
      <c r="AA406" s="15"/>
      <c r="AC406">
        <v>41.550873000000003</v>
      </c>
      <c r="AD406">
        <v>-84.356967999999995</v>
      </c>
      <c r="AE406" t="s">
        <v>4729</v>
      </c>
      <c r="AH406" t="s">
        <v>1715</v>
      </c>
      <c r="AI406" t="s">
        <v>63</v>
      </c>
      <c r="AJ406" t="s">
        <v>4730</v>
      </c>
      <c r="AK406">
        <v>194467</v>
      </c>
      <c r="AM406" t="s">
        <v>4731</v>
      </c>
      <c r="AN406" t="s">
        <v>4732</v>
      </c>
      <c r="AO406" t="s">
        <v>4733</v>
      </c>
      <c r="AP406" t="s">
        <v>68</v>
      </c>
      <c r="AR406" t="s">
        <v>4734</v>
      </c>
      <c r="AS406" t="s">
        <v>4735</v>
      </c>
      <c r="AT406" t="s">
        <v>4736</v>
      </c>
      <c r="AW406" s="14" t="s">
        <v>72</v>
      </c>
      <c r="AX406" s="14" t="s">
        <v>73</v>
      </c>
      <c r="AY406" s="14" t="s">
        <v>74</v>
      </c>
    </row>
    <row r="407" spans="1:51" ht="15" customHeight="1" x14ac:dyDescent="0.4">
      <c r="A407" s="12">
        <v>3737</v>
      </c>
      <c r="B407" s="21" t="s">
        <v>4737</v>
      </c>
      <c r="C407" s="13" t="s">
        <v>4738</v>
      </c>
      <c r="D407" s="25" t="s">
        <v>4738</v>
      </c>
      <c r="E407" s="13"/>
      <c r="F407" s="41"/>
      <c r="G407" s="41"/>
      <c r="H407" s="41"/>
      <c r="I407" s="14" t="s">
        <v>1829</v>
      </c>
      <c r="J407" s="15">
        <v>44768</v>
      </c>
      <c r="K407" t="s">
        <v>2719</v>
      </c>
      <c r="L407" t="s">
        <v>51</v>
      </c>
      <c r="M407" t="s">
        <v>52</v>
      </c>
      <c r="N407" t="s">
        <v>53</v>
      </c>
      <c r="O407" t="s">
        <v>1226</v>
      </c>
      <c r="P407" t="s">
        <v>4689</v>
      </c>
      <c r="Q407" t="s">
        <v>56</v>
      </c>
      <c r="R407" s="21" t="s">
        <v>4690</v>
      </c>
      <c r="S407" s="21"/>
      <c r="T407" t="s">
        <v>4739</v>
      </c>
      <c r="U407" t="s">
        <v>4740</v>
      </c>
      <c r="Y407" t="s">
        <v>1832</v>
      </c>
      <c r="AA407" s="15"/>
      <c r="AC407">
        <v>41.550806000000001</v>
      </c>
      <c r="AD407">
        <v>-84.356953000000004</v>
      </c>
      <c r="AE407" t="s">
        <v>4741</v>
      </c>
      <c r="AH407" t="s">
        <v>1715</v>
      </c>
      <c r="AI407" t="s">
        <v>63</v>
      </c>
      <c r="AJ407" t="s">
        <v>4742</v>
      </c>
      <c r="AK407">
        <v>194531</v>
      </c>
      <c r="AM407" t="s">
        <v>4743</v>
      </c>
      <c r="AN407" t="s">
        <v>4744</v>
      </c>
      <c r="AO407" t="s">
        <v>4745</v>
      </c>
      <c r="AP407" t="s">
        <v>68</v>
      </c>
      <c r="AR407" t="s">
        <v>4746</v>
      </c>
      <c r="AS407" t="s">
        <v>4747</v>
      </c>
      <c r="AT407" t="s">
        <v>4748</v>
      </c>
      <c r="AW407" s="14" t="s">
        <v>72</v>
      </c>
      <c r="AX407" s="14" t="s">
        <v>73</v>
      </c>
      <c r="AY407" s="14" t="s">
        <v>74</v>
      </c>
    </row>
    <row r="408" spans="1:51" ht="15" customHeight="1" x14ac:dyDescent="0.4">
      <c r="A408" s="12">
        <v>3738</v>
      </c>
      <c r="B408" s="21" t="s">
        <v>4749</v>
      </c>
      <c r="C408" s="13" t="s">
        <v>4750</v>
      </c>
      <c r="D408" s="25" t="s">
        <v>4750</v>
      </c>
      <c r="E408" s="13"/>
      <c r="F408" s="41"/>
      <c r="G408" s="41"/>
      <c r="H408" s="41"/>
      <c r="I408" s="14" t="s">
        <v>49</v>
      </c>
      <c r="J408" s="15">
        <v>44768</v>
      </c>
      <c r="K408" t="s">
        <v>2719</v>
      </c>
      <c r="L408" t="s">
        <v>51</v>
      </c>
      <c r="M408" t="s">
        <v>52</v>
      </c>
      <c r="N408" t="s">
        <v>53</v>
      </c>
      <c r="O408" t="s">
        <v>1226</v>
      </c>
      <c r="P408" t="s">
        <v>4689</v>
      </c>
      <c r="Q408" t="s">
        <v>56</v>
      </c>
      <c r="R408" s="21" t="s">
        <v>4690</v>
      </c>
      <c r="S408" s="21"/>
      <c r="T408" t="s">
        <v>4751</v>
      </c>
      <c r="U408" t="s">
        <v>4752</v>
      </c>
      <c r="Y408" t="s">
        <v>60</v>
      </c>
      <c r="AA408" s="15"/>
      <c r="AC408">
        <v>41.551419000000003</v>
      </c>
      <c r="AD408">
        <v>-84.355616999999995</v>
      </c>
      <c r="AE408" t="s">
        <v>4753</v>
      </c>
      <c r="AH408" t="s">
        <v>1715</v>
      </c>
      <c r="AI408" t="s">
        <v>63</v>
      </c>
      <c r="AJ408" t="s">
        <v>4754</v>
      </c>
      <c r="AK408">
        <v>192668</v>
      </c>
      <c r="AM408" t="s">
        <v>4755</v>
      </c>
      <c r="AN408" t="s">
        <v>4756</v>
      </c>
      <c r="AO408" t="s">
        <v>4757</v>
      </c>
      <c r="AP408" t="s">
        <v>68</v>
      </c>
      <c r="AR408" t="s">
        <v>4758</v>
      </c>
      <c r="AS408" t="s">
        <v>4759</v>
      </c>
      <c r="AT408" t="s">
        <v>4760</v>
      </c>
      <c r="AW408" s="14" t="s">
        <v>72</v>
      </c>
      <c r="AX408" s="14" t="s">
        <v>73</v>
      </c>
      <c r="AY408" s="14" t="s">
        <v>74</v>
      </c>
    </row>
    <row r="409" spans="1:51" ht="15" customHeight="1" x14ac:dyDescent="0.4">
      <c r="A409" s="12">
        <v>3739</v>
      </c>
      <c r="B409" s="21" t="s">
        <v>4761</v>
      </c>
      <c r="C409" s="13" t="s">
        <v>4762</v>
      </c>
      <c r="D409" s="25" t="s">
        <v>4762</v>
      </c>
      <c r="E409" s="13"/>
      <c r="F409" s="41"/>
      <c r="G409" s="41"/>
      <c r="H409" s="41"/>
      <c r="I409" s="14" t="s">
        <v>1878</v>
      </c>
      <c r="J409" s="15">
        <v>44768</v>
      </c>
      <c r="K409" t="s">
        <v>2719</v>
      </c>
      <c r="L409" t="s">
        <v>51</v>
      </c>
      <c r="M409" t="s">
        <v>52</v>
      </c>
      <c r="N409" t="s">
        <v>53</v>
      </c>
      <c r="O409" t="s">
        <v>1226</v>
      </c>
      <c r="P409" t="s">
        <v>4689</v>
      </c>
      <c r="Q409" t="s">
        <v>56</v>
      </c>
      <c r="R409" s="21" t="s">
        <v>4690</v>
      </c>
      <c r="S409" s="21"/>
      <c r="T409" t="s">
        <v>4739</v>
      </c>
      <c r="U409" t="s">
        <v>4763</v>
      </c>
      <c r="Y409" t="s">
        <v>1881</v>
      </c>
      <c r="AA409" s="15"/>
      <c r="AC409">
        <v>41.551786999999997</v>
      </c>
      <c r="AD409">
        <v>-84.355144999999993</v>
      </c>
      <c r="AE409" t="s">
        <v>2337</v>
      </c>
      <c r="AH409" t="s">
        <v>1715</v>
      </c>
      <c r="AI409" t="s">
        <v>63</v>
      </c>
      <c r="AJ409" t="s">
        <v>4764</v>
      </c>
      <c r="AK409">
        <v>194216</v>
      </c>
      <c r="AM409" t="s">
        <v>4765</v>
      </c>
      <c r="AN409" t="s">
        <v>4766</v>
      </c>
      <c r="AO409" t="s">
        <v>4767</v>
      </c>
      <c r="AP409" t="s">
        <v>68</v>
      </c>
      <c r="AR409" t="s">
        <v>4768</v>
      </c>
      <c r="AS409" t="s">
        <v>4769</v>
      </c>
      <c r="AT409" t="s">
        <v>4770</v>
      </c>
      <c r="AW409" s="14" t="s">
        <v>72</v>
      </c>
      <c r="AX409" s="14" t="s">
        <v>73</v>
      </c>
      <c r="AY409" s="14" t="s">
        <v>1723</v>
      </c>
    </row>
    <row r="410" spans="1:51" ht="15" customHeight="1" x14ac:dyDescent="0.4">
      <c r="A410" s="12">
        <v>3740</v>
      </c>
      <c r="B410" s="21" t="s">
        <v>4771</v>
      </c>
      <c r="C410" s="13" t="s">
        <v>4772</v>
      </c>
      <c r="D410" s="25" t="s">
        <v>4772</v>
      </c>
      <c r="E410" s="13"/>
      <c r="F410" s="41"/>
      <c r="G410" s="41"/>
      <c r="H410" s="41"/>
      <c r="I410" s="14" t="s">
        <v>49</v>
      </c>
      <c r="J410" s="15">
        <v>44768</v>
      </c>
      <c r="K410" t="s">
        <v>2719</v>
      </c>
      <c r="L410" t="s">
        <v>51</v>
      </c>
      <c r="M410" t="s">
        <v>52</v>
      </c>
      <c r="N410" t="s">
        <v>53</v>
      </c>
      <c r="O410" t="s">
        <v>1226</v>
      </c>
      <c r="P410" t="s">
        <v>4689</v>
      </c>
      <c r="Q410" t="s">
        <v>56</v>
      </c>
      <c r="R410" s="21" t="s">
        <v>4690</v>
      </c>
      <c r="S410" s="21"/>
      <c r="T410" t="s">
        <v>4773</v>
      </c>
      <c r="U410" t="s">
        <v>4774</v>
      </c>
      <c r="Y410" t="s">
        <v>60</v>
      </c>
      <c r="AA410" s="15"/>
      <c r="AC410">
        <v>41.551718999999999</v>
      </c>
      <c r="AD410">
        <v>-84.354975999999994</v>
      </c>
      <c r="AE410" t="s">
        <v>4729</v>
      </c>
      <c r="AH410" t="s">
        <v>1715</v>
      </c>
      <c r="AI410" t="s">
        <v>63</v>
      </c>
      <c r="AJ410" t="s">
        <v>4775</v>
      </c>
      <c r="AK410">
        <v>194462</v>
      </c>
      <c r="AM410" t="s">
        <v>4776</v>
      </c>
      <c r="AN410" t="s">
        <v>4777</v>
      </c>
      <c r="AO410" t="s">
        <v>4778</v>
      </c>
      <c r="AP410" t="s">
        <v>68</v>
      </c>
      <c r="AR410" t="s">
        <v>4779</v>
      </c>
      <c r="AS410" t="s">
        <v>4780</v>
      </c>
      <c r="AT410" t="s">
        <v>4781</v>
      </c>
      <c r="AW410" s="14" t="s">
        <v>72</v>
      </c>
      <c r="AX410" s="14" t="s">
        <v>73</v>
      </c>
      <c r="AY410" s="14" t="s">
        <v>74</v>
      </c>
    </row>
    <row r="411" spans="1:51" ht="15" customHeight="1" x14ac:dyDescent="0.4">
      <c r="A411" s="12">
        <v>3741</v>
      </c>
      <c r="B411" s="21" t="s">
        <v>4782</v>
      </c>
      <c r="C411" s="13" t="s">
        <v>4783</v>
      </c>
      <c r="D411" s="25" t="s">
        <v>4783</v>
      </c>
      <c r="E411" s="13"/>
      <c r="F411" s="41"/>
      <c r="G411" s="41"/>
      <c r="H411" s="41"/>
      <c r="I411" s="14" t="s">
        <v>1878</v>
      </c>
      <c r="J411" s="15">
        <v>44768</v>
      </c>
      <c r="K411" t="s">
        <v>2719</v>
      </c>
      <c r="L411" t="s">
        <v>51</v>
      </c>
      <c r="M411" t="s">
        <v>52</v>
      </c>
      <c r="N411" t="s">
        <v>53</v>
      </c>
      <c r="O411" t="s">
        <v>1226</v>
      </c>
      <c r="P411" t="s">
        <v>4689</v>
      </c>
      <c r="Q411" t="s">
        <v>56</v>
      </c>
      <c r="R411" s="21" t="s">
        <v>4690</v>
      </c>
      <c r="S411" s="21"/>
      <c r="T411" t="s">
        <v>4784</v>
      </c>
      <c r="U411" t="s">
        <v>4785</v>
      </c>
      <c r="Y411" t="s">
        <v>1881</v>
      </c>
      <c r="AA411" s="15"/>
      <c r="AC411">
        <v>41.551887000000001</v>
      </c>
      <c r="AD411">
        <v>-84.354708000000002</v>
      </c>
      <c r="AE411" t="s">
        <v>4786</v>
      </c>
      <c r="AH411" t="s">
        <v>1715</v>
      </c>
      <c r="AI411" t="s">
        <v>63</v>
      </c>
      <c r="AJ411" t="s">
        <v>4787</v>
      </c>
      <c r="AK411">
        <v>194217</v>
      </c>
      <c r="AM411" t="s">
        <v>4788</v>
      </c>
      <c r="AN411" t="s">
        <v>4789</v>
      </c>
      <c r="AO411" t="s">
        <v>4790</v>
      </c>
      <c r="AP411" t="s">
        <v>68</v>
      </c>
      <c r="AR411" t="s">
        <v>4791</v>
      </c>
      <c r="AS411" t="s">
        <v>4792</v>
      </c>
      <c r="AT411" t="s">
        <v>4793</v>
      </c>
      <c r="AW411" s="14" t="s">
        <v>72</v>
      </c>
      <c r="AX411" s="14" t="s">
        <v>73</v>
      </c>
      <c r="AY411" s="14" t="s">
        <v>1723</v>
      </c>
    </row>
    <row r="412" spans="1:51" ht="15" customHeight="1" x14ac:dyDescent="0.4">
      <c r="A412" s="12">
        <v>3742</v>
      </c>
      <c r="B412" s="21" t="s">
        <v>4794</v>
      </c>
      <c r="C412" s="13" t="s">
        <v>4795</v>
      </c>
      <c r="D412" s="25" t="s">
        <v>4795</v>
      </c>
      <c r="E412" s="13"/>
      <c r="F412" s="41"/>
      <c r="G412" s="41"/>
      <c r="H412" s="41"/>
      <c r="I412" s="14" t="s">
        <v>49</v>
      </c>
      <c r="J412" s="15">
        <v>44768</v>
      </c>
      <c r="K412" t="s">
        <v>2719</v>
      </c>
      <c r="L412" t="s">
        <v>51</v>
      </c>
      <c r="M412" t="s">
        <v>52</v>
      </c>
      <c r="N412" t="s">
        <v>53</v>
      </c>
      <c r="O412" t="s">
        <v>1226</v>
      </c>
      <c r="P412" t="s">
        <v>4689</v>
      </c>
      <c r="Q412" t="s">
        <v>56</v>
      </c>
      <c r="R412" s="21" t="s">
        <v>4690</v>
      </c>
      <c r="S412" s="21"/>
      <c r="T412" t="s">
        <v>4784</v>
      </c>
      <c r="U412" t="s">
        <v>4796</v>
      </c>
      <c r="Y412" t="s">
        <v>60</v>
      </c>
      <c r="AA412" s="15"/>
      <c r="AC412">
        <v>41.551873999999998</v>
      </c>
      <c r="AD412">
        <v>-84.354208</v>
      </c>
      <c r="AE412" t="s">
        <v>4797</v>
      </c>
      <c r="AH412" t="s">
        <v>1715</v>
      </c>
      <c r="AI412" t="s">
        <v>63</v>
      </c>
      <c r="AJ412" t="s">
        <v>4798</v>
      </c>
      <c r="AK412">
        <v>194461</v>
      </c>
      <c r="AM412" t="s">
        <v>4799</v>
      </c>
      <c r="AN412" t="s">
        <v>4800</v>
      </c>
      <c r="AO412" t="s">
        <v>4801</v>
      </c>
      <c r="AP412" t="s">
        <v>68</v>
      </c>
      <c r="AR412" t="s">
        <v>4802</v>
      </c>
      <c r="AS412" t="s">
        <v>4803</v>
      </c>
      <c r="AT412" t="s">
        <v>4804</v>
      </c>
      <c r="AW412" s="14" t="s">
        <v>72</v>
      </c>
      <c r="AX412" s="14" t="s">
        <v>73</v>
      </c>
      <c r="AY412" s="14" t="s">
        <v>74</v>
      </c>
    </row>
    <row r="413" spans="1:51" ht="15" customHeight="1" x14ac:dyDescent="0.4">
      <c r="A413" s="12">
        <v>3743</v>
      </c>
      <c r="B413" s="21" t="s">
        <v>4805</v>
      </c>
      <c r="C413" s="13" t="s">
        <v>4806</v>
      </c>
      <c r="D413" s="25" t="s">
        <v>4806</v>
      </c>
      <c r="E413" s="13"/>
      <c r="F413" s="41"/>
      <c r="G413" s="41"/>
      <c r="H413" s="41"/>
      <c r="I413" s="14" t="s">
        <v>49</v>
      </c>
      <c r="J413" s="15">
        <v>44768</v>
      </c>
      <c r="K413" t="s">
        <v>2719</v>
      </c>
      <c r="L413" t="s">
        <v>51</v>
      </c>
      <c r="M413" t="s">
        <v>52</v>
      </c>
      <c r="N413" t="s">
        <v>53</v>
      </c>
      <c r="O413" t="s">
        <v>1226</v>
      </c>
      <c r="P413" t="s">
        <v>4689</v>
      </c>
      <c r="Q413" t="s">
        <v>56</v>
      </c>
      <c r="R413" s="21" t="s">
        <v>4690</v>
      </c>
      <c r="S413" s="21"/>
      <c r="T413" t="s">
        <v>4739</v>
      </c>
      <c r="U413" t="s">
        <v>4807</v>
      </c>
      <c r="Y413" t="s">
        <v>60</v>
      </c>
      <c r="AA413" s="15"/>
      <c r="AC413">
        <v>41.552622</v>
      </c>
      <c r="AD413">
        <v>-84.353673000000001</v>
      </c>
      <c r="AE413" t="s">
        <v>4808</v>
      </c>
      <c r="AH413" t="s">
        <v>1715</v>
      </c>
      <c r="AI413" t="s">
        <v>63</v>
      </c>
      <c r="AJ413" t="s">
        <v>4809</v>
      </c>
      <c r="AK413">
        <v>192667</v>
      </c>
      <c r="AM413" t="s">
        <v>4810</v>
      </c>
      <c r="AN413" t="s">
        <v>4811</v>
      </c>
      <c r="AO413" t="s">
        <v>4812</v>
      </c>
      <c r="AP413" t="s">
        <v>68</v>
      </c>
      <c r="AR413" t="s">
        <v>4813</v>
      </c>
      <c r="AS413" t="s">
        <v>4814</v>
      </c>
      <c r="AT413" t="s">
        <v>4815</v>
      </c>
      <c r="AW413" s="14" t="s">
        <v>72</v>
      </c>
      <c r="AX413" s="14" t="s">
        <v>73</v>
      </c>
      <c r="AY413" s="14" t="s">
        <v>74</v>
      </c>
    </row>
    <row r="414" spans="1:51" ht="15" customHeight="1" x14ac:dyDescent="0.4">
      <c r="A414" s="12">
        <v>3744</v>
      </c>
      <c r="B414" s="21" t="s">
        <v>4816</v>
      </c>
      <c r="C414" s="13" t="s">
        <v>4817</v>
      </c>
      <c r="D414" s="25" t="s">
        <v>4817</v>
      </c>
      <c r="E414" s="13"/>
      <c r="F414" s="41"/>
      <c r="G414" s="41"/>
      <c r="H414" s="41"/>
      <c r="I414" s="14" t="s">
        <v>1829</v>
      </c>
      <c r="J414" s="15">
        <v>44768</v>
      </c>
      <c r="K414" t="s">
        <v>2719</v>
      </c>
      <c r="L414" t="s">
        <v>51</v>
      </c>
      <c r="M414" t="s">
        <v>52</v>
      </c>
      <c r="N414" t="s">
        <v>53</v>
      </c>
      <c r="O414" t="s">
        <v>1226</v>
      </c>
      <c r="P414" t="s">
        <v>4689</v>
      </c>
      <c r="Q414" t="s">
        <v>56</v>
      </c>
      <c r="R414" s="21" t="s">
        <v>4690</v>
      </c>
      <c r="S414" s="21"/>
      <c r="T414" t="s">
        <v>4818</v>
      </c>
      <c r="U414" t="s">
        <v>4819</v>
      </c>
      <c r="Y414" t="s">
        <v>1832</v>
      </c>
      <c r="AA414" s="15"/>
      <c r="AC414">
        <v>41.553659000000003</v>
      </c>
      <c r="AD414">
        <v>-84.353269999999995</v>
      </c>
      <c r="AE414" t="s">
        <v>4820</v>
      </c>
      <c r="AH414" t="s">
        <v>1715</v>
      </c>
      <c r="AI414" t="s">
        <v>63</v>
      </c>
      <c r="AJ414" t="s">
        <v>4821</v>
      </c>
      <c r="AK414">
        <v>194532</v>
      </c>
      <c r="AM414" t="s">
        <v>4822</v>
      </c>
      <c r="AN414" t="s">
        <v>4823</v>
      </c>
      <c r="AO414" t="s">
        <v>4824</v>
      </c>
      <c r="AP414" t="s">
        <v>68</v>
      </c>
      <c r="AQ414" t="s">
        <v>4825</v>
      </c>
      <c r="AR414" t="s">
        <v>4826</v>
      </c>
      <c r="AS414" t="s">
        <v>4827</v>
      </c>
      <c r="AT414" t="s">
        <v>4828</v>
      </c>
      <c r="AU414" s="31" t="s">
        <v>4829</v>
      </c>
      <c r="AW414" s="14" t="s">
        <v>72</v>
      </c>
      <c r="AX414" s="14" t="s">
        <v>73</v>
      </c>
      <c r="AY414" s="14" t="s">
        <v>74</v>
      </c>
    </row>
    <row r="415" spans="1:51" ht="15" customHeight="1" x14ac:dyDescent="0.4">
      <c r="A415" s="12">
        <v>3745</v>
      </c>
      <c r="B415" s="21" t="s">
        <v>4830</v>
      </c>
      <c r="C415" s="13" t="s">
        <v>4831</v>
      </c>
      <c r="D415" s="25" t="s">
        <v>4831</v>
      </c>
      <c r="E415" s="13"/>
      <c r="F415" s="41"/>
      <c r="G415" s="41"/>
      <c r="H415" s="41"/>
      <c r="I415" s="14" t="s">
        <v>1878</v>
      </c>
      <c r="J415" s="15">
        <v>44768</v>
      </c>
      <c r="K415" t="s">
        <v>2719</v>
      </c>
      <c r="L415" t="s">
        <v>51</v>
      </c>
      <c r="M415" t="s">
        <v>52</v>
      </c>
      <c r="N415" t="s">
        <v>53</v>
      </c>
      <c r="O415" t="s">
        <v>1226</v>
      </c>
      <c r="P415" t="s">
        <v>4689</v>
      </c>
      <c r="Q415" t="s">
        <v>56</v>
      </c>
      <c r="R415" s="21" t="s">
        <v>4690</v>
      </c>
      <c r="S415" s="21"/>
      <c r="T415" t="s">
        <v>4784</v>
      </c>
      <c r="U415" t="s">
        <v>4832</v>
      </c>
      <c r="Y415" t="s">
        <v>1881</v>
      </c>
      <c r="AA415" s="15"/>
      <c r="AC415">
        <v>41.554231999999999</v>
      </c>
      <c r="AD415">
        <v>-84.356245000000001</v>
      </c>
      <c r="AE415" t="s">
        <v>2273</v>
      </c>
      <c r="AH415" t="s">
        <v>1715</v>
      </c>
      <c r="AI415" t="s">
        <v>63</v>
      </c>
      <c r="AJ415" t="s">
        <v>4833</v>
      </c>
      <c r="AK415">
        <v>194218</v>
      </c>
      <c r="AM415" t="s">
        <v>4834</v>
      </c>
      <c r="AN415" t="s">
        <v>4835</v>
      </c>
      <c r="AO415" t="s">
        <v>4836</v>
      </c>
      <c r="AP415" t="s">
        <v>68</v>
      </c>
      <c r="AR415" t="s">
        <v>4837</v>
      </c>
      <c r="AS415" t="s">
        <v>4838</v>
      </c>
      <c r="AT415" t="s">
        <v>4839</v>
      </c>
      <c r="AW415" s="14" t="s">
        <v>72</v>
      </c>
      <c r="AX415" s="14" t="s">
        <v>73</v>
      </c>
      <c r="AY415" s="14" t="s">
        <v>1723</v>
      </c>
    </row>
    <row r="416" spans="1:51" ht="15" customHeight="1" x14ac:dyDescent="0.4">
      <c r="A416" s="12">
        <v>3746</v>
      </c>
      <c r="B416" s="21" t="s">
        <v>4840</v>
      </c>
      <c r="C416" s="13" t="s">
        <v>4841</v>
      </c>
      <c r="D416" s="25" t="s">
        <v>4841</v>
      </c>
      <c r="E416" s="13"/>
      <c r="F416" s="41"/>
      <c r="G416" s="41"/>
      <c r="H416" s="41"/>
      <c r="I416" s="14" t="s">
        <v>1829</v>
      </c>
      <c r="J416" s="15">
        <v>44768</v>
      </c>
      <c r="K416" t="s">
        <v>2719</v>
      </c>
      <c r="L416" t="s">
        <v>51</v>
      </c>
      <c r="M416" t="s">
        <v>52</v>
      </c>
      <c r="N416" t="s">
        <v>53</v>
      </c>
      <c r="O416" t="s">
        <v>1226</v>
      </c>
      <c r="P416" t="s">
        <v>4689</v>
      </c>
      <c r="Q416" t="s">
        <v>56</v>
      </c>
      <c r="R416" s="21" t="s">
        <v>4690</v>
      </c>
      <c r="S416" s="21"/>
      <c r="T416" t="s">
        <v>4739</v>
      </c>
      <c r="U416" t="s">
        <v>4842</v>
      </c>
      <c r="Y416" t="s">
        <v>1832</v>
      </c>
      <c r="AA416" s="15"/>
      <c r="AC416">
        <v>41.551442999999999</v>
      </c>
      <c r="AD416">
        <v>-84.357894000000002</v>
      </c>
      <c r="AE416" t="s">
        <v>478</v>
      </c>
      <c r="AH416" t="s">
        <v>1715</v>
      </c>
      <c r="AI416" t="s">
        <v>63</v>
      </c>
      <c r="AJ416" t="s">
        <v>4843</v>
      </c>
      <c r="AK416">
        <v>194533</v>
      </c>
      <c r="AM416" t="s">
        <v>4844</v>
      </c>
      <c r="AN416" t="s">
        <v>4845</v>
      </c>
      <c r="AO416" t="s">
        <v>4846</v>
      </c>
      <c r="AP416" t="s">
        <v>68</v>
      </c>
      <c r="AR416" t="s">
        <v>4847</v>
      </c>
      <c r="AS416" t="s">
        <v>4848</v>
      </c>
      <c r="AT416" t="s">
        <v>4849</v>
      </c>
      <c r="AW416" s="14" t="s">
        <v>72</v>
      </c>
      <c r="AX416" s="14" t="s">
        <v>73</v>
      </c>
      <c r="AY416" s="14" t="s">
        <v>74</v>
      </c>
    </row>
    <row r="417" spans="1:51" ht="15" customHeight="1" x14ac:dyDescent="0.4">
      <c r="A417" s="12">
        <v>3747</v>
      </c>
      <c r="B417" s="21" t="s">
        <v>4850</v>
      </c>
      <c r="C417" s="13" t="s">
        <v>4851</v>
      </c>
      <c r="D417" s="25" t="s">
        <v>4851</v>
      </c>
      <c r="E417" s="13"/>
      <c r="F417" s="41"/>
      <c r="G417" s="41"/>
      <c r="H417" s="41"/>
      <c r="I417" s="14" t="s">
        <v>1878</v>
      </c>
      <c r="J417" s="15">
        <v>44768</v>
      </c>
      <c r="K417" t="s">
        <v>2719</v>
      </c>
      <c r="L417" t="s">
        <v>51</v>
      </c>
      <c r="M417" t="s">
        <v>52</v>
      </c>
      <c r="N417" t="s">
        <v>53</v>
      </c>
      <c r="O417" t="s">
        <v>1226</v>
      </c>
      <c r="P417" t="s">
        <v>4689</v>
      </c>
      <c r="Q417" t="s">
        <v>56</v>
      </c>
      <c r="R417" s="21" t="s">
        <v>4690</v>
      </c>
      <c r="S417" s="21"/>
      <c r="T417" t="s">
        <v>4852</v>
      </c>
      <c r="U417" t="s">
        <v>4853</v>
      </c>
      <c r="Y417" t="s">
        <v>1881</v>
      </c>
      <c r="AA417" s="15"/>
      <c r="AC417">
        <v>41.553426000000002</v>
      </c>
      <c r="AD417">
        <v>-84.358202000000006</v>
      </c>
      <c r="AE417" t="s">
        <v>4854</v>
      </c>
      <c r="AH417" t="s">
        <v>1715</v>
      </c>
      <c r="AI417" t="s">
        <v>63</v>
      </c>
      <c r="AJ417" t="s">
        <v>4855</v>
      </c>
      <c r="AK417">
        <v>194219</v>
      </c>
      <c r="AM417" t="s">
        <v>4856</v>
      </c>
      <c r="AN417" t="s">
        <v>4857</v>
      </c>
      <c r="AO417" t="s">
        <v>4858</v>
      </c>
      <c r="AP417" t="s">
        <v>68</v>
      </c>
      <c r="AR417" t="s">
        <v>4859</v>
      </c>
      <c r="AS417" t="s">
        <v>4860</v>
      </c>
      <c r="AT417" t="s">
        <v>4861</v>
      </c>
      <c r="AW417" s="14" t="s">
        <v>72</v>
      </c>
      <c r="AX417" s="14" t="s">
        <v>73</v>
      </c>
      <c r="AY417" s="14" t="s">
        <v>1723</v>
      </c>
    </row>
    <row r="418" spans="1:51" ht="15" customHeight="1" x14ac:dyDescent="0.4">
      <c r="A418" s="12">
        <v>3748</v>
      </c>
      <c r="B418" s="21" t="s">
        <v>4862</v>
      </c>
      <c r="C418" s="13" t="s">
        <v>4863</v>
      </c>
      <c r="D418" s="25" t="s">
        <v>4863</v>
      </c>
      <c r="E418" s="13"/>
      <c r="F418" s="41"/>
      <c r="G418" s="41"/>
      <c r="H418" s="41"/>
      <c r="I418" s="14" t="s">
        <v>3090</v>
      </c>
      <c r="J418" s="15">
        <v>44769</v>
      </c>
      <c r="K418" t="s">
        <v>2719</v>
      </c>
      <c r="L418" t="s">
        <v>51</v>
      </c>
      <c r="M418" t="s">
        <v>52</v>
      </c>
      <c r="N418" t="s">
        <v>53</v>
      </c>
      <c r="O418" t="s">
        <v>871</v>
      </c>
      <c r="P418" t="s">
        <v>4864</v>
      </c>
      <c r="Q418" t="s">
        <v>56</v>
      </c>
      <c r="R418" s="21" t="s">
        <v>4865</v>
      </c>
      <c r="S418" s="21"/>
      <c r="T418" t="s">
        <v>4866</v>
      </c>
      <c r="U418" t="s">
        <v>4867</v>
      </c>
      <c r="Y418" t="s">
        <v>3096</v>
      </c>
      <c r="AA418" s="15"/>
      <c r="AC418">
        <v>42.413184000000001</v>
      </c>
      <c r="AD418">
        <v>-83.988669000000002</v>
      </c>
      <c r="AE418" t="s">
        <v>4868</v>
      </c>
      <c r="AH418" t="s">
        <v>1715</v>
      </c>
      <c r="AI418" t="s">
        <v>63</v>
      </c>
      <c r="AJ418" t="s">
        <v>4869</v>
      </c>
      <c r="AK418">
        <v>194559</v>
      </c>
      <c r="AM418" t="s">
        <v>4870</v>
      </c>
      <c r="AN418" t="s">
        <v>4871</v>
      </c>
      <c r="AO418" t="s">
        <v>4872</v>
      </c>
      <c r="AP418" t="s">
        <v>68</v>
      </c>
      <c r="AR418" t="s">
        <v>4873</v>
      </c>
      <c r="AS418" t="s">
        <v>4874</v>
      </c>
      <c r="AT418" t="s">
        <v>4875</v>
      </c>
      <c r="AW418" s="14" t="s">
        <v>72</v>
      </c>
      <c r="AX418" s="14" t="s">
        <v>73</v>
      </c>
      <c r="AY418" s="14" t="s">
        <v>74</v>
      </c>
    </row>
    <row r="419" spans="1:51" ht="15" customHeight="1" x14ac:dyDescent="0.4">
      <c r="A419" s="12">
        <v>3749</v>
      </c>
      <c r="B419" s="21" t="s">
        <v>4876</v>
      </c>
      <c r="C419" s="13" t="s">
        <v>4877</v>
      </c>
      <c r="D419" s="25" t="s">
        <v>4877</v>
      </c>
      <c r="E419" s="13"/>
      <c r="F419" s="41"/>
      <c r="G419" s="41"/>
      <c r="H419" s="41"/>
      <c r="I419" s="14" t="s">
        <v>3090</v>
      </c>
      <c r="J419" s="15">
        <v>44769</v>
      </c>
      <c r="K419" t="s">
        <v>2719</v>
      </c>
      <c r="L419" t="s">
        <v>51</v>
      </c>
      <c r="M419" t="s">
        <v>52</v>
      </c>
      <c r="N419" t="s">
        <v>53</v>
      </c>
      <c r="O419" t="s">
        <v>871</v>
      </c>
      <c r="P419" t="s">
        <v>4864</v>
      </c>
      <c r="Q419" t="s">
        <v>56</v>
      </c>
      <c r="R419" s="21" t="s">
        <v>4865</v>
      </c>
      <c r="S419" s="21"/>
      <c r="T419" t="s">
        <v>4878</v>
      </c>
      <c r="U419" t="s">
        <v>4879</v>
      </c>
      <c r="X419" t="s">
        <v>1758</v>
      </c>
      <c r="Y419" t="s">
        <v>3096</v>
      </c>
      <c r="AA419" s="15"/>
      <c r="AC419">
        <v>42.412661</v>
      </c>
      <c r="AD419">
        <v>-83.988339999999994</v>
      </c>
      <c r="AE419" t="s">
        <v>4880</v>
      </c>
      <c r="AH419" t="s">
        <v>1715</v>
      </c>
      <c r="AI419" t="s">
        <v>63</v>
      </c>
      <c r="AJ419" t="s">
        <v>4881</v>
      </c>
      <c r="AK419">
        <v>194558</v>
      </c>
      <c r="AM419" t="s">
        <v>4882</v>
      </c>
      <c r="AN419" t="s">
        <v>4883</v>
      </c>
      <c r="AO419" t="s">
        <v>4884</v>
      </c>
      <c r="AP419" t="s">
        <v>68</v>
      </c>
      <c r="AR419" t="s">
        <v>4885</v>
      </c>
      <c r="AS419" t="s">
        <v>4886</v>
      </c>
      <c r="AT419" t="s">
        <v>4887</v>
      </c>
      <c r="AW419" s="14" t="s">
        <v>72</v>
      </c>
      <c r="AX419" s="14" t="s">
        <v>73</v>
      </c>
      <c r="AY419" s="14" t="s">
        <v>74</v>
      </c>
    </row>
    <row r="420" spans="1:51" ht="15" customHeight="1" x14ac:dyDescent="0.4">
      <c r="A420" s="12">
        <v>3750</v>
      </c>
      <c r="B420" s="21" t="s">
        <v>4888</v>
      </c>
      <c r="C420" s="13" t="s">
        <v>4889</v>
      </c>
      <c r="D420" s="25" t="s">
        <v>4889</v>
      </c>
      <c r="E420" s="13"/>
      <c r="F420" s="41"/>
      <c r="G420" s="41"/>
      <c r="H420" s="41"/>
      <c r="I420" s="14" t="s">
        <v>3090</v>
      </c>
      <c r="J420" s="15">
        <v>44769</v>
      </c>
      <c r="K420" t="s">
        <v>2719</v>
      </c>
      <c r="L420" t="s">
        <v>51</v>
      </c>
      <c r="M420" t="s">
        <v>52</v>
      </c>
      <c r="N420" t="s">
        <v>53</v>
      </c>
      <c r="O420" t="s">
        <v>871</v>
      </c>
      <c r="P420" t="s">
        <v>4864</v>
      </c>
      <c r="Q420" t="s">
        <v>56</v>
      </c>
      <c r="R420" s="21" t="s">
        <v>4865</v>
      </c>
      <c r="S420" s="21"/>
      <c r="T420" t="s">
        <v>4890</v>
      </c>
      <c r="U420" t="s">
        <v>4891</v>
      </c>
      <c r="X420" t="s">
        <v>1758</v>
      </c>
      <c r="Y420" t="s">
        <v>3096</v>
      </c>
      <c r="AA420" s="15"/>
      <c r="AC420">
        <v>42.412246000000003</v>
      </c>
      <c r="AD420">
        <v>-83.988105000000004</v>
      </c>
      <c r="AE420" t="s">
        <v>4892</v>
      </c>
      <c r="AH420" t="s">
        <v>1715</v>
      </c>
      <c r="AI420" t="s">
        <v>63</v>
      </c>
      <c r="AJ420" t="s">
        <v>4893</v>
      </c>
      <c r="AK420">
        <v>194557</v>
      </c>
      <c r="AM420" t="s">
        <v>4894</v>
      </c>
      <c r="AN420" t="s">
        <v>4895</v>
      </c>
      <c r="AO420" t="s">
        <v>4896</v>
      </c>
      <c r="AP420" t="s">
        <v>68</v>
      </c>
      <c r="AR420" t="s">
        <v>4897</v>
      </c>
      <c r="AS420" t="s">
        <v>4898</v>
      </c>
      <c r="AT420" t="s">
        <v>4899</v>
      </c>
      <c r="AW420" s="14" t="s">
        <v>72</v>
      </c>
      <c r="AX420" s="14" t="s">
        <v>73</v>
      </c>
      <c r="AY420" s="14" t="s">
        <v>74</v>
      </c>
    </row>
    <row r="421" spans="1:51" ht="15" customHeight="1" x14ac:dyDescent="0.4">
      <c r="A421" s="12">
        <v>3751</v>
      </c>
      <c r="B421" s="21" t="s">
        <v>4900</v>
      </c>
      <c r="C421" s="13" t="s">
        <v>4901</v>
      </c>
      <c r="D421" s="25" t="s">
        <v>4901</v>
      </c>
      <c r="E421" s="13"/>
      <c r="F421" s="41"/>
      <c r="G421" s="41"/>
      <c r="H421" s="41"/>
      <c r="I421" s="14" t="s">
        <v>3090</v>
      </c>
      <c r="J421" s="15">
        <v>44769</v>
      </c>
      <c r="K421" t="s">
        <v>2719</v>
      </c>
      <c r="L421" t="s">
        <v>51</v>
      </c>
      <c r="M421" t="s">
        <v>52</v>
      </c>
      <c r="N421" t="s">
        <v>53</v>
      </c>
      <c r="O421" t="s">
        <v>871</v>
      </c>
      <c r="P421" t="s">
        <v>4864</v>
      </c>
      <c r="Q421" t="s">
        <v>56</v>
      </c>
      <c r="R421" s="21" t="s">
        <v>4865</v>
      </c>
      <c r="S421" s="21"/>
      <c r="T421" t="s">
        <v>4902</v>
      </c>
      <c r="U421" t="s">
        <v>4903</v>
      </c>
      <c r="X421" t="s">
        <v>1758</v>
      </c>
      <c r="Y421" t="s">
        <v>3096</v>
      </c>
      <c r="AA421" s="15"/>
      <c r="AC421">
        <v>42.411929999999998</v>
      </c>
      <c r="AD421">
        <v>-83.987283000000005</v>
      </c>
      <c r="AE421" t="s">
        <v>4904</v>
      </c>
      <c r="AH421" t="s">
        <v>1715</v>
      </c>
      <c r="AI421" t="s">
        <v>63</v>
      </c>
      <c r="AJ421" t="s">
        <v>4905</v>
      </c>
      <c r="AK421">
        <v>194556</v>
      </c>
      <c r="AM421" t="s">
        <v>4906</v>
      </c>
      <c r="AN421" t="s">
        <v>4907</v>
      </c>
      <c r="AO421" t="s">
        <v>4908</v>
      </c>
      <c r="AP421" t="s">
        <v>68</v>
      </c>
      <c r="AR421" t="s">
        <v>4909</v>
      </c>
      <c r="AS421" t="s">
        <v>4910</v>
      </c>
      <c r="AT421" t="s">
        <v>4911</v>
      </c>
      <c r="AW421" s="14" t="s">
        <v>72</v>
      </c>
      <c r="AX421" s="14" t="s">
        <v>73</v>
      </c>
      <c r="AY421" s="14" t="s">
        <v>74</v>
      </c>
    </row>
    <row r="422" spans="1:51" ht="15" customHeight="1" x14ac:dyDescent="0.4">
      <c r="A422" s="12">
        <v>3752</v>
      </c>
      <c r="B422" s="21" t="s">
        <v>4912</v>
      </c>
      <c r="C422" s="13" t="s">
        <v>4913</v>
      </c>
      <c r="D422" s="25" t="s">
        <v>4913</v>
      </c>
      <c r="E422" s="13"/>
      <c r="F422" s="41"/>
      <c r="G422" s="41"/>
      <c r="H422" s="41"/>
      <c r="I422" s="14" t="s">
        <v>1878</v>
      </c>
      <c r="J422" s="15">
        <v>44769</v>
      </c>
      <c r="K422" t="s">
        <v>2719</v>
      </c>
      <c r="L422" t="s">
        <v>51</v>
      </c>
      <c r="M422" t="s">
        <v>52</v>
      </c>
      <c r="N422" t="s">
        <v>53</v>
      </c>
      <c r="O422" t="s">
        <v>871</v>
      </c>
      <c r="P422" t="s">
        <v>4864</v>
      </c>
      <c r="Q422" t="s">
        <v>56</v>
      </c>
      <c r="R422" s="21" t="s">
        <v>4865</v>
      </c>
      <c r="S422" s="21"/>
      <c r="T422" t="s">
        <v>4914</v>
      </c>
      <c r="U422" t="s">
        <v>4915</v>
      </c>
      <c r="Y422" t="s">
        <v>1881</v>
      </c>
      <c r="AA422" s="15"/>
      <c r="AC422">
        <v>42.411619999999999</v>
      </c>
      <c r="AD422">
        <v>-83.985316999999995</v>
      </c>
      <c r="AE422" t="s">
        <v>4916</v>
      </c>
      <c r="AH422" t="s">
        <v>1715</v>
      </c>
      <c r="AI422" t="s">
        <v>63</v>
      </c>
      <c r="AJ422" t="s">
        <v>4917</v>
      </c>
      <c r="AK422">
        <v>192536</v>
      </c>
      <c r="AM422" t="s">
        <v>4918</v>
      </c>
      <c r="AN422" t="s">
        <v>4919</v>
      </c>
      <c r="AO422" t="s">
        <v>4920</v>
      </c>
      <c r="AP422" t="s">
        <v>68</v>
      </c>
      <c r="AR422" t="s">
        <v>4921</v>
      </c>
      <c r="AS422" t="s">
        <v>4922</v>
      </c>
      <c r="AT422" t="s">
        <v>4923</v>
      </c>
      <c r="AW422" s="14" t="s">
        <v>72</v>
      </c>
      <c r="AX422" s="14" t="s">
        <v>73</v>
      </c>
      <c r="AY422" s="14" t="s">
        <v>1723</v>
      </c>
    </row>
    <row r="423" spans="1:51" ht="15" customHeight="1" x14ac:dyDescent="0.4">
      <c r="A423" s="12">
        <v>3753</v>
      </c>
      <c r="B423" s="21" t="s">
        <v>4924</v>
      </c>
      <c r="C423" s="13" t="s">
        <v>4925</v>
      </c>
      <c r="D423" s="25" t="s">
        <v>4925</v>
      </c>
      <c r="E423" s="13"/>
      <c r="F423" s="41"/>
      <c r="G423" s="41"/>
      <c r="H423" s="41"/>
      <c r="I423" s="14" t="s">
        <v>3090</v>
      </c>
      <c r="J423" s="15">
        <v>44769</v>
      </c>
      <c r="K423" t="s">
        <v>2719</v>
      </c>
      <c r="L423" t="s">
        <v>51</v>
      </c>
      <c r="M423" t="s">
        <v>52</v>
      </c>
      <c r="N423" t="s">
        <v>53</v>
      </c>
      <c r="O423" t="s">
        <v>871</v>
      </c>
      <c r="P423" t="s">
        <v>4864</v>
      </c>
      <c r="Q423" t="s">
        <v>56</v>
      </c>
      <c r="R423" s="21" t="s">
        <v>4865</v>
      </c>
      <c r="S423" s="21"/>
      <c r="T423" t="s">
        <v>4926</v>
      </c>
      <c r="U423" t="s">
        <v>4927</v>
      </c>
      <c r="Y423" t="s">
        <v>3096</v>
      </c>
      <c r="AA423" s="15"/>
      <c r="AC423">
        <v>42.411672000000003</v>
      </c>
      <c r="AD423">
        <v>-83.985433</v>
      </c>
      <c r="AE423" t="s">
        <v>4928</v>
      </c>
      <c r="AH423" t="s">
        <v>1715</v>
      </c>
      <c r="AI423" t="s">
        <v>63</v>
      </c>
      <c r="AJ423" t="s">
        <v>4929</v>
      </c>
      <c r="AK423">
        <v>194555</v>
      </c>
      <c r="AM423" t="s">
        <v>4930</v>
      </c>
      <c r="AN423" t="s">
        <v>4931</v>
      </c>
      <c r="AO423" t="s">
        <v>4932</v>
      </c>
      <c r="AP423" t="s">
        <v>68</v>
      </c>
      <c r="AR423" t="s">
        <v>4933</v>
      </c>
      <c r="AS423" t="s">
        <v>4934</v>
      </c>
      <c r="AT423" t="s">
        <v>4935</v>
      </c>
      <c r="AW423" s="14" t="s">
        <v>72</v>
      </c>
      <c r="AX423" s="14" t="s">
        <v>73</v>
      </c>
      <c r="AY423" s="14" t="s">
        <v>74</v>
      </c>
    </row>
    <row r="424" spans="1:51" ht="15" customHeight="1" x14ac:dyDescent="0.4">
      <c r="A424" s="12">
        <v>3754</v>
      </c>
      <c r="B424" s="21" t="s">
        <v>4936</v>
      </c>
      <c r="C424" s="13" t="s">
        <v>4937</v>
      </c>
      <c r="D424" s="25" t="s">
        <v>4937</v>
      </c>
      <c r="E424" s="13"/>
      <c r="F424" s="41"/>
      <c r="G424" s="41"/>
      <c r="H424" s="41"/>
      <c r="I424" s="14" t="s">
        <v>1878</v>
      </c>
      <c r="J424" s="15">
        <v>44769</v>
      </c>
      <c r="K424" t="s">
        <v>2719</v>
      </c>
      <c r="L424" t="s">
        <v>51</v>
      </c>
      <c r="M424" t="s">
        <v>52</v>
      </c>
      <c r="N424" t="s">
        <v>53</v>
      </c>
      <c r="O424" t="s">
        <v>871</v>
      </c>
      <c r="P424" t="s">
        <v>4864</v>
      </c>
      <c r="Q424" t="s">
        <v>56</v>
      </c>
      <c r="R424" s="21" t="s">
        <v>4865</v>
      </c>
      <c r="S424" s="21"/>
      <c r="T424" t="s">
        <v>4938</v>
      </c>
      <c r="U424" t="s">
        <v>4939</v>
      </c>
      <c r="Y424" t="s">
        <v>1881</v>
      </c>
      <c r="AA424" s="15"/>
      <c r="AC424">
        <v>42.411777000000001</v>
      </c>
      <c r="AD424">
        <v>-83.984634999999997</v>
      </c>
      <c r="AE424" t="s">
        <v>4940</v>
      </c>
      <c r="AH424" t="s">
        <v>1715</v>
      </c>
      <c r="AI424" t="s">
        <v>63</v>
      </c>
      <c r="AJ424" t="s">
        <v>4941</v>
      </c>
      <c r="AK424">
        <v>192534</v>
      </c>
      <c r="AM424" t="s">
        <v>4942</v>
      </c>
      <c r="AN424" t="s">
        <v>4943</v>
      </c>
      <c r="AO424" t="s">
        <v>4944</v>
      </c>
      <c r="AP424" t="s">
        <v>68</v>
      </c>
      <c r="AR424" t="s">
        <v>4945</v>
      </c>
      <c r="AS424" t="s">
        <v>4946</v>
      </c>
      <c r="AT424" t="s">
        <v>4947</v>
      </c>
      <c r="AW424" s="14" t="s">
        <v>72</v>
      </c>
      <c r="AX424" s="14" t="s">
        <v>73</v>
      </c>
      <c r="AY424" s="14" t="s">
        <v>1723</v>
      </c>
    </row>
    <row r="425" spans="1:51" ht="15" customHeight="1" x14ac:dyDescent="0.4">
      <c r="A425" s="12">
        <v>3755</v>
      </c>
      <c r="B425" s="21" t="s">
        <v>4948</v>
      </c>
      <c r="C425" s="13" t="s">
        <v>4949</v>
      </c>
      <c r="D425" s="25" t="s">
        <v>4949</v>
      </c>
      <c r="E425" s="13"/>
      <c r="F425" s="41"/>
      <c r="G425" s="41"/>
      <c r="H425" s="41"/>
      <c r="I425" s="14" t="s">
        <v>1878</v>
      </c>
      <c r="J425" s="15">
        <v>44769</v>
      </c>
      <c r="K425" t="s">
        <v>2719</v>
      </c>
      <c r="L425" t="s">
        <v>51</v>
      </c>
      <c r="M425" t="s">
        <v>52</v>
      </c>
      <c r="N425" t="s">
        <v>53</v>
      </c>
      <c r="O425" t="s">
        <v>871</v>
      </c>
      <c r="P425" t="s">
        <v>4864</v>
      </c>
      <c r="Q425" t="s">
        <v>56</v>
      </c>
      <c r="R425" s="21" t="s">
        <v>4865</v>
      </c>
      <c r="S425" s="21"/>
      <c r="T425" t="s">
        <v>4950</v>
      </c>
      <c r="U425" t="s">
        <v>4951</v>
      </c>
      <c r="Y425" t="s">
        <v>1881</v>
      </c>
      <c r="AA425" s="15"/>
      <c r="AC425">
        <v>42.411445000000001</v>
      </c>
      <c r="AD425">
        <v>-83.983795000000001</v>
      </c>
      <c r="AE425" t="s">
        <v>4952</v>
      </c>
      <c r="AH425" t="s">
        <v>1715</v>
      </c>
      <c r="AI425" t="s">
        <v>63</v>
      </c>
      <c r="AJ425" t="s">
        <v>4953</v>
      </c>
      <c r="AK425">
        <v>194208</v>
      </c>
      <c r="AM425" t="s">
        <v>4954</v>
      </c>
      <c r="AN425" t="s">
        <v>4955</v>
      </c>
      <c r="AO425" t="s">
        <v>4956</v>
      </c>
      <c r="AP425" t="s">
        <v>68</v>
      </c>
      <c r="AR425" t="s">
        <v>4957</v>
      </c>
      <c r="AS425" t="s">
        <v>4958</v>
      </c>
      <c r="AT425" t="s">
        <v>4959</v>
      </c>
      <c r="AW425" s="14" t="s">
        <v>72</v>
      </c>
      <c r="AX425" s="14" t="s">
        <v>73</v>
      </c>
      <c r="AY425" s="14" t="s">
        <v>1723</v>
      </c>
    </row>
    <row r="426" spans="1:51" ht="15" customHeight="1" x14ac:dyDescent="0.4">
      <c r="A426" s="12">
        <v>3756</v>
      </c>
      <c r="B426" s="21" t="s">
        <v>4960</v>
      </c>
      <c r="C426" s="13" t="s">
        <v>4961</v>
      </c>
      <c r="D426" s="25" t="s">
        <v>4961</v>
      </c>
      <c r="E426" s="13"/>
      <c r="F426" s="41"/>
      <c r="G426" s="41"/>
      <c r="H426" s="41"/>
      <c r="I426" s="14" t="s">
        <v>1878</v>
      </c>
      <c r="J426" s="15">
        <v>44769</v>
      </c>
      <c r="K426" t="s">
        <v>2719</v>
      </c>
      <c r="L426" t="s">
        <v>51</v>
      </c>
      <c r="M426" t="s">
        <v>52</v>
      </c>
      <c r="N426" t="s">
        <v>53</v>
      </c>
      <c r="O426" t="s">
        <v>871</v>
      </c>
      <c r="P426" t="s">
        <v>4864</v>
      </c>
      <c r="Q426" t="s">
        <v>56</v>
      </c>
      <c r="R426" s="21" t="s">
        <v>4865</v>
      </c>
      <c r="S426" s="21"/>
      <c r="T426" t="s">
        <v>4962</v>
      </c>
      <c r="U426" t="s">
        <v>4963</v>
      </c>
      <c r="Y426" t="s">
        <v>1881</v>
      </c>
      <c r="AA426" s="15"/>
      <c r="AC426">
        <v>42.411288999999996</v>
      </c>
      <c r="AD426">
        <v>-83.982500999999999</v>
      </c>
      <c r="AE426" t="s">
        <v>4631</v>
      </c>
      <c r="AH426" t="s">
        <v>1715</v>
      </c>
      <c r="AI426" t="s">
        <v>63</v>
      </c>
      <c r="AJ426" t="s">
        <v>4964</v>
      </c>
      <c r="AK426">
        <v>194209</v>
      </c>
      <c r="AM426" t="s">
        <v>4965</v>
      </c>
      <c r="AN426" t="s">
        <v>4966</v>
      </c>
      <c r="AO426" t="s">
        <v>4967</v>
      </c>
      <c r="AP426" t="s">
        <v>68</v>
      </c>
      <c r="AR426" t="s">
        <v>4968</v>
      </c>
      <c r="AS426" t="s">
        <v>4969</v>
      </c>
      <c r="AT426" t="s">
        <v>4970</v>
      </c>
      <c r="AW426" s="14" t="s">
        <v>72</v>
      </c>
      <c r="AX426" s="14" t="s">
        <v>73</v>
      </c>
      <c r="AY426" s="14" t="s">
        <v>1723</v>
      </c>
    </row>
    <row r="427" spans="1:51" ht="15" customHeight="1" x14ac:dyDescent="0.4">
      <c r="A427" s="12">
        <v>3757</v>
      </c>
      <c r="B427" s="21" t="s">
        <v>4971</v>
      </c>
      <c r="C427" s="13" t="s">
        <v>4972</v>
      </c>
      <c r="D427" s="25" t="s">
        <v>4972</v>
      </c>
      <c r="E427" s="13"/>
      <c r="F427" s="41"/>
      <c r="G427" s="41"/>
      <c r="H427" s="41"/>
      <c r="I427" s="14" t="s">
        <v>2222</v>
      </c>
      <c r="J427" s="15">
        <v>44769</v>
      </c>
      <c r="K427" t="s">
        <v>2719</v>
      </c>
      <c r="L427" t="s">
        <v>51</v>
      </c>
      <c r="M427" t="s">
        <v>52</v>
      </c>
      <c r="N427" t="s">
        <v>53</v>
      </c>
      <c r="O427" t="s">
        <v>871</v>
      </c>
      <c r="P427" t="s">
        <v>4864</v>
      </c>
      <c r="Q427" t="s">
        <v>56</v>
      </c>
      <c r="R427" s="21" t="s">
        <v>4865</v>
      </c>
      <c r="S427" s="21"/>
      <c r="T427" t="s">
        <v>4973</v>
      </c>
      <c r="U427" t="s">
        <v>4974</v>
      </c>
      <c r="X427" t="s">
        <v>1758</v>
      </c>
      <c r="Y427" t="s">
        <v>2225</v>
      </c>
      <c r="AA427" s="15"/>
      <c r="AC427">
        <v>42.416812</v>
      </c>
      <c r="AD427">
        <v>-83.997923999999998</v>
      </c>
      <c r="AE427" t="s">
        <v>4975</v>
      </c>
      <c r="AH427" t="s">
        <v>1715</v>
      </c>
      <c r="AI427" t="s">
        <v>63</v>
      </c>
      <c r="AJ427" t="s">
        <v>4976</v>
      </c>
      <c r="AK427">
        <v>192605</v>
      </c>
      <c r="AM427" t="s">
        <v>4977</v>
      </c>
      <c r="AN427" t="s">
        <v>4978</v>
      </c>
      <c r="AO427" t="s">
        <v>4979</v>
      </c>
      <c r="AP427" t="s">
        <v>68</v>
      </c>
      <c r="AR427" t="s">
        <v>4980</v>
      </c>
      <c r="AS427" t="s">
        <v>4981</v>
      </c>
      <c r="AT427" t="s">
        <v>4982</v>
      </c>
      <c r="AW427" s="14" t="s">
        <v>72</v>
      </c>
      <c r="AX427" s="14" t="s">
        <v>73</v>
      </c>
      <c r="AY427" s="14" t="s">
        <v>74</v>
      </c>
    </row>
    <row r="428" spans="1:51" ht="15" customHeight="1" x14ac:dyDescent="0.4">
      <c r="A428" s="12">
        <v>3758</v>
      </c>
      <c r="B428" s="21" t="s">
        <v>4983</v>
      </c>
      <c r="C428" s="13" t="s">
        <v>4984</v>
      </c>
      <c r="D428" s="25" t="s">
        <v>4984</v>
      </c>
      <c r="E428" s="13"/>
      <c r="F428" s="41"/>
      <c r="G428" s="41"/>
      <c r="H428" s="41"/>
      <c r="I428" s="14" t="s">
        <v>2222</v>
      </c>
      <c r="J428" s="15">
        <v>44769</v>
      </c>
      <c r="K428" t="s">
        <v>2719</v>
      </c>
      <c r="L428" t="s">
        <v>51</v>
      </c>
      <c r="M428" t="s">
        <v>52</v>
      </c>
      <c r="N428" t="s">
        <v>53</v>
      </c>
      <c r="O428" t="s">
        <v>871</v>
      </c>
      <c r="P428" t="s">
        <v>4864</v>
      </c>
      <c r="Q428" t="s">
        <v>56</v>
      </c>
      <c r="R428" s="21" t="s">
        <v>4865</v>
      </c>
      <c r="S428" s="21"/>
      <c r="T428" t="s">
        <v>4985</v>
      </c>
      <c r="U428" t="s">
        <v>4986</v>
      </c>
      <c r="X428" t="s">
        <v>1758</v>
      </c>
      <c r="Y428" t="s">
        <v>2225</v>
      </c>
      <c r="AA428" s="15"/>
      <c r="AC428">
        <v>42.417439999999999</v>
      </c>
      <c r="AD428">
        <v>-83.999618999999996</v>
      </c>
      <c r="AE428" t="s">
        <v>3862</v>
      </c>
      <c r="AH428" t="s">
        <v>1715</v>
      </c>
      <c r="AI428" t="s">
        <v>63</v>
      </c>
      <c r="AJ428" t="s">
        <v>4987</v>
      </c>
      <c r="AK428">
        <v>192671</v>
      </c>
      <c r="AM428" t="s">
        <v>4988</v>
      </c>
      <c r="AN428" t="s">
        <v>4989</v>
      </c>
      <c r="AO428" t="s">
        <v>4990</v>
      </c>
      <c r="AP428" t="s">
        <v>68</v>
      </c>
      <c r="AR428" t="s">
        <v>4991</v>
      </c>
      <c r="AS428" t="s">
        <v>4992</v>
      </c>
      <c r="AT428" t="s">
        <v>4993</v>
      </c>
      <c r="AW428" s="14" t="s">
        <v>72</v>
      </c>
      <c r="AX428" s="14" t="s">
        <v>73</v>
      </c>
      <c r="AY428" s="14" t="s">
        <v>74</v>
      </c>
    </row>
    <row r="429" spans="1:51" ht="15" customHeight="1" x14ac:dyDescent="0.4">
      <c r="A429" s="12">
        <v>3759</v>
      </c>
      <c r="B429" s="21" t="s">
        <v>4994</v>
      </c>
      <c r="C429" s="13" t="s">
        <v>4995</v>
      </c>
      <c r="D429" s="25" t="s">
        <v>4995</v>
      </c>
      <c r="E429" s="13"/>
      <c r="F429" s="41"/>
      <c r="G429" s="41"/>
      <c r="H429" s="41"/>
      <c r="I429" s="14" t="s">
        <v>2222</v>
      </c>
      <c r="J429" s="15">
        <v>44769</v>
      </c>
      <c r="K429" t="s">
        <v>2719</v>
      </c>
      <c r="L429" t="s">
        <v>51</v>
      </c>
      <c r="M429" t="s">
        <v>52</v>
      </c>
      <c r="N429" t="s">
        <v>53</v>
      </c>
      <c r="O429" t="s">
        <v>871</v>
      </c>
      <c r="P429" t="s">
        <v>4864</v>
      </c>
      <c r="Q429" t="s">
        <v>56</v>
      </c>
      <c r="R429" s="21" t="s">
        <v>4865</v>
      </c>
      <c r="S429" s="21"/>
      <c r="T429" t="s">
        <v>4996</v>
      </c>
      <c r="U429" t="s">
        <v>4997</v>
      </c>
      <c r="X429" t="s">
        <v>2321</v>
      </c>
      <c r="Y429" t="s">
        <v>2225</v>
      </c>
      <c r="AA429" s="15"/>
      <c r="AC429">
        <v>42.416401</v>
      </c>
      <c r="AD429">
        <v>-83.400390700000003</v>
      </c>
      <c r="AE429" t="s">
        <v>4631</v>
      </c>
      <c r="AH429" t="s">
        <v>1715</v>
      </c>
      <c r="AI429" t="s">
        <v>63</v>
      </c>
      <c r="AJ429" t="s">
        <v>4998</v>
      </c>
      <c r="AK429">
        <v>192600</v>
      </c>
      <c r="AM429" t="s">
        <v>4999</v>
      </c>
      <c r="AN429" t="s">
        <v>5000</v>
      </c>
      <c r="AO429" t="s">
        <v>5001</v>
      </c>
      <c r="AP429" t="s">
        <v>68</v>
      </c>
      <c r="AR429" t="s">
        <v>5002</v>
      </c>
      <c r="AS429" t="s">
        <v>5003</v>
      </c>
      <c r="AT429" t="s">
        <v>5004</v>
      </c>
      <c r="AW429" s="14" t="s">
        <v>72</v>
      </c>
      <c r="AX429" s="14" t="s">
        <v>73</v>
      </c>
      <c r="AY429" s="14" t="s">
        <v>74</v>
      </c>
    </row>
    <row r="430" spans="1:51" ht="15" customHeight="1" x14ac:dyDescent="0.4">
      <c r="A430" s="12">
        <v>3760</v>
      </c>
      <c r="B430" s="21" t="s">
        <v>5005</v>
      </c>
      <c r="C430" s="13" t="s">
        <v>5006</v>
      </c>
      <c r="D430" s="25" t="s">
        <v>5006</v>
      </c>
      <c r="E430" s="13"/>
      <c r="F430" s="41"/>
      <c r="G430" s="41"/>
      <c r="H430" s="41"/>
      <c r="I430" s="14" t="s">
        <v>2222</v>
      </c>
      <c r="J430" s="15">
        <v>44769</v>
      </c>
      <c r="K430" t="s">
        <v>2719</v>
      </c>
      <c r="L430" t="s">
        <v>51</v>
      </c>
      <c r="M430" t="s">
        <v>52</v>
      </c>
      <c r="N430" t="s">
        <v>53</v>
      </c>
      <c r="O430" t="s">
        <v>871</v>
      </c>
      <c r="P430" t="s">
        <v>4864</v>
      </c>
      <c r="Q430" t="s">
        <v>56</v>
      </c>
      <c r="R430" s="21" t="s">
        <v>4865</v>
      </c>
      <c r="S430" s="21"/>
      <c r="T430" t="s">
        <v>5007</v>
      </c>
      <c r="U430" t="s">
        <v>5008</v>
      </c>
      <c r="Y430" t="s">
        <v>2225</v>
      </c>
      <c r="AA430" s="15"/>
      <c r="AC430">
        <v>42.418191</v>
      </c>
      <c r="AD430">
        <v>-84.002222000000003</v>
      </c>
      <c r="AE430" t="s">
        <v>5009</v>
      </c>
      <c r="AH430" t="s">
        <v>1715</v>
      </c>
      <c r="AI430" t="s">
        <v>63</v>
      </c>
      <c r="AJ430" t="s">
        <v>5010</v>
      </c>
      <c r="AK430">
        <v>192617</v>
      </c>
      <c r="AM430" t="s">
        <v>5011</v>
      </c>
      <c r="AN430" t="s">
        <v>5012</v>
      </c>
      <c r="AO430" t="s">
        <v>5013</v>
      </c>
      <c r="AP430" t="s">
        <v>68</v>
      </c>
      <c r="AR430" t="s">
        <v>5014</v>
      </c>
      <c r="AS430" t="s">
        <v>5015</v>
      </c>
      <c r="AT430" t="s">
        <v>5016</v>
      </c>
      <c r="AW430" s="14" t="s">
        <v>72</v>
      </c>
      <c r="AX430" s="14" t="s">
        <v>73</v>
      </c>
      <c r="AY430" s="14" t="s">
        <v>74</v>
      </c>
    </row>
    <row r="431" spans="1:51" ht="15" customHeight="1" x14ac:dyDescent="0.4">
      <c r="A431" s="12">
        <v>3761</v>
      </c>
      <c r="B431" s="21" t="s">
        <v>5017</v>
      </c>
      <c r="C431" s="13" t="s">
        <v>5018</v>
      </c>
      <c r="D431" s="25" t="s">
        <v>5018</v>
      </c>
      <c r="E431" s="13"/>
      <c r="F431" s="41" t="s">
        <v>8119</v>
      </c>
      <c r="G431" s="41"/>
      <c r="H431" s="41"/>
      <c r="I431" s="14" t="s">
        <v>49</v>
      </c>
      <c r="J431" s="15">
        <v>44769</v>
      </c>
      <c r="K431" t="s">
        <v>2719</v>
      </c>
      <c r="L431" t="s">
        <v>51</v>
      </c>
      <c r="M431" t="s">
        <v>52</v>
      </c>
      <c r="N431" t="s">
        <v>53</v>
      </c>
      <c r="O431" t="s">
        <v>871</v>
      </c>
      <c r="P431" t="s">
        <v>4864</v>
      </c>
      <c r="Q431" t="s">
        <v>56</v>
      </c>
      <c r="R431" s="21" t="s">
        <v>4865</v>
      </c>
      <c r="S431" s="21"/>
      <c r="T431" t="s">
        <v>5019</v>
      </c>
      <c r="U431" t="s">
        <v>5020</v>
      </c>
      <c r="Y431" t="s">
        <v>60</v>
      </c>
      <c r="AA431" s="15"/>
      <c r="AC431">
        <v>42.407538000000002</v>
      </c>
      <c r="AD431">
        <v>-83.986305000000002</v>
      </c>
      <c r="AE431" t="s">
        <v>4880</v>
      </c>
      <c r="AH431" t="s">
        <v>1715</v>
      </c>
      <c r="AI431" t="s">
        <v>63</v>
      </c>
      <c r="AJ431" t="s">
        <v>5021</v>
      </c>
      <c r="AK431">
        <v>192556</v>
      </c>
      <c r="AM431" t="s">
        <v>5022</v>
      </c>
      <c r="AN431" t="s">
        <v>5023</v>
      </c>
      <c r="AO431" t="s">
        <v>5024</v>
      </c>
      <c r="AP431" t="s">
        <v>68</v>
      </c>
      <c r="AR431" t="s">
        <v>5025</v>
      </c>
      <c r="AS431" t="s">
        <v>5026</v>
      </c>
      <c r="AT431" t="s">
        <v>5027</v>
      </c>
      <c r="AW431" s="14" t="s">
        <v>72</v>
      </c>
      <c r="AX431" s="14" t="s">
        <v>73</v>
      </c>
      <c r="AY431" s="14" t="s">
        <v>74</v>
      </c>
    </row>
    <row r="432" spans="1:51" ht="15" customHeight="1" x14ac:dyDescent="0.4">
      <c r="A432" s="12">
        <v>3762</v>
      </c>
      <c r="B432" s="21" t="s">
        <v>5028</v>
      </c>
      <c r="C432" s="13" t="s">
        <v>5029</v>
      </c>
      <c r="D432" s="25" t="s">
        <v>5029</v>
      </c>
      <c r="E432" s="13"/>
      <c r="F432" s="41"/>
      <c r="G432" s="41"/>
      <c r="H432" s="41"/>
      <c r="I432" s="14" t="s">
        <v>49</v>
      </c>
      <c r="J432" s="15">
        <v>44769</v>
      </c>
      <c r="K432" t="s">
        <v>2719</v>
      </c>
      <c r="L432" t="s">
        <v>51</v>
      </c>
      <c r="M432" t="s">
        <v>52</v>
      </c>
      <c r="N432" t="s">
        <v>53</v>
      </c>
      <c r="O432" t="s">
        <v>871</v>
      </c>
      <c r="P432" t="s">
        <v>5030</v>
      </c>
      <c r="Q432" t="s">
        <v>56</v>
      </c>
      <c r="R432" s="21" t="s">
        <v>4865</v>
      </c>
      <c r="S432" s="21"/>
      <c r="T432" t="s">
        <v>5031</v>
      </c>
      <c r="U432" t="s">
        <v>5032</v>
      </c>
      <c r="Y432" t="s">
        <v>60</v>
      </c>
      <c r="AA432" s="15"/>
      <c r="AC432">
        <v>42.4465</v>
      </c>
      <c r="AD432">
        <v>-84.002319999999997</v>
      </c>
      <c r="AE432" t="s">
        <v>4609</v>
      </c>
      <c r="AH432" t="s">
        <v>1715</v>
      </c>
      <c r="AI432" t="s">
        <v>63</v>
      </c>
      <c r="AJ432" t="s">
        <v>5033</v>
      </c>
      <c r="AK432">
        <v>194460</v>
      </c>
      <c r="AM432" t="s">
        <v>5034</v>
      </c>
      <c r="AN432" t="s">
        <v>5035</v>
      </c>
      <c r="AO432" t="s">
        <v>5036</v>
      </c>
      <c r="AP432" t="s">
        <v>68</v>
      </c>
      <c r="AR432" t="s">
        <v>5037</v>
      </c>
      <c r="AS432" t="s">
        <v>5038</v>
      </c>
      <c r="AT432" t="s">
        <v>5039</v>
      </c>
      <c r="AW432" s="14" t="s">
        <v>72</v>
      </c>
      <c r="AX432" s="14" t="s">
        <v>73</v>
      </c>
      <c r="AY432" s="14" t="s">
        <v>74</v>
      </c>
    </row>
    <row r="433" spans="1:51" ht="15" customHeight="1" x14ac:dyDescent="0.4">
      <c r="A433" s="12">
        <v>3763</v>
      </c>
      <c r="B433" s="21" t="s">
        <v>5040</v>
      </c>
      <c r="C433" s="13" t="s">
        <v>5041</v>
      </c>
      <c r="D433" s="25" t="s">
        <v>5041</v>
      </c>
      <c r="E433" s="13"/>
      <c r="F433" s="41"/>
      <c r="G433" s="41"/>
      <c r="H433" s="41"/>
      <c r="I433" s="14" t="s">
        <v>1878</v>
      </c>
      <c r="J433" s="15">
        <v>44769</v>
      </c>
      <c r="K433" t="s">
        <v>2719</v>
      </c>
      <c r="L433" t="s">
        <v>51</v>
      </c>
      <c r="M433" t="s">
        <v>52</v>
      </c>
      <c r="N433" t="s">
        <v>53</v>
      </c>
      <c r="O433" t="s">
        <v>871</v>
      </c>
      <c r="P433" t="s">
        <v>5030</v>
      </c>
      <c r="Q433" t="s">
        <v>56</v>
      </c>
      <c r="R433" s="21" t="s">
        <v>4865</v>
      </c>
      <c r="S433" s="21"/>
      <c r="T433" t="s">
        <v>5042</v>
      </c>
      <c r="U433" t="s">
        <v>5043</v>
      </c>
      <c r="Y433" t="s">
        <v>1881</v>
      </c>
      <c r="AA433" s="15"/>
      <c r="AC433">
        <v>42.446421000000001</v>
      </c>
      <c r="AD433">
        <v>-84.001964000000001</v>
      </c>
      <c r="AE433" t="s">
        <v>5044</v>
      </c>
      <c r="AH433" t="s">
        <v>1715</v>
      </c>
      <c r="AI433" t="s">
        <v>63</v>
      </c>
      <c r="AJ433" t="s">
        <v>5045</v>
      </c>
      <c r="AK433">
        <v>192532</v>
      </c>
      <c r="AM433" t="s">
        <v>5046</v>
      </c>
      <c r="AN433" t="s">
        <v>5047</v>
      </c>
      <c r="AO433" t="s">
        <v>5048</v>
      </c>
      <c r="AP433" t="s">
        <v>68</v>
      </c>
      <c r="AR433" t="s">
        <v>5049</v>
      </c>
      <c r="AS433" t="s">
        <v>5050</v>
      </c>
      <c r="AT433" t="s">
        <v>5051</v>
      </c>
      <c r="AW433" s="14" t="s">
        <v>72</v>
      </c>
      <c r="AX433" s="14" t="s">
        <v>73</v>
      </c>
      <c r="AY433" s="14" t="s">
        <v>1723</v>
      </c>
    </row>
    <row r="434" spans="1:51" ht="15" customHeight="1" x14ac:dyDescent="0.4">
      <c r="A434" s="12">
        <v>3764</v>
      </c>
      <c r="B434" s="21" t="s">
        <v>5052</v>
      </c>
      <c r="C434" s="13" t="s">
        <v>5053</v>
      </c>
      <c r="D434" s="25" t="s">
        <v>5053</v>
      </c>
      <c r="E434" s="13"/>
      <c r="F434" s="41"/>
      <c r="G434" s="41"/>
      <c r="H434" s="41"/>
      <c r="I434" s="14" t="s">
        <v>49</v>
      </c>
      <c r="J434" s="15">
        <v>44769</v>
      </c>
      <c r="K434" t="s">
        <v>2719</v>
      </c>
      <c r="L434" t="s">
        <v>51</v>
      </c>
      <c r="M434" t="s">
        <v>52</v>
      </c>
      <c r="N434" t="s">
        <v>53</v>
      </c>
      <c r="O434" t="s">
        <v>871</v>
      </c>
      <c r="P434" t="s">
        <v>5030</v>
      </c>
      <c r="Q434" t="s">
        <v>56</v>
      </c>
      <c r="R434" s="21" t="s">
        <v>4865</v>
      </c>
      <c r="S434" s="21"/>
      <c r="T434" t="s">
        <v>5054</v>
      </c>
      <c r="U434" t="s">
        <v>5055</v>
      </c>
      <c r="Y434" t="s">
        <v>60</v>
      </c>
      <c r="AA434" s="15"/>
      <c r="AC434">
        <v>42.446260000000002</v>
      </c>
      <c r="AD434">
        <v>-83.999114000000006</v>
      </c>
      <c r="AE434" t="s">
        <v>5056</v>
      </c>
      <c r="AH434" t="s">
        <v>1715</v>
      </c>
      <c r="AI434" t="s">
        <v>63</v>
      </c>
      <c r="AJ434" t="s">
        <v>5057</v>
      </c>
      <c r="AK434">
        <v>194459</v>
      </c>
      <c r="AM434" t="s">
        <v>5058</v>
      </c>
      <c r="AN434" t="s">
        <v>5059</v>
      </c>
      <c r="AO434" t="s">
        <v>5060</v>
      </c>
      <c r="AP434" t="s">
        <v>68</v>
      </c>
      <c r="AR434" t="s">
        <v>5061</v>
      </c>
      <c r="AS434" t="s">
        <v>5062</v>
      </c>
      <c r="AT434" t="s">
        <v>5063</v>
      </c>
      <c r="AW434" s="14" t="s">
        <v>72</v>
      </c>
      <c r="AX434" s="14" t="s">
        <v>73</v>
      </c>
      <c r="AY434" s="14" t="s">
        <v>74</v>
      </c>
    </row>
    <row r="435" spans="1:51" ht="15" customHeight="1" x14ac:dyDescent="0.4">
      <c r="A435" s="12">
        <v>3765</v>
      </c>
      <c r="B435" s="21" t="s">
        <v>5064</v>
      </c>
      <c r="C435" s="13" t="s">
        <v>5065</v>
      </c>
      <c r="D435" s="25" t="s">
        <v>5065</v>
      </c>
      <c r="E435" s="13"/>
      <c r="F435" s="41"/>
      <c r="G435" s="41"/>
      <c r="H435" s="41"/>
      <c r="I435" s="14" t="s">
        <v>49</v>
      </c>
      <c r="J435" s="15">
        <v>44769</v>
      </c>
      <c r="K435" t="s">
        <v>2719</v>
      </c>
      <c r="L435" t="s">
        <v>51</v>
      </c>
      <c r="M435" t="s">
        <v>52</v>
      </c>
      <c r="N435" t="s">
        <v>53</v>
      </c>
      <c r="O435" t="s">
        <v>871</v>
      </c>
      <c r="P435" t="s">
        <v>5030</v>
      </c>
      <c r="Q435" t="s">
        <v>56</v>
      </c>
      <c r="R435" s="21" t="s">
        <v>4865</v>
      </c>
      <c r="S435" s="21"/>
      <c r="T435" t="s">
        <v>5066</v>
      </c>
      <c r="U435" t="s">
        <v>5067</v>
      </c>
      <c r="Y435" t="s">
        <v>60</v>
      </c>
      <c r="AA435" s="15"/>
      <c r="AC435">
        <v>42.446264999999997</v>
      </c>
      <c r="AD435">
        <v>-83.998517000000007</v>
      </c>
      <c r="AE435" t="s">
        <v>5068</v>
      </c>
      <c r="AH435" t="s">
        <v>1715</v>
      </c>
      <c r="AI435" t="s">
        <v>63</v>
      </c>
      <c r="AJ435" t="s">
        <v>5069</v>
      </c>
      <c r="AK435">
        <v>192535</v>
      </c>
      <c r="AM435" t="s">
        <v>5070</v>
      </c>
      <c r="AN435" t="s">
        <v>5071</v>
      </c>
      <c r="AO435" t="s">
        <v>5072</v>
      </c>
      <c r="AP435" t="s">
        <v>68</v>
      </c>
      <c r="AR435" t="s">
        <v>5073</v>
      </c>
      <c r="AS435" t="s">
        <v>5074</v>
      </c>
      <c r="AT435" t="s">
        <v>5075</v>
      </c>
      <c r="AW435" s="14" t="s">
        <v>72</v>
      </c>
      <c r="AX435" s="14" t="s">
        <v>73</v>
      </c>
      <c r="AY435" s="14" t="s">
        <v>74</v>
      </c>
    </row>
    <row r="436" spans="1:51" ht="15" customHeight="1" x14ac:dyDescent="0.4">
      <c r="A436" s="12">
        <v>3766</v>
      </c>
      <c r="B436" s="21" t="s">
        <v>5076</v>
      </c>
      <c r="C436" s="13" t="s">
        <v>5077</v>
      </c>
      <c r="D436" s="25" t="s">
        <v>5077</v>
      </c>
      <c r="E436" s="13"/>
      <c r="F436" s="41"/>
      <c r="G436" s="41"/>
      <c r="H436" s="41"/>
      <c r="I436" s="14" t="s">
        <v>49</v>
      </c>
      <c r="J436" s="15">
        <v>44769</v>
      </c>
      <c r="K436" t="s">
        <v>2719</v>
      </c>
      <c r="L436" t="s">
        <v>51</v>
      </c>
      <c r="M436" t="s">
        <v>52</v>
      </c>
      <c r="N436" t="s">
        <v>53</v>
      </c>
      <c r="O436" t="s">
        <v>871</v>
      </c>
      <c r="P436" t="s">
        <v>5030</v>
      </c>
      <c r="Q436" t="s">
        <v>56</v>
      </c>
      <c r="R436" s="21" t="s">
        <v>4865</v>
      </c>
      <c r="S436" s="21"/>
      <c r="T436" t="s">
        <v>5078</v>
      </c>
      <c r="U436" t="s">
        <v>5079</v>
      </c>
      <c r="Y436" t="s">
        <v>60</v>
      </c>
      <c r="AA436" s="15"/>
      <c r="AC436">
        <v>42.446328000000001</v>
      </c>
      <c r="AD436">
        <v>-83.997733999999994</v>
      </c>
      <c r="AE436" t="s">
        <v>4575</v>
      </c>
      <c r="AH436" t="s">
        <v>1715</v>
      </c>
      <c r="AI436" t="s">
        <v>63</v>
      </c>
      <c r="AJ436" t="s">
        <v>5080</v>
      </c>
      <c r="AK436">
        <v>194454</v>
      </c>
      <c r="AM436" t="s">
        <v>5081</v>
      </c>
      <c r="AN436" t="s">
        <v>5082</v>
      </c>
      <c r="AO436" t="s">
        <v>5083</v>
      </c>
      <c r="AP436" t="s">
        <v>68</v>
      </c>
      <c r="AR436" t="s">
        <v>5084</v>
      </c>
      <c r="AS436" t="s">
        <v>5085</v>
      </c>
      <c r="AT436" t="s">
        <v>5086</v>
      </c>
      <c r="AW436" s="14" t="s">
        <v>72</v>
      </c>
      <c r="AX436" s="14" t="s">
        <v>73</v>
      </c>
      <c r="AY436" s="14" t="s">
        <v>74</v>
      </c>
    </row>
    <row r="437" spans="1:51" ht="15" customHeight="1" x14ac:dyDescent="0.4">
      <c r="A437" s="12">
        <v>3767</v>
      </c>
      <c r="B437" s="21" t="s">
        <v>5087</v>
      </c>
      <c r="C437" s="13" t="s">
        <v>5088</v>
      </c>
      <c r="D437" s="25" t="s">
        <v>5088</v>
      </c>
      <c r="E437" s="13"/>
      <c r="F437" s="41"/>
      <c r="G437" s="41"/>
      <c r="H437" s="41"/>
      <c r="I437" s="14" t="s">
        <v>2222</v>
      </c>
      <c r="J437" s="15">
        <v>44770</v>
      </c>
      <c r="K437" t="s">
        <v>2719</v>
      </c>
      <c r="L437" t="s">
        <v>51</v>
      </c>
      <c r="M437" t="s">
        <v>52</v>
      </c>
      <c r="N437" t="s">
        <v>53</v>
      </c>
      <c r="O437" t="s">
        <v>871</v>
      </c>
      <c r="P437" t="s">
        <v>5089</v>
      </c>
      <c r="Q437" t="s">
        <v>56</v>
      </c>
      <c r="R437" s="21" t="s">
        <v>5090</v>
      </c>
      <c r="S437" s="21"/>
      <c r="T437" t="s">
        <v>5091</v>
      </c>
      <c r="U437" t="s">
        <v>5092</v>
      </c>
      <c r="Y437" t="s">
        <v>2225</v>
      </c>
      <c r="AA437" s="15"/>
      <c r="AC437">
        <v>42.766748999999997</v>
      </c>
      <c r="AD437">
        <v>-84.385411000000005</v>
      </c>
      <c r="AE437" t="s">
        <v>5093</v>
      </c>
      <c r="AH437" t="s">
        <v>1715</v>
      </c>
      <c r="AI437" t="s">
        <v>63</v>
      </c>
      <c r="AJ437" t="s">
        <v>5094</v>
      </c>
      <c r="AK437">
        <v>192616</v>
      </c>
      <c r="AM437" t="s">
        <v>5095</v>
      </c>
      <c r="AN437" t="s">
        <v>5096</v>
      </c>
      <c r="AO437" t="s">
        <v>5097</v>
      </c>
      <c r="AP437" t="s">
        <v>68</v>
      </c>
      <c r="AR437" t="s">
        <v>5098</v>
      </c>
      <c r="AS437" t="s">
        <v>5099</v>
      </c>
      <c r="AT437" t="s">
        <v>5100</v>
      </c>
      <c r="AW437" s="14" t="s">
        <v>72</v>
      </c>
      <c r="AX437" s="14" t="s">
        <v>73</v>
      </c>
      <c r="AY437" s="14" t="s">
        <v>74</v>
      </c>
    </row>
    <row r="438" spans="1:51" ht="15" customHeight="1" x14ac:dyDescent="0.4">
      <c r="A438" s="12">
        <v>3768</v>
      </c>
      <c r="B438" s="21" t="s">
        <v>5101</v>
      </c>
      <c r="C438" s="13" t="s">
        <v>5102</v>
      </c>
      <c r="D438" s="25" t="s">
        <v>5102</v>
      </c>
      <c r="E438" s="13"/>
      <c r="F438" s="41"/>
      <c r="G438" s="41"/>
      <c r="H438" s="41"/>
      <c r="I438" s="14" t="s">
        <v>1878</v>
      </c>
      <c r="J438" s="15">
        <v>44770</v>
      </c>
      <c r="K438" t="s">
        <v>2719</v>
      </c>
      <c r="L438" t="s">
        <v>51</v>
      </c>
      <c r="M438" t="s">
        <v>52</v>
      </c>
      <c r="N438" t="s">
        <v>53</v>
      </c>
      <c r="O438" t="s">
        <v>871</v>
      </c>
      <c r="P438" t="s">
        <v>5089</v>
      </c>
      <c r="Q438" t="s">
        <v>56</v>
      </c>
      <c r="R438" s="21" t="s">
        <v>5090</v>
      </c>
      <c r="S438" s="21"/>
      <c r="T438" t="s">
        <v>5103</v>
      </c>
      <c r="U438" t="s">
        <v>5104</v>
      </c>
      <c r="Y438" t="s">
        <v>1881</v>
      </c>
      <c r="AA438" s="15"/>
      <c r="AC438">
        <v>42.766618999999999</v>
      </c>
      <c r="AD438">
        <v>-84.385326000000006</v>
      </c>
      <c r="AE438" t="s">
        <v>5105</v>
      </c>
      <c r="AH438" t="s">
        <v>1715</v>
      </c>
      <c r="AI438" t="s">
        <v>63</v>
      </c>
      <c r="AJ438" t="s">
        <v>5106</v>
      </c>
      <c r="AK438">
        <v>194210</v>
      </c>
      <c r="AM438" t="s">
        <v>5107</v>
      </c>
      <c r="AN438" t="s">
        <v>5108</v>
      </c>
      <c r="AO438" t="s">
        <v>5109</v>
      </c>
      <c r="AP438" t="s">
        <v>68</v>
      </c>
      <c r="AR438" t="s">
        <v>5110</v>
      </c>
      <c r="AS438" t="s">
        <v>5111</v>
      </c>
      <c r="AT438" t="s">
        <v>5112</v>
      </c>
      <c r="AW438" s="14" t="s">
        <v>72</v>
      </c>
      <c r="AX438" s="14" t="s">
        <v>73</v>
      </c>
      <c r="AY438" s="14" t="s">
        <v>1723</v>
      </c>
    </row>
    <row r="439" spans="1:51" ht="15" customHeight="1" x14ac:dyDescent="0.4">
      <c r="A439" s="12">
        <v>3769</v>
      </c>
      <c r="B439" s="21" t="s">
        <v>5113</v>
      </c>
      <c r="C439" s="13" t="s">
        <v>5114</v>
      </c>
      <c r="D439" s="25" t="s">
        <v>5114</v>
      </c>
      <c r="E439" s="13"/>
      <c r="F439" s="43" t="s">
        <v>2222</v>
      </c>
      <c r="G439" s="43" t="s">
        <v>8123</v>
      </c>
      <c r="H439" s="43"/>
      <c r="I439" s="14" t="s">
        <v>2222</v>
      </c>
      <c r="J439" s="15">
        <v>44770</v>
      </c>
      <c r="K439" t="s">
        <v>2719</v>
      </c>
      <c r="L439" t="s">
        <v>51</v>
      </c>
      <c r="M439" t="s">
        <v>52</v>
      </c>
      <c r="N439" t="s">
        <v>53</v>
      </c>
      <c r="O439" t="s">
        <v>871</v>
      </c>
      <c r="P439" t="s">
        <v>5089</v>
      </c>
      <c r="Q439" t="s">
        <v>56</v>
      </c>
      <c r="R439" s="21" t="s">
        <v>5090</v>
      </c>
      <c r="S439" s="21"/>
      <c r="T439" t="s">
        <v>5115</v>
      </c>
      <c r="U439" t="s">
        <v>5116</v>
      </c>
      <c r="Y439" t="s">
        <v>2225</v>
      </c>
      <c r="AA439" s="15"/>
      <c r="AC439">
        <v>42.767558000000001</v>
      </c>
      <c r="AD439">
        <v>-84.384491999999995</v>
      </c>
      <c r="AE439" t="s">
        <v>5068</v>
      </c>
      <c r="AH439" t="s">
        <v>1715</v>
      </c>
      <c r="AI439" t="s">
        <v>63</v>
      </c>
      <c r="AJ439" t="s">
        <v>5117</v>
      </c>
      <c r="AK439">
        <v>192614</v>
      </c>
      <c r="AM439" t="s">
        <v>5118</v>
      </c>
      <c r="AN439" t="s">
        <v>5119</v>
      </c>
      <c r="AO439" t="s">
        <v>5120</v>
      </c>
      <c r="AP439" t="s">
        <v>68</v>
      </c>
      <c r="AR439" t="s">
        <v>5121</v>
      </c>
      <c r="AS439" t="s">
        <v>5122</v>
      </c>
      <c r="AT439" t="s">
        <v>5123</v>
      </c>
      <c r="AW439" s="14" t="s">
        <v>72</v>
      </c>
      <c r="AX439" s="14" t="s">
        <v>73</v>
      </c>
      <c r="AY439" s="14" t="s">
        <v>74</v>
      </c>
    </row>
    <row r="440" spans="1:51" ht="15" customHeight="1" x14ac:dyDescent="0.4">
      <c r="A440" s="12">
        <v>3770</v>
      </c>
      <c r="B440" s="21" t="s">
        <v>5124</v>
      </c>
      <c r="C440" s="13" t="s">
        <v>5125</v>
      </c>
      <c r="D440" s="25" t="s">
        <v>5125</v>
      </c>
      <c r="E440" s="13"/>
      <c r="F440" s="41"/>
      <c r="G440" s="41"/>
      <c r="H440" s="41"/>
      <c r="I440" s="14" t="s">
        <v>1878</v>
      </c>
      <c r="J440" s="15">
        <v>44770</v>
      </c>
      <c r="K440" t="s">
        <v>2719</v>
      </c>
      <c r="L440" t="s">
        <v>51</v>
      </c>
      <c r="M440" t="s">
        <v>52</v>
      </c>
      <c r="N440" t="s">
        <v>53</v>
      </c>
      <c r="O440" t="s">
        <v>871</v>
      </c>
      <c r="P440" t="s">
        <v>5089</v>
      </c>
      <c r="Q440" t="s">
        <v>56</v>
      </c>
      <c r="R440" s="21" t="s">
        <v>5090</v>
      </c>
      <c r="S440" s="21"/>
      <c r="T440" t="s">
        <v>5126</v>
      </c>
      <c r="U440" t="s">
        <v>5127</v>
      </c>
      <c r="Y440" t="s">
        <v>1881</v>
      </c>
      <c r="AA440" s="15"/>
      <c r="AC440">
        <v>42.767026000000001</v>
      </c>
      <c r="AD440">
        <v>-84.384641000000002</v>
      </c>
      <c r="AE440" t="s">
        <v>4975</v>
      </c>
      <c r="AH440" t="s">
        <v>1715</v>
      </c>
      <c r="AI440" t="s">
        <v>63</v>
      </c>
      <c r="AJ440" t="s">
        <v>5128</v>
      </c>
      <c r="AK440">
        <v>194211</v>
      </c>
      <c r="AM440" t="s">
        <v>5129</v>
      </c>
      <c r="AN440" t="s">
        <v>5130</v>
      </c>
      <c r="AO440" t="s">
        <v>5131</v>
      </c>
      <c r="AP440" t="s">
        <v>68</v>
      </c>
      <c r="AR440" t="s">
        <v>5132</v>
      </c>
      <c r="AS440" t="s">
        <v>5133</v>
      </c>
      <c r="AT440" t="s">
        <v>5134</v>
      </c>
      <c r="AW440" s="14" t="s">
        <v>72</v>
      </c>
      <c r="AX440" s="14" t="s">
        <v>73</v>
      </c>
      <c r="AY440" s="14" t="s">
        <v>1723</v>
      </c>
    </row>
    <row r="441" spans="1:51" ht="15" customHeight="1" x14ac:dyDescent="0.4">
      <c r="A441" s="12">
        <v>3771</v>
      </c>
      <c r="B441" s="21" t="s">
        <v>5135</v>
      </c>
      <c r="C441" s="13" t="s">
        <v>5136</v>
      </c>
      <c r="D441" s="25" t="s">
        <v>5136</v>
      </c>
      <c r="E441" s="13"/>
      <c r="F441" s="41"/>
      <c r="G441" s="41"/>
      <c r="H441" s="41"/>
      <c r="I441" s="14" t="s">
        <v>2222</v>
      </c>
      <c r="J441" s="15">
        <v>44770</v>
      </c>
      <c r="K441" t="s">
        <v>2719</v>
      </c>
      <c r="L441" t="s">
        <v>51</v>
      </c>
      <c r="M441" t="s">
        <v>52</v>
      </c>
      <c r="N441" t="s">
        <v>53</v>
      </c>
      <c r="O441" t="s">
        <v>871</v>
      </c>
      <c r="P441" t="s">
        <v>5089</v>
      </c>
      <c r="Q441" t="s">
        <v>56</v>
      </c>
      <c r="R441" s="21" t="s">
        <v>5090</v>
      </c>
      <c r="S441" s="21"/>
      <c r="T441" t="s">
        <v>5137</v>
      </c>
      <c r="U441" t="s">
        <v>5138</v>
      </c>
      <c r="Y441" t="s">
        <v>2225</v>
      </c>
      <c r="AA441" s="15"/>
      <c r="AC441">
        <v>42.766160999999997</v>
      </c>
      <c r="AD441">
        <v>-84.382458999999997</v>
      </c>
      <c r="AE441" t="s">
        <v>5139</v>
      </c>
      <c r="AH441" t="s">
        <v>1715</v>
      </c>
      <c r="AI441" t="s">
        <v>63</v>
      </c>
      <c r="AJ441" t="s">
        <v>5140</v>
      </c>
      <c r="AK441">
        <v>192615</v>
      </c>
      <c r="AM441" t="s">
        <v>5141</v>
      </c>
      <c r="AN441" t="s">
        <v>5142</v>
      </c>
      <c r="AO441" t="s">
        <v>5143</v>
      </c>
      <c r="AP441" t="s">
        <v>68</v>
      </c>
      <c r="AR441" t="s">
        <v>5144</v>
      </c>
      <c r="AS441" t="s">
        <v>5145</v>
      </c>
      <c r="AT441" t="s">
        <v>5146</v>
      </c>
      <c r="AW441" s="14" t="s">
        <v>72</v>
      </c>
      <c r="AX441" s="14" t="s">
        <v>73</v>
      </c>
      <c r="AY441" s="14" t="s">
        <v>74</v>
      </c>
    </row>
    <row r="442" spans="1:51" ht="15" customHeight="1" x14ac:dyDescent="0.4">
      <c r="A442" s="12">
        <v>3772</v>
      </c>
      <c r="B442" s="21" t="s">
        <v>5147</v>
      </c>
      <c r="C442" s="13" t="s">
        <v>5148</v>
      </c>
      <c r="D442" s="25" t="s">
        <v>5148</v>
      </c>
      <c r="E442" s="13"/>
      <c r="F442" s="41"/>
      <c r="G442" s="41"/>
      <c r="H442" s="41"/>
      <c r="I442" s="14" t="s">
        <v>1878</v>
      </c>
      <c r="J442" s="15">
        <v>44770</v>
      </c>
      <c r="K442" t="s">
        <v>2719</v>
      </c>
      <c r="L442" t="s">
        <v>51</v>
      </c>
      <c r="M442" t="s">
        <v>52</v>
      </c>
      <c r="N442" t="s">
        <v>53</v>
      </c>
      <c r="O442" t="s">
        <v>871</v>
      </c>
      <c r="P442" t="s">
        <v>5089</v>
      </c>
      <c r="Q442" t="s">
        <v>56</v>
      </c>
      <c r="R442" s="21" t="s">
        <v>5090</v>
      </c>
      <c r="S442" s="21"/>
      <c r="T442" t="s">
        <v>5149</v>
      </c>
      <c r="U442" t="s">
        <v>5150</v>
      </c>
      <c r="Y442" t="s">
        <v>1881</v>
      </c>
      <c r="AA442" s="15"/>
      <c r="AC442">
        <v>42.766255000000001</v>
      </c>
      <c r="AD442">
        <v>-84.382334999999998</v>
      </c>
      <c r="AE442" t="s">
        <v>5093</v>
      </c>
      <c r="AH442" t="s">
        <v>1715</v>
      </c>
      <c r="AI442" t="s">
        <v>63</v>
      </c>
      <c r="AJ442" t="s">
        <v>5151</v>
      </c>
      <c r="AK442">
        <v>194212</v>
      </c>
      <c r="AM442" t="s">
        <v>5152</v>
      </c>
      <c r="AN442" t="s">
        <v>5153</v>
      </c>
      <c r="AO442" t="s">
        <v>5154</v>
      </c>
      <c r="AP442" t="s">
        <v>68</v>
      </c>
      <c r="AR442" t="s">
        <v>5155</v>
      </c>
      <c r="AS442" t="s">
        <v>5156</v>
      </c>
      <c r="AT442" t="s">
        <v>5157</v>
      </c>
      <c r="AW442" s="14" t="s">
        <v>72</v>
      </c>
      <c r="AX442" s="14" t="s">
        <v>73</v>
      </c>
      <c r="AY442" s="14" t="s">
        <v>1723</v>
      </c>
    </row>
    <row r="443" spans="1:51" ht="15" customHeight="1" x14ac:dyDescent="0.4">
      <c r="A443" s="12">
        <v>3773</v>
      </c>
      <c r="B443" s="21" t="s">
        <v>5158</v>
      </c>
      <c r="C443" s="13" t="s">
        <v>5159</v>
      </c>
      <c r="D443" s="25" t="s">
        <v>5159</v>
      </c>
      <c r="E443" s="13"/>
      <c r="F443" s="43" t="s">
        <v>2222</v>
      </c>
      <c r="G443" s="43" t="s">
        <v>8123</v>
      </c>
      <c r="H443" s="43"/>
      <c r="I443" s="14" t="s">
        <v>2222</v>
      </c>
      <c r="J443" s="15">
        <v>44770</v>
      </c>
      <c r="K443" t="s">
        <v>2719</v>
      </c>
      <c r="L443" t="s">
        <v>51</v>
      </c>
      <c r="M443" t="s">
        <v>52</v>
      </c>
      <c r="N443" t="s">
        <v>53</v>
      </c>
      <c r="O443" t="s">
        <v>871</v>
      </c>
      <c r="P443" t="s">
        <v>5089</v>
      </c>
      <c r="Q443" t="s">
        <v>56</v>
      </c>
      <c r="R443" s="21" t="s">
        <v>5090</v>
      </c>
      <c r="S443" s="21"/>
      <c r="T443" t="s">
        <v>5160</v>
      </c>
      <c r="U443" t="s">
        <v>5161</v>
      </c>
      <c r="Y443" t="s">
        <v>2225</v>
      </c>
      <c r="AA443" s="15"/>
      <c r="AC443">
        <v>42.765813999999999</v>
      </c>
      <c r="AD443">
        <v>-84.381325000000004</v>
      </c>
      <c r="AE443" t="s">
        <v>5162</v>
      </c>
      <c r="AH443" t="s">
        <v>1715</v>
      </c>
      <c r="AI443" t="s">
        <v>63</v>
      </c>
      <c r="AJ443" t="s">
        <v>5163</v>
      </c>
      <c r="AK443">
        <v>193365</v>
      </c>
      <c r="AM443" t="s">
        <v>5164</v>
      </c>
      <c r="AN443" t="s">
        <v>5165</v>
      </c>
      <c r="AO443" t="s">
        <v>5166</v>
      </c>
      <c r="AP443" t="s">
        <v>68</v>
      </c>
      <c r="AR443" t="s">
        <v>5167</v>
      </c>
      <c r="AS443" t="s">
        <v>5168</v>
      </c>
      <c r="AT443" t="s">
        <v>5169</v>
      </c>
      <c r="AW443" s="14" t="s">
        <v>72</v>
      </c>
      <c r="AX443" s="14" t="s">
        <v>73</v>
      </c>
      <c r="AY443" s="14" t="s">
        <v>74</v>
      </c>
    </row>
    <row r="444" spans="1:51" ht="15" customHeight="1" x14ac:dyDescent="0.4">
      <c r="A444" s="12">
        <v>3774</v>
      </c>
      <c r="B444" s="21" t="s">
        <v>5170</v>
      </c>
      <c r="C444" s="13" t="s">
        <v>5171</v>
      </c>
      <c r="D444" s="25" t="s">
        <v>5171</v>
      </c>
      <c r="E444" s="13"/>
      <c r="F444" s="41"/>
      <c r="G444" s="41"/>
      <c r="H444" s="41"/>
      <c r="I444" s="14" t="s">
        <v>1878</v>
      </c>
      <c r="J444" s="15">
        <v>44770</v>
      </c>
      <c r="K444" t="s">
        <v>2719</v>
      </c>
      <c r="L444" t="s">
        <v>51</v>
      </c>
      <c r="M444" t="s">
        <v>52</v>
      </c>
      <c r="N444" t="s">
        <v>53</v>
      </c>
      <c r="O444" t="s">
        <v>871</v>
      </c>
      <c r="P444" t="s">
        <v>5089</v>
      </c>
      <c r="Q444" t="s">
        <v>56</v>
      </c>
      <c r="R444" s="21" t="s">
        <v>5090</v>
      </c>
      <c r="S444" s="21"/>
      <c r="T444" t="s">
        <v>5172</v>
      </c>
      <c r="U444" t="s">
        <v>5173</v>
      </c>
      <c r="X444" t="s">
        <v>1758</v>
      </c>
      <c r="Y444" t="s">
        <v>1881</v>
      </c>
      <c r="AA444" s="15"/>
      <c r="AC444">
        <v>42.765597999999997</v>
      </c>
      <c r="AD444">
        <v>-84.378050000000002</v>
      </c>
      <c r="AE444" t="s">
        <v>3862</v>
      </c>
      <c r="AH444" t="s">
        <v>1715</v>
      </c>
      <c r="AI444" t="s">
        <v>63</v>
      </c>
      <c r="AJ444" t="s">
        <v>5174</v>
      </c>
      <c r="AK444">
        <v>194213</v>
      </c>
      <c r="AM444" t="s">
        <v>5175</v>
      </c>
      <c r="AN444" t="s">
        <v>5176</v>
      </c>
      <c r="AO444" t="s">
        <v>5177</v>
      </c>
      <c r="AP444" t="s">
        <v>68</v>
      </c>
      <c r="AR444" t="s">
        <v>5178</v>
      </c>
      <c r="AS444" t="s">
        <v>5179</v>
      </c>
      <c r="AT444" t="s">
        <v>5180</v>
      </c>
      <c r="AW444" s="14" t="s">
        <v>72</v>
      </c>
      <c r="AX444" s="14" t="s">
        <v>73</v>
      </c>
      <c r="AY444" s="14" t="s">
        <v>1723</v>
      </c>
    </row>
    <row r="445" spans="1:51" ht="15" customHeight="1" x14ac:dyDescent="0.4">
      <c r="A445" s="12">
        <v>3775</v>
      </c>
      <c r="B445" s="21" t="s">
        <v>5181</v>
      </c>
      <c r="C445" s="13" t="s">
        <v>5182</v>
      </c>
      <c r="D445" s="25" t="s">
        <v>5182</v>
      </c>
      <c r="E445" s="13"/>
      <c r="F445" s="41"/>
      <c r="G445" s="41"/>
      <c r="H445" s="41"/>
      <c r="I445" s="14" t="s">
        <v>2222</v>
      </c>
      <c r="J445" s="15">
        <v>44770</v>
      </c>
      <c r="K445" t="s">
        <v>2719</v>
      </c>
      <c r="L445" t="s">
        <v>51</v>
      </c>
      <c r="M445" t="s">
        <v>52</v>
      </c>
      <c r="N445" t="s">
        <v>53</v>
      </c>
      <c r="O445" t="s">
        <v>871</v>
      </c>
      <c r="P445" t="s">
        <v>5089</v>
      </c>
      <c r="Q445" t="s">
        <v>56</v>
      </c>
      <c r="R445" s="21" t="s">
        <v>5090</v>
      </c>
      <c r="S445" s="21"/>
      <c r="T445" t="s">
        <v>5183</v>
      </c>
      <c r="U445" t="s">
        <v>5184</v>
      </c>
      <c r="Y445" t="s">
        <v>2225</v>
      </c>
      <c r="AA445" s="15"/>
      <c r="AC445">
        <v>42.765287000000001</v>
      </c>
      <c r="AD445">
        <v>-84.382497000000001</v>
      </c>
      <c r="AE445" t="s">
        <v>5185</v>
      </c>
      <c r="AH445" t="s">
        <v>1715</v>
      </c>
      <c r="AI445" t="s">
        <v>63</v>
      </c>
      <c r="AJ445" t="s">
        <v>5186</v>
      </c>
      <c r="AK445">
        <v>192606</v>
      </c>
      <c r="AM445" t="s">
        <v>5187</v>
      </c>
      <c r="AN445" t="s">
        <v>5188</v>
      </c>
      <c r="AO445" t="s">
        <v>5189</v>
      </c>
      <c r="AP445" t="s">
        <v>68</v>
      </c>
      <c r="AR445" t="s">
        <v>5190</v>
      </c>
      <c r="AS445" t="s">
        <v>5191</v>
      </c>
      <c r="AT445" t="s">
        <v>5192</v>
      </c>
      <c r="AW445" s="14" t="s">
        <v>72</v>
      </c>
      <c r="AX445" s="14" t="s">
        <v>73</v>
      </c>
      <c r="AY445" s="14" t="s">
        <v>74</v>
      </c>
    </row>
    <row r="446" spans="1:51" ht="15" customHeight="1" x14ac:dyDescent="0.4">
      <c r="A446" s="12">
        <v>3776</v>
      </c>
      <c r="B446" s="21" t="s">
        <v>5193</v>
      </c>
      <c r="C446" s="13" t="s">
        <v>5194</v>
      </c>
      <c r="D446" s="25" t="s">
        <v>5194</v>
      </c>
      <c r="E446" s="13"/>
      <c r="F446" s="41"/>
      <c r="G446" s="41"/>
      <c r="H446" s="41"/>
      <c r="I446" s="14" t="s">
        <v>1878</v>
      </c>
      <c r="J446" s="15">
        <v>44770</v>
      </c>
      <c r="K446" t="s">
        <v>2719</v>
      </c>
      <c r="L446" t="s">
        <v>51</v>
      </c>
      <c r="M446" t="s">
        <v>52</v>
      </c>
      <c r="N446" t="s">
        <v>53</v>
      </c>
      <c r="O446" t="s">
        <v>871</v>
      </c>
      <c r="P446" t="s">
        <v>5089</v>
      </c>
      <c r="Q446" t="s">
        <v>56</v>
      </c>
      <c r="R446" s="21" t="s">
        <v>5090</v>
      </c>
      <c r="S446" s="21"/>
      <c r="T446" t="s">
        <v>5195</v>
      </c>
      <c r="U446" t="s">
        <v>5196</v>
      </c>
      <c r="Y446" t="s">
        <v>1881</v>
      </c>
      <c r="AA446" s="15"/>
      <c r="AC446">
        <v>42.765120000000003</v>
      </c>
      <c r="AD446">
        <v>-84.382422000000005</v>
      </c>
      <c r="AE446" t="s">
        <v>3031</v>
      </c>
      <c r="AH446" t="s">
        <v>1715</v>
      </c>
      <c r="AI446" t="s">
        <v>63</v>
      </c>
      <c r="AJ446" t="s">
        <v>5197</v>
      </c>
      <c r="AK446">
        <v>194214</v>
      </c>
      <c r="AM446" t="s">
        <v>5198</v>
      </c>
      <c r="AN446" t="s">
        <v>5199</v>
      </c>
      <c r="AO446" t="s">
        <v>5200</v>
      </c>
      <c r="AP446" t="s">
        <v>68</v>
      </c>
      <c r="AR446" t="s">
        <v>5201</v>
      </c>
      <c r="AS446" t="s">
        <v>5202</v>
      </c>
      <c r="AT446" t="s">
        <v>5203</v>
      </c>
      <c r="AW446" s="14" t="s">
        <v>72</v>
      </c>
      <c r="AX446" s="14" t="s">
        <v>73</v>
      </c>
      <c r="AY446" s="14" t="s">
        <v>1723</v>
      </c>
    </row>
    <row r="447" spans="1:51" ht="15" customHeight="1" x14ac:dyDescent="0.4">
      <c r="A447" s="12">
        <v>3777</v>
      </c>
      <c r="B447" s="21" t="s">
        <v>5204</v>
      </c>
      <c r="C447" s="13" t="s">
        <v>5205</v>
      </c>
      <c r="D447" s="25" t="s">
        <v>5205</v>
      </c>
      <c r="E447" s="13"/>
      <c r="F447" s="41"/>
      <c r="G447" s="41"/>
      <c r="H447" s="41"/>
      <c r="I447" s="14" t="s">
        <v>49</v>
      </c>
      <c r="J447" s="15">
        <v>44770</v>
      </c>
      <c r="K447" t="s">
        <v>2719</v>
      </c>
      <c r="L447" t="s">
        <v>51</v>
      </c>
      <c r="M447" t="s">
        <v>52</v>
      </c>
      <c r="N447" t="s">
        <v>53</v>
      </c>
      <c r="O447" t="s">
        <v>871</v>
      </c>
      <c r="P447" t="s">
        <v>5089</v>
      </c>
      <c r="Q447" t="s">
        <v>56</v>
      </c>
      <c r="R447" s="21" t="s">
        <v>5090</v>
      </c>
      <c r="S447" s="21"/>
      <c r="T447" t="s">
        <v>5206</v>
      </c>
      <c r="U447" t="s">
        <v>5207</v>
      </c>
      <c r="X447" t="s">
        <v>2321</v>
      </c>
      <c r="Y447" t="s">
        <v>60</v>
      </c>
      <c r="AA447" s="15"/>
      <c r="AC447">
        <v>42.765065999999997</v>
      </c>
      <c r="AD447">
        <v>-84.389009000000001</v>
      </c>
      <c r="AE447" t="s">
        <v>5208</v>
      </c>
      <c r="AH447" t="s">
        <v>1715</v>
      </c>
      <c r="AI447" t="s">
        <v>63</v>
      </c>
      <c r="AJ447" t="s">
        <v>5209</v>
      </c>
      <c r="AK447">
        <v>194458</v>
      </c>
      <c r="AM447" t="s">
        <v>5210</v>
      </c>
      <c r="AN447" t="s">
        <v>5211</v>
      </c>
      <c r="AO447" t="s">
        <v>5212</v>
      </c>
      <c r="AP447" t="s">
        <v>68</v>
      </c>
      <c r="AR447" t="s">
        <v>5213</v>
      </c>
      <c r="AS447" t="s">
        <v>5214</v>
      </c>
      <c r="AT447" t="s">
        <v>5215</v>
      </c>
      <c r="AW447" s="14" t="s">
        <v>72</v>
      </c>
      <c r="AX447" s="14" t="s">
        <v>73</v>
      </c>
      <c r="AY447" s="14" t="s">
        <v>74</v>
      </c>
    </row>
    <row r="448" spans="1:51" ht="15" customHeight="1" x14ac:dyDescent="0.4">
      <c r="A448" s="12">
        <v>3778</v>
      </c>
      <c r="B448" s="21" t="s">
        <v>5216</v>
      </c>
      <c r="C448" s="13" t="s">
        <v>5217</v>
      </c>
      <c r="D448" s="25" t="s">
        <v>5217</v>
      </c>
      <c r="E448" s="13"/>
      <c r="F448" s="41"/>
      <c r="G448" s="41"/>
      <c r="H448" s="41"/>
      <c r="I448" s="14" t="s">
        <v>1829</v>
      </c>
      <c r="J448" s="15">
        <v>44775</v>
      </c>
      <c r="K448" t="s">
        <v>2719</v>
      </c>
      <c r="L448" t="s">
        <v>51</v>
      </c>
      <c r="M448" t="s">
        <v>52</v>
      </c>
      <c r="N448" t="s">
        <v>53</v>
      </c>
      <c r="O448" t="s">
        <v>651</v>
      </c>
      <c r="P448" t="s">
        <v>1708</v>
      </c>
      <c r="Q448" t="s">
        <v>56</v>
      </c>
      <c r="R448" s="21" t="s">
        <v>5218</v>
      </c>
      <c r="S448" s="21"/>
      <c r="T448" t="s">
        <v>5219</v>
      </c>
      <c r="U448" t="s">
        <v>5220</v>
      </c>
      <c r="X448" t="s">
        <v>1758</v>
      </c>
      <c r="Y448" t="s">
        <v>1832</v>
      </c>
      <c r="AA448" s="15"/>
      <c r="AC448">
        <v>38.980761999999999</v>
      </c>
      <c r="AD448">
        <v>-94.789191000000002</v>
      </c>
      <c r="AE448" t="s">
        <v>5221</v>
      </c>
      <c r="AH448" t="s">
        <v>1715</v>
      </c>
      <c r="AI448" t="s">
        <v>63</v>
      </c>
      <c r="AJ448" t="s">
        <v>5222</v>
      </c>
      <c r="AK448">
        <v>194534</v>
      </c>
      <c r="AM448" t="s">
        <v>5223</v>
      </c>
      <c r="AN448" t="s">
        <v>5224</v>
      </c>
      <c r="AO448" t="s">
        <v>5225</v>
      </c>
      <c r="AP448" t="s">
        <v>68</v>
      </c>
      <c r="AR448" t="s">
        <v>5226</v>
      </c>
      <c r="AS448" t="s">
        <v>5227</v>
      </c>
      <c r="AT448" t="s">
        <v>5228</v>
      </c>
      <c r="AW448" s="14" t="s">
        <v>72</v>
      </c>
      <c r="AX448" s="14" t="s">
        <v>73</v>
      </c>
      <c r="AY448" s="14" t="s">
        <v>74</v>
      </c>
    </row>
    <row r="449" spans="1:51" ht="15" customHeight="1" x14ac:dyDescent="0.4">
      <c r="A449" s="12">
        <v>3779</v>
      </c>
      <c r="B449" s="21" t="s">
        <v>5229</v>
      </c>
      <c r="C449" s="13" t="s">
        <v>5230</v>
      </c>
      <c r="D449" s="25" t="s">
        <v>5230</v>
      </c>
      <c r="E449" s="13"/>
      <c r="F449" s="41"/>
      <c r="G449" s="41"/>
      <c r="H449" s="41"/>
      <c r="I449" s="14" t="s">
        <v>49</v>
      </c>
      <c r="J449" s="15">
        <v>44775</v>
      </c>
      <c r="K449" t="s">
        <v>2719</v>
      </c>
      <c r="L449" t="s">
        <v>51</v>
      </c>
      <c r="M449" t="s">
        <v>52</v>
      </c>
      <c r="N449" t="s">
        <v>53</v>
      </c>
      <c r="O449" t="s">
        <v>651</v>
      </c>
      <c r="P449" t="s">
        <v>1708</v>
      </c>
      <c r="Q449" t="s">
        <v>56</v>
      </c>
      <c r="R449" s="21" t="s">
        <v>5218</v>
      </c>
      <c r="S449" s="21"/>
      <c r="T449" t="s">
        <v>5231</v>
      </c>
      <c r="U449" t="s">
        <v>5232</v>
      </c>
      <c r="Y449" t="s">
        <v>60</v>
      </c>
      <c r="AA449" s="15"/>
      <c r="AC449">
        <v>38.980803999999999</v>
      </c>
      <c r="AD449">
        <v>-94.789401999999995</v>
      </c>
      <c r="AE449" t="s">
        <v>5233</v>
      </c>
      <c r="AH449" t="s">
        <v>1715</v>
      </c>
      <c r="AI449" t="s">
        <v>63</v>
      </c>
      <c r="AJ449" t="s">
        <v>5234</v>
      </c>
      <c r="AK449">
        <v>194457</v>
      </c>
      <c r="AM449" t="s">
        <v>5235</v>
      </c>
      <c r="AN449" t="s">
        <v>5236</v>
      </c>
      <c r="AO449" t="s">
        <v>5237</v>
      </c>
      <c r="AP449" t="s">
        <v>68</v>
      </c>
      <c r="AR449" t="s">
        <v>5238</v>
      </c>
      <c r="AS449" t="s">
        <v>5239</v>
      </c>
      <c r="AT449" t="s">
        <v>5240</v>
      </c>
      <c r="AW449" s="14" t="s">
        <v>72</v>
      </c>
      <c r="AX449" s="14" t="s">
        <v>73</v>
      </c>
      <c r="AY449" s="14" t="s">
        <v>74</v>
      </c>
    </row>
    <row r="450" spans="1:51" ht="15" customHeight="1" x14ac:dyDescent="0.4">
      <c r="A450" s="12">
        <v>3780</v>
      </c>
      <c r="B450" s="21" t="s">
        <v>5241</v>
      </c>
      <c r="C450" s="13" t="s">
        <v>5242</v>
      </c>
      <c r="D450" s="25" t="s">
        <v>5242</v>
      </c>
      <c r="E450" s="13"/>
      <c r="F450" s="41"/>
      <c r="G450" s="41"/>
      <c r="H450" s="41"/>
      <c r="I450" s="14" t="s">
        <v>1829</v>
      </c>
      <c r="J450" s="15">
        <v>44775</v>
      </c>
      <c r="K450" t="s">
        <v>2719</v>
      </c>
      <c r="L450" t="s">
        <v>51</v>
      </c>
      <c r="M450" t="s">
        <v>52</v>
      </c>
      <c r="N450" t="s">
        <v>53</v>
      </c>
      <c r="O450" t="s">
        <v>651</v>
      </c>
      <c r="P450" t="s">
        <v>1708</v>
      </c>
      <c r="Q450" t="s">
        <v>56</v>
      </c>
      <c r="R450" s="21" t="s">
        <v>5218</v>
      </c>
      <c r="S450" s="21"/>
      <c r="T450" t="s">
        <v>5243</v>
      </c>
      <c r="U450" t="s">
        <v>5244</v>
      </c>
      <c r="Y450" t="s">
        <v>1832</v>
      </c>
      <c r="AA450" s="15"/>
      <c r="AC450">
        <v>38.981130999999998</v>
      </c>
      <c r="AD450">
        <v>-94.790356000000003</v>
      </c>
      <c r="AE450" t="s">
        <v>5245</v>
      </c>
      <c r="AH450" t="s">
        <v>1715</v>
      </c>
      <c r="AI450" t="s">
        <v>63</v>
      </c>
      <c r="AJ450" t="s">
        <v>5246</v>
      </c>
      <c r="AK450">
        <v>194535</v>
      </c>
      <c r="AM450" t="s">
        <v>5247</v>
      </c>
      <c r="AN450" t="s">
        <v>5248</v>
      </c>
      <c r="AO450" t="s">
        <v>5249</v>
      </c>
      <c r="AP450" t="s">
        <v>68</v>
      </c>
      <c r="AR450" t="s">
        <v>5250</v>
      </c>
      <c r="AS450" t="s">
        <v>5251</v>
      </c>
      <c r="AT450" t="s">
        <v>5252</v>
      </c>
      <c r="AW450" s="14" t="s">
        <v>72</v>
      </c>
      <c r="AX450" s="14" t="s">
        <v>73</v>
      </c>
      <c r="AY450" s="14" t="s">
        <v>74</v>
      </c>
    </row>
    <row r="451" spans="1:51" ht="15" customHeight="1" x14ac:dyDescent="0.4">
      <c r="A451" s="12">
        <v>3781</v>
      </c>
      <c r="B451" s="21" t="s">
        <v>5253</v>
      </c>
      <c r="C451" s="13" t="s">
        <v>5254</v>
      </c>
      <c r="D451" s="25" t="s">
        <v>5254</v>
      </c>
      <c r="E451" s="13"/>
      <c r="F451" s="41"/>
      <c r="G451" s="41"/>
      <c r="H451" s="41"/>
      <c r="I451" s="14" t="s">
        <v>49</v>
      </c>
      <c r="J451" s="15">
        <v>44775</v>
      </c>
      <c r="K451" t="s">
        <v>2719</v>
      </c>
      <c r="L451" t="s">
        <v>51</v>
      </c>
      <c r="M451" t="s">
        <v>52</v>
      </c>
      <c r="N451" t="s">
        <v>53</v>
      </c>
      <c r="O451" t="s">
        <v>651</v>
      </c>
      <c r="P451" t="s">
        <v>1708</v>
      </c>
      <c r="Q451" t="s">
        <v>56</v>
      </c>
      <c r="R451" s="21" t="s">
        <v>5218</v>
      </c>
      <c r="S451" s="21"/>
      <c r="T451" t="s">
        <v>5255</v>
      </c>
      <c r="U451" t="s">
        <v>5256</v>
      </c>
      <c r="Y451" t="s">
        <v>60</v>
      </c>
      <c r="AA451" s="15"/>
      <c r="AC451">
        <v>38.981180999999999</v>
      </c>
      <c r="AD451">
        <v>-94.790358999999995</v>
      </c>
      <c r="AE451" t="s">
        <v>5257</v>
      </c>
      <c r="AH451" t="s">
        <v>1715</v>
      </c>
      <c r="AI451" t="s">
        <v>63</v>
      </c>
      <c r="AJ451" t="s">
        <v>5258</v>
      </c>
      <c r="AK451">
        <v>192652</v>
      </c>
      <c r="AM451" t="s">
        <v>5259</v>
      </c>
      <c r="AN451" t="s">
        <v>5260</v>
      </c>
      <c r="AO451" t="s">
        <v>5261</v>
      </c>
      <c r="AP451" t="s">
        <v>68</v>
      </c>
      <c r="AR451" t="s">
        <v>5262</v>
      </c>
      <c r="AS451" t="s">
        <v>5263</v>
      </c>
      <c r="AT451" t="s">
        <v>5264</v>
      </c>
      <c r="AW451" s="14" t="s">
        <v>72</v>
      </c>
      <c r="AX451" s="14" t="s">
        <v>73</v>
      </c>
      <c r="AY451" s="14" t="s">
        <v>74</v>
      </c>
    </row>
    <row r="452" spans="1:51" ht="15" customHeight="1" x14ac:dyDescent="0.4">
      <c r="A452" s="12">
        <v>3782</v>
      </c>
      <c r="B452" s="21" t="s">
        <v>5265</v>
      </c>
      <c r="C452" s="13" t="s">
        <v>5266</v>
      </c>
      <c r="D452" s="25" t="s">
        <v>5266</v>
      </c>
      <c r="E452" s="13"/>
      <c r="F452" s="41"/>
      <c r="G452" s="41"/>
      <c r="H452" s="41"/>
      <c r="I452" s="14" t="s">
        <v>1752</v>
      </c>
      <c r="J452" s="15">
        <v>44775</v>
      </c>
      <c r="K452" t="s">
        <v>2719</v>
      </c>
      <c r="L452" t="s">
        <v>51</v>
      </c>
      <c r="M452" t="s">
        <v>52</v>
      </c>
      <c r="N452" t="s">
        <v>53</v>
      </c>
      <c r="O452" t="s">
        <v>651</v>
      </c>
      <c r="P452" t="s">
        <v>1708</v>
      </c>
      <c r="Q452" t="s">
        <v>56</v>
      </c>
      <c r="R452" s="21" t="s">
        <v>5218</v>
      </c>
      <c r="S452" s="21"/>
      <c r="T452" t="s">
        <v>5267</v>
      </c>
      <c r="U452" t="s">
        <v>5268</v>
      </c>
      <c r="X452" t="s">
        <v>2321</v>
      </c>
      <c r="Y452" t="s">
        <v>1759</v>
      </c>
      <c r="AA452" s="15"/>
      <c r="AC452">
        <v>38.981382000000004</v>
      </c>
      <c r="AD452">
        <v>-94.791557999999995</v>
      </c>
      <c r="AE452" t="s">
        <v>5269</v>
      </c>
      <c r="AH452" t="s">
        <v>1715</v>
      </c>
      <c r="AI452" t="s">
        <v>63</v>
      </c>
      <c r="AJ452" t="s">
        <v>5270</v>
      </c>
      <c r="AK452">
        <v>193523</v>
      </c>
      <c r="AM452" t="s">
        <v>5271</v>
      </c>
      <c r="AN452" t="s">
        <v>5272</v>
      </c>
      <c r="AO452" t="s">
        <v>5273</v>
      </c>
      <c r="AP452" t="s">
        <v>68</v>
      </c>
      <c r="AR452" t="s">
        <v>5274</v>
      </c>
      <c r="AS452" t="s">
        <v>5275</v>
      </c>
      <c r="AT452" t="s">
        <v>5276</v>
      </c>
      <c r="AW452" s="14" t="s">
        <v>72</v>
      </c>
      <c r="AX452" s="14" t="s">
        <v>73</v>
      </c>
      <c r="AY452" s="14" t="s">
        <v>1768</v>
      </c>
    </row>
    <row r="453" spans="1:51" ht="15" customHeight="1" x14ac:dyDescent="0.4">
      <c r="A453" s="12">
        <v>3783</v>
      </c>
      <c r="B453" s="21" t="s">
        <v>5277</v>
      </c>
      <c r="C453" s="13" t="s">
        <v>5278</v>
      </c>
      <c r="D453" s="25" t="s">
        <v>5278</v>
      </c>
      <c r="E453" s="13"/>
      <c r="F453" s="41"/>
      <c r="G453" s="41"/>
      <c r="H453" s="41"/>
      <c r="I453" s="14" t="s">
        <v>49</v>
      </c>
      <c r="J453" s="15">
        <v>44775</v>
      </c>
      <c r="K453" t="s">
        <v>2719</v>
      </c>
      <c r="L453" t="s">
        <v>51</v>
      </c>
      <c r="M453" t="s">
        <v>52</v>
      </c>
      <c r="N453" t="s">
        <v>53</v>
      </c>
      <c r="O453" t="s">
        <v>651</v>
      </c>
      <c r="P453" t="s">
        <v>1708</v>
      </c>
      <c r="Q453" t="s">
        <v>56</v>
      </c>
      <c r="R453" s="21" t="s">
        <v>5218</v>
      </c>
      <c r="S453" s="21"/>
      <c r="T453" t="s">
        <v>5279</v>
      </c>
      <c r="U453" t="s">
        <v>5280</v>
      </c>
      <c r="Y453" t="s">
        <v>60</v>
      </c>
      <c r="AA453" s="15"/>
      <c r="AC453">
        <v>38.981467000000002</v>
      </c>
      <c r="AD453">
        <v>-94.791895999999994</v>
      </c>
      <c r="AE453" t="s">
        <v>5281</v>
      </c>
      <c r="AH453" t="s">
        <v>1715</v>
      </c>
      <c r="AI453" t="s">
        <v>63</v>
      </c>
      <c r="AJ453" t="s">
        <v>5282</v>
      </c>
      <c r="AK453">
        <v>192645</v>
      </c>
      <c r="AM453" t="s">
        <v>5283</v>
      </c>
      <c r="AN453" t="s">
        <v>5284</v>
      </c>
      <c r="AO453" t="s">
        <v>5285</v>
      </c>
      <c r="AP453" t="s">
        <v>68</v>
      </c>
      <c r="AR453" t="s">
        <v>5286</v>
      </c>
      <c r="AS453" t="s">
        <v>5287</v>
      </c>
      <c r="AT453" t="s">
        <v>5288</v>
      </c>
      <c r="AW453" s="14" t="s">
        <v>72</v>
      </c>
      <c r="AX453" s="14" t="s">
        <v>73</v>
      </c>
      <c r="AY453" s="14" t="s">
        <v>74</v>
      </c>
    </row>
    <row r="454" spans="1:51" ht="15" customHeight="1" x14ac:dyDescent="0.4">
      <c r="A454" s="12">
        <v>3784</v>
      </c>
      <c r="B454" s="21" t="s">
        <v>5289</v>
      </c>
      <c r="C454" s="13" t="s">
        <v>5290</v>
      </c>
      <c r="D454" s="25" t="s">
        <v>5290</v>
      </c>
      <c r="E454" s="13"/>
      <c r="F454" s="41"/>
      <c r="G454" s="41"/>
      <c r="H454" s="41"/>
      <c r="I454" s="14" t="s">
        <v>1829</v>
      </c>
      <c r="J454" s="15">
        <v>44775</v>
      </c>
      <c r="K454" t="s">
        <v>2719</v>
      </c>
      <c r="L454" t="s">
        <v>51</v>
      </c>
      <c r="M454" t="s">
        <v>52</v>
      </c>
      <c r="N454" t="s">
        <v>53</v>
      </c>
      <c r="O454" t="s">
        <v>651</v>
      </c>
      <c r="P454" t="s">
        <v>1708</v>
      </c>
      <c r="Q454" t="s">
        <v>56</v>
      </c>
      <c r="R454" s="21" t="s">
        <v>5218</v>
      </c>
      <c r="S454" s="21"/>
      <c r="T454" t="s">
        <v>5291</v>
      </c>
      <c r="U454" t="s">
        <v>5292</v>
      </c>
      <c r="X454" t="s">
        <v>1758</v>
      </c>
      <c r="Y454" t="s">
        <v>1832</v>
      </c>
      <c r="AA454" s="15"/>
      <c r="AC454">
        <v>38.981538999999998</v>
      </c>
      <c r="AD454">
        <v>-94.792304999999999</v>
      </c>
      <c r="AE454" t="s">
        <v>5293</v>
      </c>
      <c r="AH454" t="s">
        <v>1715</v>
      </c>
      <c r="AI454" t="s">
        <v>63</v>
      </c>
      <c r="AJ454" t="s">
        <v>5294</v>
      </c>
      <c r="AK454">
        <v>194536</v>
      </c>
      <c r="AM454" t="s">
        <v>5295</v>
      </c>
      <c r="AN454" t="s">
        <v>5296</v>
      </c>
      <c r="AO454" t="s">
        <v>5297</v>
      </c>
      <c r="AP454" t="s">
        <v>68</v>
      </c>
      <c r="AR454" t="s">
        <v>5298</v>
      </c>
      <c r="AS454" t="s">
        <v>5299</v>
      </c>
      <c r="AT454" t="s">
        <v>5300</v>
      </c>
      <c r="AW454" s="14" t="s">
        <v>72</v>
      </c>
      <c r="AX454" s="14" t="s">
        <v>73</v>
      </c>
      <c r="AY454" s="14" t="s">
        <v>74</v>
      </c>
    </row>
    <row r="455" spans="1:51" ht="15" customHeight="1" x14ac:dyDescent="0.4">
      <c r="A455" s="12">
        <v>3785</v>
      </c>
      <c r="B455" s="21" t="s">
        <v>5301</v>
      </c>
      <c r="C455" s="13" t="s">
        <v>5302</v>
      </c>
      <c r="D455" s="25" t="s">
        <v>5302</v>
      </c>
      <c r="E455" s="13"/>
      <c r="F455" s="41"/>
      <c r="G455" s="41"/>
      <c r="H455" s="41"/>
      <c r="I455" s="14" t="s">
        <v>49</v>
      </c>
      <c r="J455" s="15">
        <v>44775</v>
      </c>
      <c r="K455" t="s">
        <v>2719</v>
      </c>
      <c r="L455" t="s">
        <v>51</v>
      </c>
      <c r="M455" t="s">
        <v>52</v>
      </c>
      <c r="N455" t="s">
        <v>53</v>
      </c>
      <c r="O455" t="s">
        <v>651</v>
      </c>
      <c r="P455" t="s">
        <v>1708</v>
      </c>
      <c r="Q455" t="s">
        <v>56</v>
      </c>
      <c r="R455" s="21" t="s">
        <v>5218</v>
      </c>
      <c r="S455" s="21"/>
      <c r="T455" t="s">
        <v>5303</v>
      </c>
      <c r="U455" t="s">
        <v>5304</v>
      </c>
      <c r="Y455" t="s">
        <v>60</v>
      </c>
      <c r="AA455" s="15"/>
      <c r="AC455">
        <v>38.981904</v>
      </c>
      <c r="AD455">
        <v>-94.793730999999994</v>
      </c>
      <c r="AE455" t="s">
        <v>5305</v>
      </c>
      <c r="AH455" t="s">
        <v>1715</v>
      </c>
      <c r="AI455" t="s">
        <v>63</v>
      </c>
      <c r="AJ455" t="s">
        <v>5306</v>
      </c>
      <c r="AK455">
        <v>192651</v>
      </c>
      <c r="AM455" t="s">
        <v>5307</v>
      </c>
      <c r="AN455" t="s">
        <v>5308</v>
      </c>
      <c r="AO455" t="s">
        <v>5309</v>
      </c>
      <c r="AP455" t="s">
        <v>68</v>
      </c>
      <c r="AR455" t="s">
        <v>5310</v>
      </c>
      <c r="AS455" t="s">
        <v>5311</v>
      </c>
      <c r="AT455" t="s">
        <v>5312</v>
      </c>
      <c r="AW455" s="14" t="s">
        <v>72</v>
      </c>
      <c r="AX455" s="14" t="s">
        <v>73</v>
      </c>
      <c r="AY455" s="14" t="s">
        <v>74</v>
      </c>
    </row>
    <row r="456" spans="1:51" ht="15" customHeight="1" x14ac:dyDescent="0.4">
      <c r="A456" s="12">
        <v>3786</v>
      </c>
      <c r="B456" s="21" t="s">
        <v>5313</v>
      </c>
      <c r="C456" s="13" t="s">
        <v>5314</v>
      </c>
      <c r="D456" s="25" t="s">
        <v>5314</v>
      </c>
      <c r="E456" s="13"/>
      <c r="F456" s="41"/>
      <c r="G456" s="41"/>
      <c r="H456" s="41"/>
      <c r="I456" s="14" t="s">
        <v>1829</v>
      </c>
      <c r="J456" s="15">
        <v>44775</v>
      </c>
      <c r="K456" t="s">
        <v>2719</v>
      </c>
      <c r="L456" t="s">
        <v>51</v>
      </c>
      <c r="M456" t="s">
        <v>52</v>
      </c>
      <c r="N456" t="s">
        <v>53</v>
      </c>
      <c r="O456" t="s">
        <v>651</v>
      </c>
      <c r="P456" t="s">
        <v>1708</v>
      </c>
      <c r="Q456" t="s">
        <v>56</v>
      </c>
      <c r="R456" s="21" t="s">
        <v>5218</v>
      </c>
      <c r="S456" s="21"/>
      <c r="T456" t="s">
        <v>5315</v>
      </c>
      <c r="U456" t="s">
        <v>5316</v>
      </c>
      <c r="X456" t="s">
        <v>1758</v>
      </c>
      <c r="Y456" t="s">
        <v>1832</v>
      </c>
      <c r="AA456" s="15"/>
      <c r="AC456">
        <v>38.981892999999999</v>
      </c>
      <c r="AD456">
        <v>-94.793893999999995</v>
      </c>
      <c r="AE456" t="s">
        <v>5305</v>
      </c>
      <c r="AH456" t="s">
        <v>1715</v>
      </c>
      <c r="AI456" t="s">
        <v>63</v>
      </c>
      <c r="AJ456" t="s">
        <v>5317</v>
      </c>
      <c r="AK456">
        <v>194537</v>
      </c>
      <c r="AM456" t="s">
        <v>5318</v>
      </c>
      <c r="AN456" t="s">
        <v>5319</v>
      </c>
      <c r="AO456" t="s">
        <v>5320</v>
      </c>
      <c r="AP456" t="s">
        <v>68</v>
      </c>
      <c r="AR456" t="s">
        <v>5321</v>
      </c>
      <c r="AS456" t="s">
        <v>5322</v>
      </c>
      <c r="AT456" t="s">
        <v>5323</v>
      </c>
      <c r="AW456" s="14" t="s">
        <v>72</v>
      </c>
      <c r="AX456" s="14" t="s">
        <v>73</v>
      </c>
      <c r="AY456" s="14" t="s">
        <v>74</v>
      </c>
    </row>
    <row r="457" spans="1:51" ht="15" customHeight="1" x14ac:dyDescent="0.4">
      <c r="A457" s="12">
        <v>3787</v>
      </c>
      <c r="B457" s="21" t="s">
        <v>5324</v>
      </c>
      <c r="C457" s="13" t="s">
        <v>5325</v>
      </c>
      <c r="D457" s="25" t="s">
        <v>5325</v>
      </c>
      <c r="E457" s="13"/>
      <c r="F457" s="41"/>
      <c r="G457" s="41"/>
      <c r="H457" s="41"/>
      <c r="I457" s="14" t="s">
        <v>49</v>
      </c>
      <c r="J457" s="15">
        <v>44775</v>
      </c>
      <c r="K457" t="s">
        <v>2719</v>
      </c>
      <c r="L457" t="s">
        <v>51</v>
      </c>
      <c r="M457" t="s">
        <v>52</v>
      </c>
      <c r="N457" t="s">
        <v>53</v>
      </c>
      <c r="O457" t="s">
        <v>651</v>
      </c>
      <c r="P457" t="s">
        <v>1708</v>
      </c>
      <c r="Q457" t="s">
        <v>56</v>
      </c>
      <c r="R457" s="21" t="s">
        <v>5218</v>
      </c>
      <c r="S457" s="21"/>
      <c r="T457" t="s">
        <v>5326</v>
      </c>
      <c r="U457" t="s">
        <v>5327</v>
      </c>
      <c r="X457" t="s">
        <v>1758</v>
      </c>
      <c r="Y457" t="s">
        <v>60</v>
      </c>
      <c r="AA457" s="15"/>
      <c r="AC457">
        <v>38.981943999999999</v>
      </c>
      <c r="AD457">
        <v>-94.794163999999995</v>
      </c>
      <c r="AE457" t="s">
        <v>5305</v>
      </c>
      <c r="AH457" t="s">
        <v>1715</v>
      </c>
      <c r="AI457" t="s">
        <v>63</v>
      </c>
      <c r="AJ457" t="s">
        <v>5328</v>
      </c>
      <c r="AK457">
        <v>192660</v>
      </c>
      <c r="AM457" t="s">
        <v>5329</v>
      </c>
      <c r="AN457" t="s">
        <v>5330</v>
      </c>
      <c r="AO457" t="s">
        <v>5331</v>
      </c>
      <c r="AP457" t="s">
        <v>68</v>
      </c>
      <c r="AR457" t="s">
        <v>5332</v>
      </c>
      <c r="AS457" t="s">
        <v>5333</v>
      </c>
      <c r="AT457" t="s">
        <v>5334</v>
      </c>
      <c r="AW457" s="14" t="s">
        <v>72</v>
      </c>
      <c r="AX457" s="14" t="s">
        <v>73</v>
      </c>
      <c r="AY457" s="14" t="s">
        <v>74</v>
      </c>
    </row>
    <row r="458" spans="1:51" ht="15" customHeight="1" x14ac:dyDescent="0.4">
      <c r="A458" s="12">
        <v>3788</v>
      </c>
      <c r="B458" s="21" t="s">
        <v>5335</v>
      </c>
      <c r="C458" s="13" t="s">
        <v>5336</v>
      </c>
      <c r="D458" s="25" t="s">
        <v>5336</v>
      </c>
      <c r="E458" s="13"/>
      <c r="F458" s="41"/>
      <c r="G458" s="41"/>
      <c r="H458" s="41"/>
      <c r="I458" s="14" t="s">
        <v>1829</v>
      </c>
      <c r="J458" s="15">
        <v>44775</v>
      </c>
      <c r="K458" t="s">
        <v>2719</v>
      </c>
      <c r="L458" t="s">
        <v>51</v>
      </c>
      <c r="M458" t="s">
        <v>52</v>
      </c>
      <c r="N458" t="s">
        <v>53</v>
      </c>
      <c r="O458" t="s">
        <v>651</v>
      </c>
      <c r="P458" t="s">
        <v>1708</v>
      </c>
      <c r="Q458" t="s">
        <v>56</v>
      </c>
      <c r="R458" s="21" t="s">
        <v>5218</v>
      </c>
      <c r="S458" s="21"/>
      <c r="T458" t="s">
        <v>5326</v>
      </c>
      <c r="U458" t="s">
        <v>5337</v>
      </c>
      <c r="Y458" t="s">
        <v>1832</v>
      </c>
      <c r="AA458" s="15"/>
      <c r="AC458">
        <v>38.982532999999997</v>
      </c>
      <c r="AD458">
        <v>-94.795299</v>
      </c>
      <c r="AE458" t="s">
        <v>4916</v>
      </c>
      <c r="AH458" t="s">
        <v>1715</v>
      </c>
      <c r="AI458" t="s">
        <v>63</v>
      </c>
      <c r="AJ458" t="s">
        <v>5338</v>
      </c>
      <c r="AK458">
        <v>194538</v>
      </c>
      <c r="AM458" t="s">
        <v>5339</v>
      </c>
      <c r="AN458" t="s">
        <v>5340</v>
      </c>
      <c r="AO458" t="s">
        <v>5341</v>
      </c>
      <c r="AP458" t="s">
        <v>68</v>
      </c>
      <c r="AR458" t="s">
        <v>5342</v>
      </c>
      <c r="AS458" t="s">
        <v>5343</v>
      </c>
      <c r="AT458" t="s">
        <v>5344</v>
      </c>
      <c r="AW458" s="14" t="s">
        <v>72</v>
      </c>
      <c r="AX458" s="14" t="s">
        <v>73</v>
      </c>
      <c r="AY458" s="14" t="s">
        <v>74</v>
      </c>
    </row>
    <row r="459" spans="1:51" ht="15" customHeight="1" x14ac:dyDescent="0.4">
      <c r="A459" s="12">
        <v>3789</v>
      </c>
      <c r="B459" s="21" t="s">
        <v>5345</v>
      </c>
      <c r="C459" s="13" t="s">
        <v>5346</v>
      </c>
      <c r="D459" s="25" t="s">
        <v>5346</v>
      </c>
      <c r="E459" s="13"/>
      <c r="F459" s="41"/>
      <c r="G459" s="41"/>
      <c r="H459" s="41"/>
      <c r="I459" s="14" t="s">
        <v>1752</v>
      </c>
      <c r="J459" s="15">
        <v>44775</v>
      </c>
      <c r="K459" t="s">
        <v>2719</v>
      </c>
      <c r="L459" t="s">
        <v>51</v>
      </c>
      <c r="M459" t="s">
        <v>52</v>
      </c>
      <c r="N459" t="s">
        <v>53</v>
      </c>
      <c r="O459" t="s">
        <v>651</v>
      </c>
      <c r="P459" t="s">
        <v>1708</v>
      </c>
      <c r="Q459" t="s">
        <v>56</v>
      </c>
      <c r="R459" s="21" t="s">
        <v>5218</v>
      </c>
      <c r="S459" s="21"/>
      <c r="T459" t="s">
        <v>5347</v>
      </c>
      <c r="U459" t="s">
        <v>5348</v>
      </c>
      <c r="X459" t="s">
        <v>2336</v>
      </c>
      <c r="Y459" t="s">
        <v>1759</v>
      </c>
      <c r="AA459" s="15"/>
      <c r="AC459">
        <v>38.980547999999999</v>
      </c>
      <c r="AD459">
        <v>-94.789849000000004</v>
      </c>
      <c r="AE459" t="s">
        <v>5349</v>
      </c>
      <c r="AH459" t="s">
        <v>1715</v>
      </c>
      <c r="AI459" t="s">
        <v>63</v>
      </c>
      <c r="AJ459" t="s">
        <v>5350</v>
      </c>
      <c r="AK459">
        <v>193524</v>
      </c>
      <c r="AM459" t="s">
        <v>5351</v>
      </c>
      <c r="AN459" t="s">
        <v>5352</v>
      </c>
      <c r="AO459" t="s">
        <v>5353</v>
      </c>
      <c r="AP459" t="s">
        <v>68</v>
      </c>
      <c r="AR459" t="s">
        <v>5354</v>
      </c>
      <c r="AS459" t="s">
        <v>5355</v>
      </c>
      <c r="AT459" t="s">
        <v>5356</v>
      </c>
      <c r="AW459" s="14" t="s">
        <v>72</v>
      </c>
      <c r="AX459" s="14" t="s">
        <v>73</v>
      </c>
      <c r="AY459" s="14" t="s">
        <v>1768</v>
      </c>
    </row>
    <row r="460" spans="1:51" ht="15" customHeight="1" x14ac:dyDescent="0.4">
      <c r="A460" s="12">
        <v>3790</v>
      </c>
      <c r="B460" s="21" t="s">
        <v>5357</v>
      </c>
      <c r="C460" s="13" t="s">
        <v>5358</v>
      </c>
      <c r="D460" s="25" t="s">
        <v>5358</v>
      </c>
      <c r="E460" s="13"/>
      <c r="F460" s="41" t="s">
        <v>8126</v>
      </c>
      <c r="G460" s="41" t="s">
        <v>8127</v>
      </c>
      <c r="H460" s="41"/>
      <c r="I460" s="14" t="s">
        <v>1752</v>
      </c>
      <c r="J460" s="15">
        <v>44775</v>
      </c>
      <c r="K460" t="s">
        <v>2719</v>
      </c>
      <c r="L460" t="s">
        <v>51</v>
      </c>
      <c r="M460" t="s">
        <v>52</v>
      </c>
      <c r="N460" t="s">
        <v>53</v>
      </c>
      <c r="O460" t="s">
        <v>651</v>
      </c>
      <c r="P460" t="s">
        <v>1708</v>
      </c>
      <c r="Q460" t="s">
        <v>56</v>
      </c>
      <c r="R460" s="21" t="s">
        <v>5218</v>
      </c>
      <c r="S460" s="21"/>
      <c r="T460" t="s">
        <v>5326</v>
      </c>
      <c r="U460" t="s">
        <v>5359</v>
      </c>
      <c r="X460" t="s">
        <v>2336</v>
      </c>
      <c r="Y460" t="s">
        <v>1759</v>
      </c>
      <c r="AA460" s="15"/>
      <c r="AC460">
        <v>38.980615</v>
      </c>
      <c r="AD460">
        <v>-94.791199000000006</v>
      </c>
      <c r="AE460" t="s">
        <v>5360</v>
      </c>
      <c r="AH460" t="s">
        <v>1715</v>
      </c>
      <c r="AI460" t="s">
        <v>63</v>
      </c>
      <c r="AJ460" t="s">
        <v>5361</v>
      </c>
      <c r="AK460">
        <v>193525</v>
      </c>
      <c r="AM460" t="s">
        <v>5362</v>
      </c>
      <c r="AN460" t="s">
        <v>5363</v>
      </c>
      <c r="AO460" t="s">
        <v>5364</v>
      </c>
      <c r="AP460" t="s">
        <v>68</v>
      </c>
      <c r="AR460" t="s">
        <v>5365</v>
      </c>
      <c r="AS460" t="s">
        <v>5366</v>
      </c>
      <c r="AT460" t="s">
        <v>5367</v>
      </c>
      <c r="AW460" s="14" t="s">
        <v>72</v>
      </c>
      <c r="AX460" s="14" t="s">
        <v>73</v>
      </c>
      <c r="AY460" s="14" t="s">
        <v>1768</v>
      </c>
    </row>
    <row r="461" spans="1:51" ht="15" customHeight="1" x14ac:dyDescent="0.4">
      <c r="A461" s="12">
        <v>3791</v>
      </c>
      <c r="B461" s="21" t="s">
        <v>5368</v>
      </c>
      <c r="C461" s="13" t="s">
        <v>5369</v>
      </c>
      <c r="D461" s="25" t="s">
        <v>5369</v>
      </c>
      <c r="E461" s="13"/>
      <c r="F461" s="41"/>
      <c r="G461" s="41"/>
      <c r="H461" s="41"/>
      <c r="I461" s="14" t="s">
        <v>1752</v>
      </c>
      <c r="J461" s="15">
        <v>44775</v>
      </c>
      <c r="K461" t="s">
        <v>2719</v>
      </c>
      <c r="L461" t="s">
        <v>51</v>
      </c>
      <c r="M461" t="s">
        <v>52</v>
      </c>
      <c r="N461" t="s">
        <v>53</v>
      </c>
      <c r="O461" t="s">
        <v>651</v>
      </c>
      <c r="P461" t="s">
        <v>1708</v>
      </c>
      <c r="Q461" t="s">
        <v>56</v>
      </c>
      <c r="R461" s="21" t="s">
        <v>5218</v>
      </c>
      <c r="S461" s="21"/>
      <c r="T461" t="s">
        <v>5370</v>
      </c>
      <c r="U461" t="s">
        <v>5371</v>
      </c>
      <c r="X461" t="s">
        <v>1758</v>
      </c>
      <c r="Y461" t="s">
        <v>1759</v>
      </c>
      <c r="AA461" s="15"/>
      <c r="AC461">
        <v>38.988259999999997</v>
      </c>
      <c r="AD461">
        <v>-94.801263000000006</v>
      </c>
      <c r="AE461" t="s">
        <v>5372</v>
      </c>
      <c r="AH461" t="s">
        <v>1715</v>
      </c>
      <c r="AI461" t="s">
        <v>63</v>
      </c>
      <c r="AJ461" t="s">
        <v>5373</v>
      </c>
      <c r="AK461">
        <v>193526</v>
      </c>
      <c r="AM461" t="s">
        <v>5374</v>
      </c>
      <c r="AN461" t="s">
        <v>5375</v>
      </c>
      <c r="AO461" s="26" t="e">
        <v>#N/A</v>
      </c>
      <c r="AP461" t="s">
        <v>68</v>
      </c>
      <c r="AR461" t="s">
        <v>5376</v>
      </c>
      <c r="AS461" t="s">
        <v>5377</v>
      </c>
      <c r="AT461" t="s">
        <v>5378</v>
      </c>
      <c r="AW461" s="14" t="s">
        <v>72</v>
      </c>
      <c r="AX461" s="14" t="s">
        <v>73</v>
      </c>
      <c r="AY461" s="14" t="s">
        <v>1768</v>
      </c>
    </row>
    <row r="462" spans="1:51" ht="15" customHeight="1" x14ac:dyDescent="0.4">
      <c r="A462" s="12">
        <v>3792</v>
      </c>
      <c r="B462" s="21" t="s">
        <v>5379</v>
      </c>
      <c r="C462" s="13" t="s">
        <v>5380</v>
      </c>
      <c r="D462" s="25" t="s">
        <v>5380</v>
      </c>
      <c r="E462" s="13"/>
      <c r="F462" s="41"/>
      <c r="G462" s="41"/>
      <c r="H462" s="41"/>
      <c r="I462" s="14" t="s">
        <v>1752</v>
      </c>
      <c r="J462" s="15">
        <v>44775</v>
      </c>
      <c r="K462" t="s">
        <v>2719</v>
      </c>
      <c r="L462" t="s">
        <v>51</v>
      </c>
      <c r="M462" t="s">
        <v>52</v>
      </c>
      <c r="N462" t="s">
        <v>53</v>
      </c>
      <c r="O462" t="s">
        <v>651</v>
      </c>
      <c r="P462" t="s">
        <v>1708</v>
      </c>
      <c r="Q462" t="s">
        <v>56</v>
      </c>
      <c r="R462" s="21" t="s">
        <v>5218</v>
      </c>
      <c r="S462" s="21"/>
      <c r="T462" t="s">
        <v>5381</v>
      </c>
      <c r="U462" t="s">
        <v>5382</v>
      </c>
      <c r="X462" t="s">
        <v>2321</v>
      </c>
      <c r="Y462" t="s">
        <v>1759</v>
      </c>
      <c r="AA462" s="15"/>
      <c r="AC462">
        <v>38.988771999999997</v>
      </c>
      <c r="AD462">
        <v>-94.801447999999993</v>
      </c>
      <c r="AE462" t="s">
        <v>5383</v>
      </c>
      <c r="AH462" t="s">
        <v>1715</v>
      </c>
      <c r="AI462" t="s">
        <v>63</v>
      </c>
      <c r="AJ462" t="s">
        <v>5384</v>
      </c>
      <c r="AK462">
        <v>193527</v>
      </c>
      <c r="AM462" t="s">
        <v>5385</v>
      </c>
      <c r="AN462" t="s">
        <v>5386</v>
      </c>
      <c r="AO462" t="s">
        <v>5387</v>
      </c>
      <c r="AP462" t="s">
        <v>68</v>
      </c>
      <c r="AR462" t="s">
        <v>5388</v>
      </c>
      <c r="AS462" t="s">
        <v>5389</v>
      </c>
      <c r="AT462" t="s">
        <v>5390</v>
      </c>
      <c r="AW462" s="14" t="s">
        <v>72</v>
      </c>
      <c r="AX462" s="14" t="s">
        <v>73</v>
      </c>
      <c r="AY462" s="14" t="s">
        <v>1768</v>
      </c>
    </row>
    <row r="463" spans="1:51" ht="15" customHeight="1" x14ac:dyDescent="0.4">
      <c r="A463" s="12">
        <v>3793</v>
      </c>
      <c r="B463" s="21" t="s">
        <v>5391</v>
      </c>
      <c r="C463" s="13" t="s">
        <v>5392</v>
      </c>
      <c r="D463" s="25" t="s">
        <v>5392</v>
      </c>
      <c r="E463" s="13"/>
      <c r="F463" s="41"/>
      <c r="G463" s="41"/>
      <c r="H463" s="41"/>
      <c r="I463" s="14" t="s">
        <v>1878</v>
      </c>
      <c r="J463" s="15">
        <v>44776</v>
      </c>
      <c r="K463" t="s">
        <v>2719</v>
      </c>
      <c r="L463" t="s">
        <v>51</v>
      </c>
      <c r="M463" t="s">
        <v>52</v>
      </c>
      <c r="N463" t="s">
        <v>53</v>
      </c>
      <c r="O463" t="s">
        <v>651</v>
      </c>
      <c r="P463" t="s">
        <v>1708</v>
      </c>
      <c r="Q463" t="s">
        <v>56</v>
      </c>
      <c r="R463" s="21" t="s">
        <v>5218</v>
      </c>
      <c r="S463" s="21"/>
      <c r="T463" t="s">
        <v>5393</v>
      </c>
      <c r="U463" t="s">
        <v>5394</v>
      </c>
      <c r="Y463" t="s">
        <v>1881</v>
      </c>
      <c r="AA463" s="15"/>
      <c r="AC463">
        <v>38.980013</v>
      </c>
      <c r="AD463">
        <v>-94.808195999999995</v>
      </c>
      <c r="AE463" t="s">
        <v>5221</v>
      </c>
      <c r="AH463" t="s">
        <v>1715</v>
      </c>
      <c r="AI463" t="s">
        <v>63</v>
      </c>
      <c r="AJ463" t="s">
        <v>5395</v>
      </c>
      <c r="AK463">
        <v>194505</v>
      </c>
      <c r="AM463" t="s">
        <v>5396</v>
      </c>
      <c r="AN463" t="s">
        <v>5397</v>
      </c>
      <c r="AO463" t="s">
        <v>5398</v>
      </c>
      <c r="AP463" t="s">
        <v>68</v>
      </c>
      <c r="AR463" t="s">
        <v>5399</v>
      </c>
      <c r="AS463" t="s">
        <v>5400</v>
      </c>
      <c r="AT463" t="s">
        <v>5401</v>
      </c>
      <c r="AW463" s="14" t="s">
        <v>72</v>
      </c>
      <c r="AX463" s="14" t="s">
        <v>73</v>
      </c>
      <c r="AY463" s="14" t="s">
        <v>1723</v>
      </c>
    </row>
    <row r="464" spans="1:51" ht="15" customHeight="1" x14ac:dyDescent="0.4">
      <c r="A464" s="12">
        <v>3794</v>
      </c>
      <c r="B464" s="21" t="s">
        <v>5402</v>
      </c>
      <c r="C464" s="13" t="s">
        <v>5403</v>
      </c>
      <c r="D464" s="25" t="s">
        <v>5403</v>
      </c>
      <c r="E464" s="13"/>
      <c r="F464" s="41"/>
      <c r="G464" s="41"/>
      <c r="H464" s="41"/>
      <c r="I464" s="14" t="s">
        <v>1878</v>
      </c>
      <c r="J464" s="15">
        <v>44776</v>
      </c>
      <c r="K464" t="s">
        <v>2719</v>
      </c>
      <c r="L464" t="s">
        <v>51</v>
      </c>
      <c r="M464" t="s">
        <v>52</v>
      </c>
      <c r="N464" t="s">
        <v>53</v>
      </c>
      <c r="O464" t="s">
        <v>651</v>
      </c>
      <c r="P464" t="s">
        <v>1708</v>
      </c>
      <c r="Q464" t="s">
        <v>56</v>
      </c>
      <c r="R464" s="21" t="s">
        <v>5218</v>
      </c>
      <c r="S464" s="21"/>
      <c r="T464" t="s">
        <v>5404</v>
      </c>
      <c r="U464" t="s">
        <v>5405</v>
      </c>
      <c r="Y464" t="s">
        <v>1881</v>
      </c>
      <c r="AA464" s="15"/>
      <c r="AC464">
        <v>38.979953000000002</v>
      </c>
      <c r="AD464">
        <v>-94.808064999999999</v>
      </c>
      <c r="AE464" t="s">
        <v>5406</v>
      </c>
      <c r="AH464" t="s">
        <v>1715</v>
      </c>
      <c r="AI464" t="s">
        <v>63</v>
      </c>
      <c r="AJ464" t="s">
        <v>5407</v>
      </c>
      <c r="AK464">
        <v>194506</v>
      </c>
      <c r="AM464" t="s">
        <v>5408</v>
      </c>
      <c r="AN464" t="s">
        <v>5409</v>
      </c>
      <c r="AO464" t="s">
        <v>5410</v>
      </c>
      <c r="AP464" t="s">
        <v>68</v>
      </c>
      <c r="AR464" t="s">
        <v>5411</v>
      </c>
      <c r="AS464" t="s">
        <v>5412</v>
      </c>
      <c r="AT464" t="s">
        <v>5413</v>
      </c>
      <c r="AW464" s="14" t="s">
        <v>72</v>
      </c>
      <c r="AX464" s="14" t="s">
        <v>73</v>
      </c>
      <c r="AY464" s="14" t="s">
        <v>1723</v>
      </c>
    </row>
    <row r="465" spans="1:51" ht="15" customHeight="1" x14ac:dyDescent="0.4">
      <c r="A465" s="12">
        <v>3795</v>
      </c>
      <c r="B465" s="21" t="s">
        <v>5414</v>
      </c>
      <c r="C465" s="13" t="s">
        <v>5415</v>
      </c>
      <c r="D465" s="25" t="s">
        <v>5415</v>
      </c>
      <c r="E465" s="13"/>
      <c r="F465" s="41"/>
      <c r="G465" s="41"/>
      <c r="H465" s="41"/>
      <c r="I465" s="14" t="s">
        <v>1878</v>
      </c>
      <c r="J465" s="15">
        <v>44776</v>
      </c>
      <c r="K465" t="s">
        <v>2719</v>
      </c>
      <c r="L465" t="s">
        <v>51</v>
      </c>
      <c r="M465" t="s">
        <v>52</v>
      </c>
      <c r="N465" t="s">
        <v>53</v>
      </c>
      <c r="O465" t="s">
        <v>651</v>
      </c>
      <c r="P465" t="s">
        <v>1708</v>
      </c>
      <c r="Q465" t="s">
        <v>56</v>
      </c>
      <c r="R465" s="21" t="s">
        <v>5218</v>
      </c>
      <c r="S465" s="21"/>
      <c r="T465" t="s">
        <v>5404</v>
      </c>
      <c r="U465" t="s">
        <v>5416</v>
      </c>
      <c r="Y465" t="s">
        <v>1881</v>
      </c>
      <c r="AA465" s="15"/>
      <c r="AC465">
        <v>38.979570000000002</v>
      </c>
      <c r="AD465">
        <v>-94.806826999999998</v>
      </c>
      <c r="AE465" t="s">
        <v>5305</v>
      </c>
      <c r="AH465" t="s">
        <v>1715</v>
      </c>
      <c r="AI465" t="s">
        <v>63</v>
      </c>
      <c r="AJ465" t="s">
        <v>5417</v>
      </c>
      <c r="AK465">
        <v>194507</v>
      </c>
      <c r="AM465" t="s">
        <v>5418</v>
      </c>
      <c r="AN465" t="s">
        <v>5419</v>
      </c>
      <c r="AO465" t="s">
        <v>5420</v>
      </c>
      <c r="AP465" t="s">
        <v>68</v>
      </c>
      <c r="AR465" t="s">
        <v>5421</v>
      </c>
      <c r="AS465" t="s">
        <v>5422</v>
      </c>
      <c r="AT465" t="s">
        <v>5423</v>
      </c>
      <c r="AW465" s="14" t="s">
        <v>72</v>
      </c>
      <c r="AX465" s="14" t="s">
        <v>73</v>
      </c>
      <c r="AY465" s="14" t="s">
        <v>1723</v>
      </c>
    </row>
    <row r="466" spans="1:51" ht="15" customHeight="1" x14ac:dyDescent="0.4">
      <c r="A466" s="12">
        <v>3796</v>
      </c>
      <c r="B466" s="21" t="s">
        <v>5424</v>
      </c>
      <c r="C466" s="13" t="s">
        <v>5425</v>
      </c>
      <c r="D466" s="25" t="s">
        <v>5425</v>
      </c>
      <c r="E466" s="13"/>
      <c r="F466" s="41"/>
      <c r="G466" s="41"/>
      <c r="H466" s="41"/>
      <c r="I466" s="14" t="s">
        <v>1878</v>
      </c>
      <c r="J466" s="15">
        <v>44776</v>
      </c>
      <c r="K466" t="s">
        <v>2719</v>
      </c>
      <c r="L466" t="s">
        <v>51</v>
      </c>
      <c r="M466" t="s">
        <v>52</v>
      </c>
      <c r="N466" t="s">
        <v>53</v>
      </c>
      <c r="O466" t="s">
        <v>651</v>
      </c>
      <c r="P466" t="s">
        <v>1708</v>
      </c>
      <c r="Q466" t="s">
        <v>56</v>
      </c>
      <c r="R466" s="21" t="s">
        <v>5218</v>
      </c>
      <c r="S466" s="21"/>
      <c r="T466" t="s">
        <v>5426</v>
      </c>
      <c r="U466" t="s">
        <v>5427</v>
      </c>
      <c r="Y466" t="s">
        <v>1881</v>
      </c>
      <c r="AA466" s="15"/>
      <c r="AC466">
        <v>38.979519000000003</v>
      </c>
      <c r="AD466">
        <v>-94.808080000000004</v>
      </c>
      <c r="AE466" t="s">
        <v>5428</v>
      </c>
      <c r="AH466" t="s">
        <v>1715</v>
      </c>
      <c r="AI466" t="s">
        <v>63</v>
      </c>
      <c r="AJ466" t="s">
        <v>5429</v>
      </c>
      <c r="AK466">
        <v>194508</v>
      </c>
      <c r="AM466" t="s">
        <v>5430</v>
      </c>
      <c r="AN466" t="s">
        <v>5431</v>
      </c>
      <c r="AO466" t="s">
        <v>5432</v>
      </c>
      <c r="AP466" t="s">
        <v>68</v>
      </c>
      <c r="AR466" t="s">
        <v>5433</v>
      </c>
      <c r="AS466" t="s">
        <v>5434</v>
      </c>
      <c r="AT466" t="s">
        <v>5435</v>
      </c>
      <c r="AW466" s="14" t="s">
        <v>72</v>
      </c>
      <c r="AX466" s="14" t="s">
        <v>73</v>
      </c>
      <c r="AY466" s="14" t="s">
        <v>1723</v>
      </c>
    </row>
    <row r="467" spans="1:51" ht="15" customHeight="1" x14ac:dyDescent="0.4">
      <c r="A467" s="12">
        <v>3797</v>
      </c>
      <c r="B467" s="21" t="s">
        <v>5436</v>
      </c>
      <c r="C467" s="13" t="s">
        <v>5437</v>
      </c>
      <c r="D467" s="25" t="s">
        <v>5437</v>
      </c>
      <c r="E467" s="13"/>
      <c r="F467" s="41"/>
      <c r="G467" s="41"/>
      <c r="H467" s="41"/>
      <c r="I467" s="14" t="s">
        <v>1878</v>
      </c>
      <c r="J467" s="15">
        <v>44776</v>
      </c>
      <c r="K467" t="s">
        <v>2719</v>
      </c>
      <c r="L467" t="s">
        <v>51</v>
      </c>
      <c r="M467" t="s">
        <v>52</v>
      </c>
      <c r="N467" t="s">
        <v>53</v>
      </c>
      <c r="O467" t="s">
        <v>651</v>
      </c>
      <c r="P467" t="s">
        <v>1708</v>
      </c>
      <c r="Q467" t="s">
        <v>56</v>
      </c>
      <c r="R467" s="21" t="s">
        <v>5218</v>
      </c>
      <c r="S467" s="21"/>
      <c r="T467" t="s">
        <v>5438</v>
      </c>
      <c r="U467" t="s">
        <v>5439</v>
      </c>
      <c r="Y467" t="s">
        <v>1881</v>
      </c>
      <c r="AA467" s="15"/>
      <c r="AC467">
        <v>38.979835000000001</v>
      </c>
      <c r="AD467">
        <v>-94.807522000000006</v>
      </c>
      <c r="AE467" t="s">
        <v>5440</v>
      </c>
      <c r="AH467" t="s">
        <v>1715</v>
      </c>
      <c r="AI467" t="s">
        <v>63</v>
      </c>
      <c r="AJ467" t="s">
        <v>5441</v>
      </c>
      <c r="AK467">
        <v>194509</v>
      </c>
      <c r="AM467" t="s">
        <v>5442</v>
      </c>
      <c r="AN467" t="s">
        <v>5443</v>
      </c>
      <c r="AO467" t="s">
        <v>5444</v>
      </c>
      <c r="AP467" t="s">
        <v>68</v>
      </c>
      <c r="AR467" t="s">
        <v>5445</v>
      </c>
      <c r="AS467" t="s">
        <v>5446</v>
      </c>
      <c r="AT467" t="s">
        <v>5447</v>
      </c>
      <c r="AW467" s="14" t="s">
        <v>72</v>
      </c>
      <c r="AX467" s="14" t="s">
        <v>73</v>
      </c>
      <c r="AY467" s="14" t="s">
        <v>1723</v>
      </c>
    </row>
    <row r="468" spans="1:51" ht="15" customHeight="1" x14ac:dyDescent="0.4">
      <c r="A468" s="12">
        <v>3798</v>
      </c>
      <c r="B468" s="21" t="s">
        <v>5448</v>
      </c>
      <c r="C468" s="13" t="s">
        <v>5449</v>
      </c>
      <c r="D468" s="25" t="s">
        <v>5449</v>
      </c>
      <c r="E468" s="13"/>
      <c r="F468" s="41"/>
      <c r="G468" s="41"/>
      <c r="H468" s="41"/>
      <c r="I468" s="14" t="s">
        <v>3090</v>
      </c>
      <c r="J468" s="15">
        <v>44776</v>
      </c>
      <c r="K468" t="s">
        <v>2719</v>
      </c>
      <c r="L468" t="s">
        <v>51</v>
      </c>
      <c r="M468" t="s">
        <v>52</v>
      </c>
      <c r="N468" t="s">
        <v>53</v>
      </c>
      <c r="O468" t="s">
        <v>651</v>
      </c>
      <c r="P468" t="s">
        <v>1708</v>
      </c>
      <c r="Q468" t="s">
        <v>56</v>
      </c>
      <c r="R468" s="21" t="s">
        <v>5450</v>
      </c>
      <c r="S468" s="21"/>
      <c r="T468" t="s">
        <v>3394</v>
      </c>
      <c r="U468" t="s">
        <v>5451</v>
      </c>
      <c r="X468" t="s">
        <v>1758</v>
      </c>
      <c r="Y468" t="s">
        <v>3096</v>
      </c>
      <c r="AA468" s="15"/>
      <c r="AC468">
        <v>38.917271999999997</v>
      </c>
      <c r="AD468">
        <v>-94.973530999999994</v>
      </c>
      <c r="AE468" t="s">
        <v>1406</v>
      </c>
      <c r="AH468" t="s">
        <v>1715</v>
      </c>
      <c r="AI468" t="s">
        <v>63</v>
      </c>
      <c r="AJ468" t="s">
        <v>5452</v>
      </c>
      <c r="AK468">
        <v>194554</v>
      </c>
      <c r="AM468" t="s">
        <v>5453</v>
      </c>
      <c r="AN468" t="s">
        <v>5454</v>
      </c>
      <c r="AO468" t="s">
        <v>5455</v>
      </c>
      <c r="AP468" t="s">
        <v>68</v>
      </c>
      <c r="AR468" t="s">
        <v>5456</v>
      </c>
      <c r="AS468" t="s">
        <v>5457</v>
      </c>
      <c r="AT468" t="s">
        <v>5458</v>
      </c>
      <c r="AW468" s="14" t="s">
        <v>72</v>
      </c>
      <c r="AX468" s="14" t="s">
        <v>73</v>
      </c>
      <c r="AY468" s="14" t="s">
        <v>74</v>
      </c>
    </row>
    <row r="469" spans="1:51" ht="15" customHeight="1" x14ac:dyDescent="0.4">
      <c r="A469" s="12">
        <v>3799</v>
      </c>
      <c r="B469" s="21" t="s">
        <v>5459</v>
      </c>
      <c r="C469" s="13" t="s">
        <v>5460</v>
      </c>
      <c r="D469" s="25" t="s">
        <v>5460</v>
      </c>
      <c r="E469" s="13"/>
      <c r="F469" s="41"/>
      <c r="G469" s="41"/>
      <c r="H469" s="41"/>
      <c r="I469" s="14" t="s">
        <v>3090</v>
      </c>
      <c r="J469" s="15">
        <v>44776</v>
      </c>
      <c r="K469" t="s">
        <v>2719</v>
      </c>
      <c r="L469" t="s">
        <v>51</v>
      </c>
      <c r="M469" t="s">
        <v>52</v>
      </c>
      <c r="N469" t="s">
        <v>53</v>
      </c>
      <c r="O469" t="s">
        <v>651</v>
      </c>
      <c r="P469" t="s">
        <v>1708</v>
      </c>
      <c r="Q469" t="s">
        <v>56</v>
      </c>
      <c r="R469" s="21" t="s">
        <v>5450</v>
      </c>
      <c r="S469" s="21"/>
      <c r="T469" t="s">
        <v>5461</v>
      </c>
      <c r="U469" t="s">
        <v>5462</v>
      </c>
      <c r="X469" t="s">
        <v>1758</v>
      </c>
      <c r="Y469" t="s">
        <v>3096</v>
      </c>
      <c r="AA469" s="15"/>
      <c r="AC469">
        <v>38.917033000000004</v>
      </c>
      <c r="AD469">
        <v>-94.973636999999997</v>
      </c>
      <c r="AE469" t="s">
        <v>4892</v>
      </c>
      <c r="AH469" t="s">
        <v>1715</v>
      </c>
      <c r="AI469" t="s">
        <v>63</v>
      </c>
      <c r="AJ469" t="s">
        <v>5463</v>
      </c>
      <c r="AK469">
        <v>194553</v>
      </c>
      <c r="AM469" t="s">
        <v>5464</v>
      </c>
      <c r="AN469" t="s">
        <v>5465</v>
      </c>
      <c r="AO469" t="s">
        <v>5466</v>
      </c>
      <c r="AP469" t="s">
        <v>68</v>
      </c>
      <c r="AR469" t="s">
        <v>5467</v>
      </c>
      <c r="AS469" t="s">
        <v>5468</v>
      </c>
      <c r="AT469" t="s">
        <v>5469</v>
      </c>
      <c r="AW469" s="14" t="s">
        <v>72</v>
      </c>
      <c r="AX469" s="14" t="s">
        <v>73</v>
      </c>
      <c r="AY469" s="14" t="s">
        <v>74</v>
      </c>
    </row>
    <row r="470" spans="1:51" ht="15" customHeight="1" x14ac:dyDescent="0.4">
      <c r="A470" s="12">
        <v>3800</v>
      </c>
      <c r="B470" s="21" t="s">
        <v>5470</v>
      </c>
      <c r="C470" s="13" t="s">
        <v>5471</v>
      </c>
      <c r="D470" s="25" t="s">
        <v>5471</v>
      </c>
      <c r="E470" s="13"/>
      <c r="F470" s="41"/>
      <c r="G470" s="41"/>
      <c r="H470" s="41"/>
      <c r="I470" s="14" t="s">
        <v>49</v>
      </c>
      <c r="J470" s="15">
        <v>44777</v>
      </c>
      <c r="K470" t="s">
        <v>2719</v>
      </c>
      <c r="L470" t="s">
        <v>51</v>
      </c>
      <c r="M470" t="s">
        <v>52</v>
      </c>
      <c r="N470" t="s">
        <v>53</v>
      </c>
      <c r="O470" t="s">
        <v>651</v>
      </c>
      <c r="P470" t="s">
        <v>5472</v>
      </c>
      <c r="Q470" t="s">
        <v>56</v>
      </c>
      <c r="R470" s="21" t="s">
        <v>5473</v>
      </c>
      <c r="S470" s="21"/>
      <c r="T470" t="s">
        <v>5474</v>
      </c>
      <c r="U470" t="s">
        <v>5475</v>
      </c>
      <c r="Y470" t="s">
        <v>60</v>
      </c>
      <c r="AA470" s="15"/>
      <c r="AC470">
        <v>39.106898999999999</v>
      </c>
      <c r="AD470">
        <v>-96.607647</v>
      </c>
      <c r="AE470" t="s">
        <v>5476</v>
      </c>
      <c r="AH470" t="s">
        <v>1715</v>
      </c>
      <c r="AI470" t="s">
        <v>63</v>
      </c>
      <c r="AJ470" t="s">
        <v>5477</v>
      </c>
      <c r="AK470">
        <v>194456</v>
      </c>
      <c r="AM470" t="s">
        <v>5478</v>
      </c>
      <c r="AN470" t="s">
        <v>5479</v>
      </c>
      <c r="AO470" t="s">
        <v>5480</v>
      </c>
      <c r="AP470" t="s">
        <v>68</v>
      </c>
      <c r="AR470" t="s">
        <v>5481</v>
      </c>
      <c r="AS470" t="s">
        <v>5482</v>
      </c>
      <c r="AT470" t="s">
        <v>5483</v>
      </c>
      <c r="AW470" s="14" t="s">
        <v>72</v>
      </c>
      <c r="AX470" s="14" t="s">
        <v>73</v>
      </c>
      <c r="AY470" s="14" t="s">
        <v>74</v>
      </c>
    </row>
    <row r="471" spans="1:51" ht="15" customHeight="1" x14ac:dyDescent="0.4">
      <c r="A471" s="12">
        <v>3801</v>
      </c>
      <c r="B471" s="21" t="s">
        <v>5484</v>
      </c>
      <c r="C471" s="13" t="s">
        <v>5485</v>
      </c>
      <c r="D471" s="25" t="s">
        <v>5485</v>
      </c>
      <c r="E471" s="13"/>
      <c r="F471" s="41"/>
      <c r="G471" s="41"/>
      <c r="H471" s="41"/>
      <c r="I471" s="14" t="s">
        <v>49</v>
      </c>
      <c r="J471" s="15">
        <v>44777</v>
      </c>
      <c r="K471" t="s">
        <v>2719</v>
      </c>
      <c r="L471" t="s">
        <v>51</v>
      </c>
      <c r="M471" t="s">
        <v>52</v>
      </c>
      <c r="N471" t="s">
        <v>53</v>
      </c>
      <c r="O471" t="s">
        <v>651</v>
      </c>
      <c r="P471" t="s">
        <v>5472</v>
      </c>
      <c r="Q471" t="s">
        <v>56</v>
      </c>
      <c r="R471" s="21" t="s">
        <v>5473</v>
      </c>
      <c r="S471" s="21"/>
      <c r="T471" t="s">
        <v>5486</v>
      </c>
      <c r="U471" t="s">
        <v>5487</v>
      </c>
      <c r="X471" t="s">
        <v>1758</v>
      </c>
      <c r="Y471" t="s">
        <v>60</v>
      </c>
      <c r="AA471" s="15"/>
      <c r="AC471">
        <v>39.107655999999999</v>
      </c>
      <c r="AD471">
        <v>-96.606831999999997</v>
      </c>
      <c r="AE471" t="s">
        <v>5488</v>
      </c>
      <c r="AH471" t="s">
        <v>1715</v>
      </c>
      <c r="AI471" t="s">
        <v>63</v>
      </c>
      <c r="AJ471" t="s">
        <v>5489</v>
      </c>
      <c r="AK471">
        <v>194453</v>
      </c>
      <c r="AM471" t="s">
        <v>5490</v>
      </c>
      <c r="AN471" t="s">
        <v>5491</v>
      </c>
      <c r="AO471" t="s">
        <v>5492</v>
      </c>
      <c r="AP471" t="s">
        <v>68</v>
      </c>
      <c r="AR471" t="s">
        <v>5493</v>
      </c>
      <c r="AS471" t="s">
        <v>5494</v>
      </c>
      <c r="AT471" t="s">
        <v>5495</v>
      </c>
      <c r="AW471" s="14" t="s">
        <v>72</v>
      </c>
      <c r="AX471" s="14" t="s">
        <v>73</v>
      </c>
      <c r="AY471" s="14" t="s">
        <v>74</v>
      </c>
    </row>
    <row r="472" spans="1:51" ht="15" customHeight="1" x14ac:dyDescent="0.4">
      <c r="A472" s="12">
        <v>3802</v>
      </c>
      <c r="B472" s="21" t="s">
        <v>5496</v>
      </c>
      <c r="C472" s="13" t="s">
        <v>5497</v>
      </c>
      <c r="D472" s="25" t="s">
        <v>5497</v>
      </c>
      <c r="E472" s="13"/>
      <c r="F472" s="41"/>
      <c r="G472" s="41"/>
      <c r="H472" s="41"/>
      <c r="I472" s="14" t="s">
        <v>1829</v>
      </c>
      <c r="J472" s="15">
        <v>44777</v>
      </c>
      <c r="K472" t="s">
        <v>2719</v>
      </c>
      <c r="L472" t="s">
        <v>51</v>
      </c>
      <c r="M472" t="s">
        <v>52</v>
      </c>
      <c r="N472" t="s">
        <v>53</v>
      </c>
      <c r="O472" t="s">
        <v>651</v>
      </c>
      <c r="P472" t="s">
        <v>5472</v>
      </c>
      <c r="Q472" t="s">
        <v>56</v>
      </c>
      <c r="R472" s="21" t="s">
        <v>5473</v>
      </c>
      <c r="S472" s="21"/>
      <c r="T472" t="s">
        <v>5498</v>
      </c>
      <c r="U472" t="s">
        <v>5499</v>
      </c>
      <c r="X472" t="s">
        <v>2336</v>
      </c>
      <c r="Y472" t="s">
        <v>1832</v>
      </c>
      <c r="AA472" s="15"/>
      <c r="AC472">
        <v>39.107928999999999</v>
      </c>
      <c r="AD472">
        <v>-96.605811000000003</v>
      </c>
      <c r="AE472" t="s">
        <v>5500</v>
      </c>
      <c r="AH472" t="s">
        <v>1715</v>
      </c>
      <c r="AI472" t="s">
        <v>63</v>
      </c>
      <c r="AJ472" t="s">
        <v>5501</v>
      </c>
      <c r="AK472">
        <v>194492</v>
      </c>
      <c r="AM472" t="s">
        <v>5502</v>
      </c>
      <c r="AN472" t="s">
        <v>5503</v>
      </c>
      <c r="AO472" t="s">
        <v>5504</v>
      </c>
      <c r="AP472" t="s">
        <v>68</v>
      </c>
      <c r="AR472" t="s">
        <v>5505</v>
      </c>
      <c r="AS472" t="s">
        <v>5506</v>
      </c>
      <c r="AT472" t="s">
        <v>5507</v>
      </c>
      <c r="AW472" s="14" t="s">
        <v>72</v>
      </c>
      <c r="AX472" s="14" t="s">
        <v>73</v>
      </c>
      <c r="AY472" s="14" t="s">
        <v>74</v>
      </c>
    </row>
    <row r="473" spans="1:51" ht="15" customHeight="1" x14ac:dyDescent="0.4">
      <c r="A473" s="12">
        <v>3803</v>
      </c>
      <c r="B473" s="21" t="s">
        <v>5508</v>
      </c>
      <c r="C473" s="13" t="s">
        <v>5509</v>
      </c>
      <c r="D473" s="25" t="s">
        <v>5509</v>
      </c>
      <c r="E473" s="13"/>
      <c r="F473" s="41"/>
      <c r="G473" s="41"/>
      <c r="H473" s="41"/>
      <c r="I473" s="14" t="s">
        <v>49</v>
      </c>
      <c r="J473" s="15">
        <v>44777</v>
      </c>
      <c r="K473" t="s">
        <v>2719</v>
      </c>
      <c r="L473" t="s">
        <v>51</v>
      </c>
      <c r="M473" t="s">
        <v>52</v>
      </c>
      <c r="N473" t="s">
        <v>53</v>
      </c>
      <c r="O473" t="s">
        <v>651</v>
      </c>
      <c r="P473" t="s">
        <v>5472</v>
      </c>
      <c r="Q473" t="s">
        <v>56</v>
      </c>
      <c r="R473" s="21" t="s">
        <v>5473</v>
      </c>
      <c r="S473" s="21"/>
      <c r="T473" t="s">
        <v>5510</v>
      </c>
      <c r="U473" t="s">
        <v>5511</v>
      </c>
      <c r="X473" t="s">
        <v>1758</v>
      </c>
      <c r="Y473" t="s">
        <v>60</v>
      </c>
      <c r="AA473" s="15"/>
      <c r="AC473">
        <v>39.107911000000001</v>
      </c>
      <c r="AD473">
        <v>-96.604941999999994</v>
      </c>
      <c r="AE473" t="s">
        <v>5512</v>
      </c>
      <c r="AH473" t="s">
        <v>1715</v>
      </c>
      <c r="AI473" t="s">
        <v>63</v>
      </c>
      <c r="AJ473" t="s">
        <v>5513</v>
      </c>
      <c r="AK473">
        <v>194452</v>
      </c>
      <c r="AM473" t="s">
        <v>5514</v>
      </c>
      <c r="AN473" t="s">
        <v>5515</v>
      </c>
      <c r="AO473" t="s">
        <v>5516</v>
      </c>
      <c r="AP473" t="s">
        <v>68</v>
      </c>
      <c r="AR473" t="s">
        <v>5517</v>
      </c>
      <c r="AS473" t="s">
        <v>5518</v>
      </c>
      <c r="AT473" t="s">
        <v>5519</v>
      </c>
      <c r="AW473" s="14" t="s">
        <v>72</v>
      </c>
      <c r="AX473" s="14" t="s">
        <v>73</v>
      </c>
      <c r="AY473" s="14" t="s">
        <v>74</v>
      </c>
    </row>
    <row r="474" spans="1:51" ht="15" customHeight="1" x14ac:dyDescent="0.4">
      <c r="A474" s="12">
        <v>3804</v>
      </c>
      <c r="B474" s="21" t="s">
        <v>5520</v>
      </c>
      <c r="C474" s="13" t="s">
        <v>5521</v>
      </c>
      <c r="D474" s="25" t="s">
        <v>5521</v>
      </c>
      <c r="E474" s="13"/>
      <c r="F474" s="41"/>
      <c r="G474" s="41"/>
      <c r="H474" s="41"/>
      <c r="I474" s="14" t="s">
        <v>1829</v>
      </c>
      <c r="J474" s="15">
        <v>44777</v>
      </c>
      <c r="K474" t="s">
        <v>2719</v>
      </c>
      <c r="L474" t="s">
        <v>51</v>
      </c>
      <c r="M474" t="s">
        <v>52</v>
      </c>
      <c r="N474" t="s">
        <v>53</v>
      </c>
      <c r="O474" t="s">
        <v>651</v>
      </c>
      <c r="P474" t="s">
        <v>5472</v>
      </c>
      <c r="Q474" t="s">
        <v>56</v>
      </c>
      <c r="R474" s="21" t="s">
        <v>5473</v>
      </c>
      <c r="S474" s="21"/>
      <c r="T474" t="s">
        <v>5522</v>
      </c>
      <c r="U474" t="s">
        <v>5523</v>
      </c>
      <c r="X474" t="s">
        <v>1758</v>
      </c>
      <c r="Y474" t="s">
        <v>1832</v>
      </c>
      <c r="AA474" s="15"/>
      <c r="AC474">
        <v>39.107902000000003</v>
      </c>
      <c r="AD474">
        <v>-96.604707000000005</v>
      </c>
      <c r="AE474" t="s">
        <v>143</v>
      </c>
      <c r="AH474" t="s">
        <v>1715</v>
      </c>
      <c r="AI474" t="s">
        <v>63</v>
      </c>
      <c r="AJ474" t="s">
        <v>5524</v>
      </c>
      <c r="AK474">
        <v>194489</v>
      </c>
      <c r="AM474" t="s">
        <v>5525</v>
      </c>
      <c r="AN474" t="s">
        <v>5526</v>
      </c>
      <c r="AO474" t="s">
        <v>5527</v>
      </c>
      <c r="AP474" t="s">
        <v>68</v>
      </c>
      <c r="AR474" t="s">
        <v>5528</v>
      </c>
      <c r="AS474" t="s">
        <v>5529</v>
      </c>
      <c r="AT474" t="s">
        <v>5530</v>
      </c>
      <c r="AW474" s="14" t="s">
        <v>72</v>
      </c>
      <c r="AX474" s="14" t="s">
        <v>73</v>
      </c>
      <c r="AY474" s="14" t="s">
        <v>74</v>
      </c>
    </row>
    <row r="475" spans="1:51" ht="15" customHeight="1" x14ac:dyDescent="0.4">
      <c r="A475" s="12">
        <v>3805</v>
      </c>
      <c r="B475" s="21" t="s">
        <v>5531</v>
      </c>
      <c r="C475" s="13" t="s">
        <v>5532</v>
      </c>
      <c r="D475" s="25" t="s">
        <v>5532</v>
      </c>
      <c r="E475" s="13"/>
      <c r="F475" s="41"/>
      <c r="G475" s="41"/>
      <c r="H475" s="41"/>
      <c r="I475" s="14" t="s">
        <v>49</v>
      </c>
      <c r="J475" s="15">
        <v>44777</v>
      </c>
      <c r="K475" t="s">
        <v>2719</v>
      </c>
      <c r="L475" t="s">
        <v>51</v>
      </c>
      <c r="M475" t="s">
        <v>52</v>
      </c>
      <c r="N475" t="s">
        <v>53</v>
      </c>
      <c r="O475" t="s">
        <v>651</v>
      </c>
      <c r="P475" t="s">
        <v>5472</v>
      </c>
      <c r="Q475" t="s">
        <v>56</v>
      </c>
      <c r="R475" s="21" t="s">
        <v>5473</v>
      </c>
      <c r="S475" s="21"/>
      <c r="T475" t="s">
        <v>5533</v>
      </c>
      <c r="U475" t="s">
        <v>5534</v>
      </c>
      <c r="Y475" t="s">
        <v>60</v>
      </c>
      <c r="AA475" s="15"/>
      <c r="AC475">
        <v>39.107838999999998</v>
      </c>
      <c r="AD475">
        <v>-96.604185000000001</v>
      </c>
      <c r="AE475" t="s">
        <v>5535</v>
      </c>
      <c r="AH475" t="s">
        <v>1715</v>
      </c>
      <c r="AI475" t="s">
        <v>63</v>
      </c>
      <c r="AJ475" t="s">
        <v>5536</v>
      </c>
      <c r="AK475">
        <v>194455</v>
      </c>
      <c r="AM475" t="s">
        <v>5537</v>
      </c>
      <c r="AN475" t="s">
        <v>5538</v>
      </c>
      <c r="AO475" t="s">
        <v>5539</v>
      </c>
      <c r="AP475" t="s">
        <v>68</v>
      </c>
      <c r="AR475" t="s">
        <v>5540</v>
      </c>
      <c r="AS475" t="s">
        <v>5541</v>
      </c>
      <c r="AT475" t="s">
        <v>5542</v>
      </c>
      <c r="AW475" s="14" t="s">
        <v>72</v>
      </c>
      <c r="AX475" s="14" t="s">
        <v>73</v>
      </c>
      <c r="AY475" s="14" t="s">
        <v>74</v>
      </c>
    </row>
    <row r="476" spans="1:51" ht="15" customHeight="1" x14ac:dyDescent="0.4">
      <c r="A476" s="12">
        <v>3806</v>
      </c>
      <c r="B476" s="21" t="s">
        <v>5543</v>
      </c>
      <c r="C476" s="13" t="s">
        <v>5544</v>
      </c>
      <c r="D476" s="25" t="s">
        <v>5544</v>
      </c>
      <c r="E476" s="13"/>
      <c r="F476" s="41"/>
      <c r="G476" s="41"/>
      <c r="H476" s="41"/>
      <c r="I476" s="14" t="s">
        <v>1829</v>
      </c>
      <c r="J476" s="15">
        <v>44777</v>
      </c>
      <c r="K476" t="s">
        <v>2719</v>
      </c>
      <c r="L476" t="s">
        <v>51</v>
      </c>
      <c r="M476" t="s">
        <v>52</v>
      </c>
      <c r="N476" t="s">
        <v>53</v>
      </c>
      <c r="O476" t="s">
        <v>651</v>
      </c>
      <c r="P476" t="s">
        <v>5472</v>
      </c>
      <c r="Q476" t="s">
        <v>56</v>
      </c>
      <c r="R476" s="21" t="s">
        <v>5473</v>
      </c>
      <c r="S476" s="21"/>
      <c r="T476" t="s">
        <v>5545</v>
      </c>
      <c r="U476" t="s">
        <v>5546</v>
      </c>
      <c r="X476" t="s">
        <v>1758</v>
      </c>
      <c r="Y476" t="s">
        <v>1832</v>
      </c>
      <c r="AA476" s="15"/>
      <c r="AC476">
        <v>39.107810999999998</v>
      </c>
      <c r="AD476">
        <v>-96.603104000000002</v>
      </c>
      <c r="AE476" t="s">
        <v>1156</v>
      </c>
      <c r="AH476" t="s">
        <v>1715</v>
      </c>
      <c r="AI476" t="s">
        <v>63</v>
      </c>
      <c r="AJ476" t="s">
        <v>5547</v>
      </c>
      <c r="AK476">
        <v>194490</v>
      </c>
      <c r="AM476" t="s">
        <v>5548</v>
      </c>
      <c r="AN476" t="s">
        <v>5549</v>
      </c>
      <c r="AO476" t="s">
        <v>5550</v>
      </c>
      <c r="AP476" t="s">
        <v>68</v>
      </c>
      <c r="AR476" t="s">
        <v>5551</v>
      </c>
      <c r="AS476" t="s">
        <v>5552</v>
      </c>
      <c r="AT476" t="s">
        <v>5553</v>
      </c>
      <c r="AW476" s="14" t="s">
        <v>72</v>
      </c>
      <c r="AX476" s="14" t="s">
        <v>73</v>
      </c>
      <c r="AY476" s="14" t="s">
        <v>74</v>
      </c>
    </row>
    <row r="477" spans="1:51" ht="15" customHeight="1" x14ac:dyDescent="0.4">
      <c r="A477" s="12">
        <v>3807</v>
      </c>
      <c r="B477" s="21" t="s">
        <v>5554</v>
      </c>
      <c r="C477" s="13" t="s">
        <v>5555</v>
      </c>
      <c r="D477" s="25" t="s">
        <v>5555</v>
      </c>
      <c r="E477" s="13"/>
      <c r="F477" s="41"/>
      <c r="G477" s="41"/>
      <c r="H477" s="41"/>
      <c r="I477" s="14" t="s">
        <v>1829</v>
      </c>
      <c r="J477" s="15">
        <v>44777</v>
      </c>
      <c r="K477" t="s">
        <v>2719</v>
      </c>
      <c r="L477" t="s">
        <v>51</v>
      </c>
      <c r="M477" t="s">
        <v>52</v>
      </c>
      <c r="N477" t="s">
        <v>53</v>
      </c>
      <c r="O477" t="s">
        <v>651</v>
      </c>
      <c r="P477" t="s">
        <v>5472</v>
      </c>
      <c r="Q477" t="s">
        <v>56</v>
      </c>
      <c r="R477" s="21" t="s">
        <v>5473</v>
      </c>
      <c r="S477" s="21"/>
      <c r="T477" t="s">
        <v>5556</v>
      </c>
      <c r="U477" t="s">
        <v>5557</v>
      </c>
      <c r="X477" t="s">
        <v>1758</v>
      </c>
      <c r="Y477" t="s">
        <v>1832</v>
      </c>
      <c r="AA477" s="15"/>
      <c r="AC477">
        <v>39.107945999999998</v>
      </c>
      <c r="AD477">
        <v>-96.602301999999995</v>
      </c>
      <c r="AE477" t="s">
        <v>5558</v>
      </c>
      <c r="AH477" t="s">
        <v>1715</v>
      </c>
      <c r="AI477" t="s">
        <v>63</v>
      </c>
      <c r="AJ477" t="s">
        <v>5559</v>
      </c>
      <c r="AK477">
        <v>194491</v>
      </c>
      <c r="AM477" t="s">
        <v>5560</v>
      </c>
      <c r="AN477" t="s">
        <v>5561</v>
      </c>
      <c r="AO477" t="s">
        <v>5562</v>
      </c>
      <c r="AP477" t="s">
        <v>68</v>
      </c>
      <c r="AR477" t="s">
        <v>5563</v>
      </c>
      <c r="AS477" t="s">
        <v>5564</v>
      </c>
      <c r="AT477" t="s">
        <v>5565</v>
      </c>
      <c r="AW477" s="14" t="s">
        <v>72</v>
      </c>
      <c r="AX477" s="14" t="s">
        <v>73</v>
      </c>
      <c r="AY477" s="14" t="s">
        <v>74</v>
      </c>
    </row>
    <row r="478" spans="1:51" ht="15" customHeight="1" x14ac:dyDescent="0.4">
      <c r="A478" s="12">
        <v>3808</v>
      </c>
      <c r="B478" s="21" t="s">
        <v>5566</v>
      </c>
      <c r="C478" s="13" t="s">
        <v>5567</v>
      </c>
      <c r="D478" s="25" t="s">
        <v>5567</v>
      </c>
      <c r="E478" s="13"/>
      <c r="F478" s="41"/>
      <c r="G478" s="41"/>
      <c r="H478" s="41"/>
      <c r="I478" s="14" t="s">
        <v>49</v>
      </c>
      <c r="J478" s="15">
        <v>44777</v>
      </c>
      <c r="K478" t="s">
        <v>2719</v>
      </c>
      <c r="L478" t="s">
        <v>51</v>
      </c>
      <c r="M478" t="s">
        <v>52</v>
      </c>
      <c r="N478" t="s">
        <v>53</v>
      </c>
      <c r="O478" t="s">
        <v>651</v>
      </c>
      <c r="P478" t="s">
        <v>5472</v>
      </c>
      <c r="Q478" t="s">
        <v>56</v>
      </c>
      <c r="R478" s="21" t="s">
        <v>5473</v>
      </c>
      <c r="S478" s="21"/>
      <c r="T478" t="s">
        <v>5568</v>
      </c>
      <c r="U478" t="s">
        <v>5569</v>
      </c>
      <c r="X478" t="s">
        <v>1758</v>
      </c>
      <c r="Y478" t="s">
        <v>60</v>
      </c>
      <c r="AA478" s="15"/>
      <c r="AC478">
        <v>39.108091999999999</v>
      </c>
      <c r="AD478">
        <v>-96.602193999999997</v>
      </c>
      <c r="AE478" t="s">
        <v>1134</v>
      </c>
      <c r="AH478" t="s">
        <v>1715</v>
      </c>
      <c r="AI478" t="s">
        <v>63</v>
      </c>
      <c r="AJ478" t="s">
        <v>5570</v>
      </c>
      <c r="AK478">
        <v>194451</v>
      </c>
      <c r="AM478" t="s">
        <v>5571</v>
      </c>
      <c r="AN478" t="s">
        <v>5572</v>
      </c>
      <c r="AO478" t="s">
        <v>5573</v>
      </c>
      <c r="AP478" t="s">
        <v>68</v>
      </c>
      <c r="AR478" t="s">
        <v>5574</v>
      </c>
      <c r="AS478" t="s">
        <v>5575</v>
      </c>
      <c r="AT478" t="s">
        <v>5576</v>
      </c>
      <c r="AW478" s="14" t="s">
        <v>72</v>
      </c>
      <c r="AX478" s="14" t="s">
        <v>73</v>
      </c>
      <c r="AY478" s="14" t="s">
        <v>74</v>
      </c>
    </row>
    <row r="479" spans="1:51" ht="15" customHeight="1" x14ac:dyDescent="0.4">
      <c r="A479" s="12">
        <v>3809</v>
      </c>
      <c r="B479" s="21" t="s">
        <v>5577</v>
      </c>
      <c r="C479" s="13" t="s">
        <v>5578</v>
      </c>
      <c r="D479" s="25" t="s">
        <v>5578</v>
      </c>
      <c r="E479" s="13"/>
      <c r="F479" s="41"/>
      <c r="G479" s="41"/>
      <c r="H479" s="41"/>
      <c r="I479" s="14" t="s">
        <v>1829</v>
      </c>
      <c r="J479" s="15">
        <v>44777</v>
      </c>
      <c r="K479" t="s">
        <v>2719</v>
      </c>
      <c r="L479" t="s">
        <v>51</v>
      </c>
      <c r="M479" t="s">
        <v>52</v>
      </c>
      <c r="N479" t="s">
        <v>53</v>
      </c>
      <c r="O479" t="s">
        <v>651</v>
      </c>
      <c r="P479" t="s">
        <v>5472</v>
      </c>
      <c r="Q479" t="s">
        <v>56</v>
      </c>
      <c r="R479" s="21" t="s">
        <v>5473</v>
      </c>
      <c r="S479" s="21"/>
      <c r="T479" t="s">
        <v>5579</v>
      </c>
      <c r="U479" t="s">
        <v>5580</v>
      </c>
      <c r="X479" t="s">
        <v>1758</v>
      </c>
      <c r="Y479" t="s">
        <v>1832</v>
      </c>
      <c r="AA479" s="15"/>
      <c r="AC479">
        <v>39.106907</v>
      </c>
      <c r="AD479">
        <v>-96.603869000000003</v>
      </c>
      <c r="AE479" t="s">
        <v>5581</v>
      </c>
      <c r="AH479" t="s">
        <v>1715</v>
      </c>
      <c r="AI479" t="s">
        <v>63</v>
      </c>
      <c r="AJ479" t="s">
        <v>5582</v>
      </c>
      <c r="AK479">
        <v>194488</v>
      </c>
      <c r="AM479" t="s">
        <v>5583</v>
      </c>
      <c r="AN479" t="s">
        <v>5584</v>
      </c>
      <c r="AO479" t="s">
        <v>5585</v>
      </c>
      <c r="AP479" t="s">
        <v>68</v>
      </c>
      <c r="AR479" t="s">
        <v>5586</v>
      </c>
      <c r="AS479" t="s">
        <v>5587</v>
      </c>
      <c r="AT479" t="s">
        <v>5588</v>
      </c>
      <c r="AW479" s="14" t="s">
        <v>72</v>
      </c>
      <c r="AX479" s="14" t="s">
        <v>73</v>
      </c>
      <c r="AY479" s="14" t="s">
        <v>74</v>
      </c>
    </row>
    <row r="480" spans="1:51" ht="15" customHeight="1" x14ac:dyDescent="0.4">
      <c r="A480" s="12">
        <v>3810</v>
      </c>
      <c r="B480" s="21" t="s">
        <v>5589</v>
      </c>
      <c r="C480" s="13" t="s">
        <v>5590</v>
      </c>
      <c r="D480" s="25" t="s">
        <v>5590</v>
      </c>
      <c r="E480" s="13"/>
      <c r="F480" s="45" t="s">
        <v>2222</v>
      </c>
      <c r="G480" s="58" t="s">
        <v>8143</v>
      </c>
      <c r="H480" s="45"/>
      <c r="I480" s="14" t="s">
        <v>49</v>
      </c>
      <c r="J480" s="15">
        <v>44788</v>
      </c>
      <c r="K480" t="s">
        <v>2719</v>
      </c>
      <c r="L480" t="s">
        <v>51</v>
      </c>
      <c r="M480" t="s">
        <v>52</v>
      </c>
      <c r="N480" t="s">
        <v>53</v>
      </c>
      <c r="O480" t="s">
        <v>5591</v>
      </c>
      <c r="P480" t="s">
        <v>5592</v>
      </c>
      <c r="Q480" t="s">
        <v>56</v>
      </c>
      <c r="R480" s="21" t="s">
        <v>5593</v>
      </c>
      <c r="S480" s="21"/>
      <c r="T480" t="s">
        <v>5594</v>
      </c>
      <c r="U480" t="s">
        <v>5595</v>
      </c>
      <c r="X480" t="s">
        <v>1758</v>
      </c>
      <c r="Y480" t="s">
        <v>60</v>
      </c>
      <c r="AA480" s="15"/>
      <c r="AC480">
        <v>43.057822999999999</v>
      </c>
      <c r="AD480">
        <v>-78.971293000000003</v>
      </c>
      <c r="AE480" t="s">
        <v>5596</v>
      </c>
      <c r="AH480" t="s">
        <v>1715</v>
      </c>
      <c r="AI480" t="s">
        <v>63</v>
      </c>
      <c r="AJ480" t="s">
        <v>5597</v>
      </c>
      <c r="AK480">
        <v>192546</v>
      </c>
      <c r="AM480" t="s">
        <v>5598</v>
      </c>
      <c r="AN480" t="s">
        <v>5599</v>
      </c>
      <c r="AO480" t="s">
        <v>5600</v>
      </c>
      <c r="AP480" t="s">
        <v>68</v>
      </c>
      <c r="AR480" t="s">
        <v>5601</v>
      </c>
      <c r="AS480" t="s">
        <v>5602</v>
      </c>
      <c r="AT480" t="s">
        <v>5603</v>
      </c>
      <c r="AW480" s="14" t="s">
        <v>72</v>
      </c>
      <c r="AX480" s="14" t="s">
        <v>73</v>
      </c>
      <c r="AY480" s="14" t="s">
        <v>74</v>
      </c>
    </row>
    <row r="481" spans="1:51" ht="15" customHeight="1" x14ac:dyDescent="0.4">
      <c r="A481" s="12">
        <v>3811</v>
      </c>
      <c r="B481" s="21" t="s">
        <v>5604</v>
      </c>
      <c r="C481" s="13" t="s">
        <v>5605</v>
      </c>
      <c r="D481" s="25" t="s">
        <v>5605</v>
      </c>
      <c r="E481" s="13"/>
      <c r="F481" s="43" t="s">
        <v>49</v>
      </c>
      <c r="G481" s="43" t="s">
        <v>8095</v>
      </c>
      <c r="H481" s="43"/>
      <c r="I481" s="14" t="s">
        <v>49</v>
      </c>
      <c r="J481" s="15">
        <v>44788</v>
      </c>
      <c r="K481" t="s">
        <v>2719</v>
      </c>
      <c r="L481" t="s">
        <v>51</v>
      </c>
      <c r="M481" t="s">
        <v>52</v>
      </c>
      <c r="N481" t="s">
        <v>53</v>
      </c>
      <c r="O481" t="s">
        <v>5591</v>
      </c>
      <c r="P481" t="s">
        <v>5592</v>
      </c>
      <c r="Q481" t="s">
        <v>56</v>
      </c>
      <c r="R481" s="21" t="s">
        <v>5593</v>
      </c>
      <c r="S481" s="21"/>
      <c r="T481" t="s">
        <v>5606</v>
      </c>
      <c r="U481" t="s">
        <v>5607</v>
      </c>
      <c r="Y481" t="s">
        <v>60</v>
      </c>
      <c r="AA481" s="15"/>
      <c r="AC481">
        <v>43.059486999999997</v>
      </c>
      <c r="AD481">
        <v>-78.972201999999996</v>
      </c>
      <c r="AE481" t="s">
        <v>5596</v>
      </c>
      <c r="AH481" t="s">
        <v>1715</v>
      </c>
      <c r="AI481" t="s">
        <v>63</v>
      </c>
      <c r="AJ481" t="s">
        <v>5608</v>
      </c>
      <c r="AK481">
        <v>192533</v>
      </c>
      <c r="AM481" t="s">
        <v>5609</v>
      </c>
      <c r="AN481" t="s">
        <v>5610</v>
      </c>
      <c r="AO481" t="s">
        <v>5611</v>
      </c>
      <c r="AP481" t="s">
        <v>68</v>
      </c>
      <c r="AR481" t="s">
        <v>5612</v>
      </c>
      <c r="AS481" t="s">
        <v>5613</v>
      </c>
      <c r="AT481" t="s">
        <v>5614</v>
      </c>
      <c r="AW481" s="14" t="s">
        <v>72</v>
      </c>
      <c r="AX481" s="14" t="s">
        <v>73</v>
      </c>
      <c r="AY481" s="14" t="s">
        <v>74</v>
      </c>
    </row>
    <row r="482" spans="1:51" ht="15" customHeight="1" x14ac:dyDescent="0.4">
      <c r="A482" s="12">
        <v>3812</v>
      </c>
      <c r="B482" s="21" t="s">
        <v>5615</v>
      </c>
      <c r="C482" s="13" t="s">
        <v>5616</v>
      </c>
      <c r="D482" s="25" t="s">
        <v>5616</v>
      </c>
      <c r="E482" s="13"/>
      <c r="F482" s="41"/>
      <c r="G482" s="41"/>
      <c r="H482" s="41"/>
      <c r="I482" s="14" t="s">
        <v>49</v>
      </c>
      <c r="J482" s="15">
        <v>44788</v>
      </c>
      <c r="K482" t="s">
        <v>2719</v>
      </c>
      <c r="L482" t="s">
        <v>51</v>
      </c>
      <c r="M482" t="s">
        <v>52</v>
      </c>
      <c r="N482" t="s">
        <v>53</v>
      </c>
      <c r="O482" t="s">
        <v>5591</v>
      </c>
      <c r="P482" t="s">
        <v>5592</v>
      </c>
      <c r="Q482" t="s">
        <v>56</v>
      </c>
      <c r="R482" s="21" t="s">
        <v>5593</v>
      </c>
      <c r="S482" s="21"/>
      <c r="T482" t="s">
        <v>5617</v>
      </c>
      <c r="U482" t="s">
        <v>5618</v>
      </c>
      <c r="X482" t="s">
        <v>1758</v>
      </c>
      <c r="Y482" t="s">
        <v>60</v>
      </c>
      <c r="AA482" s="15"/>
      <c r="AC482">
        <v>43.060034000000002</v>
      </c>
      <c r="AD482">
        <v>-78.972550999999996</v>
      </c>
      <c r="AE482" t="s">
        <v>914</v>
      </c>
      <c r="AH482" t="s">
        <v>1715</v>
      </c>
      <c r="AI482" t="s">
        <v>63</v>
      </c>
      <c r="AJ482" t="s">
        <v>5619</v>
      </c>
      <c r="AK482">
        <v>192530</v>
      </c>
      <c r="AM482" t="s">
        <v>5620</v>
      </c>
      <c r="AN482" t="s">
        <v>5621</v>
      </c>
      <c r="AO482" t="s">
        <v>5622</v>
      </c>
      <c r="AP482" t="s">
        <v>68</v>
      </c>
      <c r="AR482" t="s">
        <v>5623</v>
      </c>
      <c r="AS482" t="s">
        <v>5624</v>
      </c>
      <c r="AT482" t="s">
        <v>5625</v>
      </c>
      <c r="AW482" s="14" t="s">
        <v>72</v>
      </c>
      <c r="AX482" s="14" t="s">
        <v>73</v>
      </c>
      <c r="AY482" s="14" t="s">
        <v>74</v>
      </c>
    </row>
    <row r="483" spans="1:51" ht="15" customHeight="1" x14ac:dyDescent="0.4">
      <c r="A483" s="12">
        <v>3813</v>
      </c>
      <c r="B483" s="21" t="s">
        <v>5626</v>
      </c>
      <c r="C483" s="13" t="s">
        <v>5627</v>
      </c>
      <c r="D483" s="25" t="s">
        <v>5627</v>
      </c>
      <c r="E483" s="13"/>
      <c r="F483" s="42" t="s">
        <v>8106</v>
      </c>
      <c r="G483" s="42"/>
      <c r="H483" s="42"/>
      <c r="I483" s="14" t="s">
        <v>49</v>
      </c>
      <c r="J483" s="15">
        <v>44788</v>
      </c>
      <c r="K483" t="s">
        <v>2719</v>
      </c>
      <c r="L483" t="s">
        <v>51</v>
      </c>
      <c r="M483" t="s">
        <v>52</v>
      </c>
      <c r="N483" t="s">
        <v>53</v>
      </c>
      <c r="O483" t="s">
        <v>5591</v>
      </c>
      <c r="P483" t="s">
        <v>5592</v>
      </c>
      <c r="Q483" t="s">
        <v>56</v>
      </c>
      <c r="R483" s="21" t="s">
        <v>5593</v>
      </c>
      <c r="S483" s="21"/>
      <c r="T483" t="s">
        <v>5628</v>
      </c>
      <c r="U483" t="s">
        <v>5629</v>
      </c>
      <c r="X483" t="s">
        <v>1758</v>
      </c>
      <c r="Y483" t="s">
        <v>60</v>
      </c>
      <c r="AA483" s="15"/>
      <c r="AC483">
        <v>43.061137000000002</v>
      </c>
      <c r="AD483">
        <v>-78.973082000000005</v>
      </c>
      <c r="AE483" t="s">
        <v>5630</v>
      </c>
      <c r="AH483" t="s">
        <v>1715</v>
      </c>
      <c r="AI483" t="s">
        <v>63</v>
      </c>
      <c r="AJ483" t="s">
        <v>5631</v>
      </c>
      <c r="AK483">
        <v>192676</v>
      </c>
      <c r="AM483" t="s">
        <v>5632</v>
      </c>
      <c r="AN483" t="s">
        <v>5633</v>
      </c>
      <c r="AO483" t="s">
        <v>5634</v>
      </c>
      <c r="AP483" t="s">
        <v>68</v>
      </c>
      <c r="AR483" t="s">
        <v>5635</v>
      </c>
      <c r="AS483" t="s">
        <v>5636</v>
      </c>
      <c r="AT483" t="s">
        <v>5637</v>
      </c>
      <c r="AW483" s="14" t="s">
        <v>72</v>
      </c>
      <c r="AX483" s="14" t="s">
        <v>73</v>
      </c>
      <c r="AY483" s="14" t="s">
        <v>74</v>
      </c>
    </row>
    <row r="484" spans="1:51" ht="15" customHeight="1" x14ac:dyDescent="0.4">
      <c r="A484" s="12">
        <v>3814</v>
      </c>
      <c r="B484" s="21" t="s">
        <v>5638</v>
      </c>
      <c r="C484" s="13" t="s">
        <v>5639</v>
      </c>
      <c r="D484" s="25" t="s">
        <v>5639</v>
      </c>
      <c r="E484" s="13"/>
      <c r="F484" s="41"/>
      <c r="G484" s="41"/>
      <c r="H484" s="41"/>
      <c r="I484" s="14" t="s">
        <v>1878</v>
      </c>
      <c r="J484" s="15">
        <v>44788</v>
      </c>
      <c r="K484" t="s">
        <v>2719</v>
      </c>
      <c r="L484" t="s">
        <v>51</v>
      </c>
      <c r="M484" t="s">
        <v>52</v>
      </c>
      <c r="N484" t="s">
        <v>53</v>
      </c>
      <c r="O484" t="s">
        <v>5591</v>
      </c>
      <c r="P484" t="s">
        <v>5592</v>
      </c>
      <c r="Q484" t="s">
        <v>56</v>
      </c>
      <c r="R484" s="21" t="s">
        <v>5593</v>
      </c>
      <c r="S484" s="21"/>
      <c r="T484" t="s">
        <v>5640</v>
      </c>
      <c r="U484" t="s">
        <v>5641</v>
      </c>
      <c r="X484" t="s">
        <v>1758</v>
      </c>
      <c r="Y484" t="s">
        <v>1881</v>
      </c>
      <c r="AA484" s="15"/>
      <c r="AC484">
        <v>43.057209</v>
      </c>
      <c r="AD484">
        <v>-78.986107000000004</v>
      </c>
      <c r="AH484" t="s">
        <v>1715</v>
      </c>
      <c r="AI484" t="s">
        <v>63</v>
      </c>
      <c r="AJ484" t="s">
        <v>5642</v>
      </c>
      <c r="AK484">
        <v>192583</v>
      </c>
      <c r="AM484" t="s">
        <v>5643</v>
      </c>
      <c r="AN484" t="s">
        <v>5644</v>
      </c>
      <c r="AO484" t="s">
        <v>5645</v>
      </c>
      <c r="AP484" t="s">
        <v>68</v>
      </c>
      <c r="AR484" t="s">
        <v>5646</v>
      </c>
      <c r="AS484" t="s">
        <v>5647</v>
      </c>
      <c r="AT484" t="s">
        <v>5648</v>
      </c>
      <c r="AW484" s="14" t="s">
        <v>72</v>
      </c>
      <c r="AX484" s="14" t="s">
        <v>73</v>
      </c>
      <c r="AY484" s="14" t="s">
        <v>1723</v>
      </c>
    </row>
    <row r="485" spans="1:51" ht="15" customHeight="1" x14ac:dyDescent="0.4">
      <c r="A485" s="12">
        <v>3815</v>
      </c>
      <c r="B485" s="21" t="s">
        <v>5649</v>
      </c>
      <c r="C485" s="13" t="s">
        <v>5650</v>
      </c>
      <c r="D485" s="25" t="s">
        <v>5650</v>
      </c>
      <c r="E485" s="13"/>
      <c r="F485" s="45" t="s">
        <v>2222</v>
      </c>
      <c r="G485" s="58" t="s">
        <v>8125</v>
      </c>
      <c r="H485" s="45"/>
      <c r="I485" s="14" t="s">
        <v>2222</v>
      </c>
      <c r="J485" s="15">
        <v>44788</v>
      </c>
      <c r="K485" t="s">
        <v>2719</v>
      </c>
      <c r="L485" t="s">
        <v>51</v>
      </c>
      <c r="M485" t="s">
        <v>52</v>
      </c>
      <c r="N485" t="s">
        <v>53</v>
      </c>
      <c r="O485" t="s">
        <v>5591</v>
      </c>
      <c r="P485" t="s">
        <v>5592</v>
      </c>
      <c r="Q485" t="s">
        <v>56</v>
      </c>
      <c r="R485" s="21" t="s">
        <v>5593</v>
      </c>
      <c r="S485" s="21"/>
      <c r="T485" t="s">
        <v>5651</v>
      </c>
      <c r="U485" t="s">
        <v>5652</v>
      </c>
      <c r="Y485" t="s">
        <v>2225</v>
      </c>
      <c r="AA485" s="15"/>
      <c r="AC485">
        <v>43.057170999999997</v>
      </c>
      <c r="AD485">
        <v>-78.985855999999998</v>
      </c>
      <c r="AE485" t="s">
        <v>987</v>
      </c>
      <c r="AH485" t="s">
        <v>1715</v>
      </c>
      <c r="AI485" t="s">
        <v>63</v>
      </c>
      <c r="AJ485" t="s">
        <v>5653</v>
      </c>
      <c r="AK485">
        <v>193368</v>
      </c>
      <c r="AM485" t="s">
        <v>5654</v>
      </c>
      <c r="AN485" t="s">
        <v>5655</v>
      </c>
      <c r="AO485" t="s">
        <v>5656</v>
      </c>
      <c r="AP485" t="s">
        <v>68</v>
      </c>
      <c r="AQ485" t="s">
        <v>5657</v>
      </c>
      <c r="AR485" t="s">
        <v>5658</v>
      </c>
      <c r="AS485" t="s">
        <v>5659</v>
      </c>
      <c r="AT485" t="s">
        <v>5660</v>
      </c>
      <c r="AU485" s="31" t="s">
        <v>5661</v>
      </c>
      <c r="AW485" s="14" t="s">
        <v>72</v>
      </c>
      <c r="AX485" s="14" t="s">
        <v>73</v>
      </c>
      <c r="AY485" s="14" t="s">
        <v>74</v>
      </c>
    </row>
    <row r="486" spans="1:51" ht="15" customHeight="1" x14ac:dyDescent="0.4">
      <c r="A486" s="12">
        <v>3816</v>
      </c>
      <c r="B486" s="21" t="s">
        <v>5662</v>
      </c>
      <c r="C486" s="13" t="s">
        <v>5663</v>
      </c>
      <c r="D486" s="25" t="s">
        <v>5663</v>
      </c>
      <c r="E486" s="13"/>
      <c r="F486" s="41"/>
      <c r="G486" s="41"/>
      <c r="H486" s="41"/>
      <c r="I486" s="14" t="s">
        <v>1878</v>
      </c>
      <c r="J486" s="15">
        <v>44788</v>
      </c>
      <c r="K486" t="s">
        <v>2719</v>
      </c>
      <c r="L486" t="s">
        <v>51</v>
      </c>
      <c r="M486" t="s">
        <v>52</v>
      </c>
      <c r="N486" t="s">
        <v>53</v>
      </c>
      <c r="O486" t="s">
        <v>5591</v>
      </c>
      <c r="P486" t="s">
        <v>5592</v>
      </c>
      <c r="Q486" t="s">
        <v>56</v>
      </c>
      <c r="R486" s="21" t="s">
        <v>5593</v>
      </c>
      <c r="S486" s="21"/>
      <c r="T486" t="s">
        <v>5640</v>
      </c>
      <c r="U486" t="s">
        <v>5664</v>
      </c>
      <c r="X486" t="s">
        <v>2336</v>
      </c>
      <c r="Y486" t="s">
        <v>1881</v>
      </c>
      <c r="AA486" s="15"/>
      <c r="AC486">
        <v>43.056780000000003</v>
      </c>
      <c r="AD486">
        <v>-78.985106999999999</v>
      </c>
      <c r="AE486" t="s">
        <v>5665</v>
      </c>
      <c r="AH486" t="s">
        <v>1715</v>
      </c>
      <c r="AI486" t="s">
        <v>63</v>
      </c>
      <c r="AJ486" t="s">
        <v>5666</v>
      </c>
      <c r="AK486">
        <v>193379</v>
      </c>
      <c r="AM486" t="s">
        <v>5667</v>
      </c>
      <c r="AN486" t="s">
        <v>5668</v>
      </c>
      <c r="AO486" t="s">
        <v>5669</v>
      </c>
      <c r="AP486" t="s">
        <v>68</v>
      </c>
      <c r="AR486" t="s">
        <v>5670</v>
      </c>
      <c r="AS486" t="s">
        <v>5671</v>
      </c>
      <c r="AT486" t="s">
        <v>5672</v>
      </c>
      <c r="AW486" s="14" t="s">
        <v>72</v>
      </c>
      <c r="AX486" s="14" t="s">
        <v>73</v>
      </c>
      <c r="AY486" s="14" t="s">
        <v>1723</v>
      </c>
    </row>
    <row r="487" spans="1:51" ht="15" customHeight="1" x14ac:dyDescent="0.4">
      <c r="A487" s="12">
        <v>3817</v>
      </c>
      <c r="B487" s="21" t="s">
        <v>5673</v>
      </c>
      <c r="C487" s="13" t="s">
        <v>5674</v>
      </c>
      <c r="D487" s="25" t="s">
        <v>5674</v>
      </c>
      <c r="E487" s="13"/>
      <c r="F487" s="41"/>
      <c r="G487" s="41"/>
      <c r="H487" s="41"/>
      <c r="I487" s="14" t="s">
        <v>1878</v>
      </c>
      <c r="J487" s="15">
        <v>44788</v>
      </c>
      <c r="K487" t="s">
        <v>2719</v>
      </c>
      <c r="L487" t="s">
        <v>51</v>
      </c>
      <c r="M487" t="s">
        <v>52</v>
      </c>
      <c r="N487" t="s">
        <v>53</v>
      </c>
      <c r="O487" t="s">
        <v>5591</v>
      </c>
      <c r="P487" t="s">
        <v>5592</v>
      </c>
      <c r="Q487" t="s">
        <v>56</v>
      </c>
      <c r="R487" s="21" t="s">
        <v>5593</v>
      </c>
      <c r="S487" s="21"/>
      <c r="T487" t="s">
        <v>5675</v>
      </c>
      <c r="U487" t="s">
        <v>5676</v>
      </c>
      <c r="Y487" t="s">
        <v>1881</v>
      </c>
      <c r="AA487" s="15"/>
      <c r="AC487">
        <v>43.056680999999998</v>
      </c>
      <c r="AD487">
        <v>-78.984002000000004</v>
      </c>
      <c r="AE487" t="s">
        <v>987</v>
      </c>
      <c r="AH487" t="s">
        <v>1715</v>
      </c>
      <c r="AI487" t="s">
        <v>63</v>
      </c>
      <c r="AJ487" t="s">
        <v>5677</v>
      </c>
      <c r="AK487">
        <v>192584</v>
      </c>
      <c r="AM487" t="s">
        <v>5678</v>
      </c>
      <c r="AN487" t="s">
        <v>5679</v>
      </c>
      <c r="AO487" t="s">
        <v>5680</v>
      </c>
      <c r="AP487" t="s">
        <v>68</v>
      </c>
      <c r="AR487" t="s">
        <v>5681</v>
      </c>
      <c r="AS487" t="s">
        <v>5682</v>
      </c>
      <c r="AT487" t="s">
        <v>5683</v>
      </c>
      <c r="AW487" s="14" t="s">
        <v>72</v>
      </c>
      <c r="AX487" s="14" t="s">
        <v>73</v>
      </c>
      <c r="AY487" s="14" t="s">
        <v>1723</v>
      </c>
    </row>
    <row r="488" spans="1:51" ht="15" customHeight="1" x14ac:dyDescent="0.4">
      <c r="A488" s="12">
        <v>3818</v>
      </c>
      <c r="B488" s="21" t="s">
        <v>5684</v>
      </c>
      <c r="C488" s="13" t="s">
        <v>5685</v>
      </c>
      <c r="D488" s="25" t="s">
        <v>5685</v>
      </c>
      <c r="E488" s="13"/>
      <c r="F488" s="45" t="s">
        <v>2222</v>
      </c>
      <c r="G488" s="45" t="s">
        <v>8124</v>
      </c>
      <c r="H488" s="45"/>
      <c r="I488" s="14" t="s">
        <v>2222</v>
      </c>
      <c r="J488" s="15">
        <v>44788</v>
      </c>
      <c r="K488" t="s">
        <v>2719</v>
      </c>
      <c r="L488" t="s">
        <v>51</v>
      </c>
      <c r="M488" t="s">
        <v>52</v>
      </c>
      <c r="N488" t="s">
        <v>53</v>
      </c>
      <c r="O488" t="s">
        <v>5591</v>
      </c>
      <c r="P488" t="s">
        <v>5592</v>
      </c>
      <c r="Q488" t="s">
        <v>56</v>
      </c>
      <c r="R488" s="21" t="s">
        <v>5593</v>
      </c>
      <c r="S488" s="21"/>
      <c r="T488" t="s">
        <v>5686</v>
      </c>
      <c r="U488" t="s">
        <v>5687</v>
      </c>
      <c r="X488" t="s">
        <v>2336</v>
      </c>
      <c r="Y488" t="s">
        <v>2225</v>
      </c>
      <c r="AA488" s="15"/>
      <c r="AC488">
        <v>43.056547999999999</v>
      </c>
      <c r="AD488">
        <v>-78.983165999999997</v>
      </c>
      <c r="AE488" t="s">
        <v>5688</v>
      </c>
      <c r="AH488" t="s">
        <v>1715</v>
      </c>
      <c r="AI488" t="s">
        <v>63</v>
      </c>
      <c r="AJ488" t="s">
        <v>5689</v>
      </c>
      <c r="AK488">
        <v>192677</v>
      </c>
      <c r="AM488" t="s">
        <v>5690</v>
      </c>
      <c r="AN488" t="s">
        <v>5691</v>
      </c>
      <c r="AO488" t="s">
        <v>5692</v>
      </c>
      <c r="AP488" t="s">
        <v>68</v>
      </c>
      <c r="AR488" t="s">
        <v>5693</v>
      </c>
      <c r="AS488" t="s">
        <v>5694</v>
      </c>
      <c r="AT488" t="s">
        <v>5695</v>
      </c>
      <c r="AW488" s="14" t="s">
        <v>72</v>
      </c>
      <c r="AX488" s="14" t="s">
        <v>73</v>
      </c>
      <c r="AY488" s="14" t="s">
        <v>74</v>
      </c>
    </row>
    <row r="489" spans="1:51" ht="15" customHeight="1" x14ac:dyDescent="0.4">
      <c r="A489" s="12">
        <v>3819</v>
      </c>
      <c r="B489" s="21" t="s">
        <v>5696</v>
      </c>
      <c r="C489" s="13" t="s">
        <v>5697</v>
      </c>
      <c r="D489" s="25" t="s">
        <v>5697</v>
      </c>
      <c r="E489" s="13"/>
      <c r="F489" s="41" t="s">
        <v>8106</v>
      </c>
      <c r="G489" s="41"/>
      <c r="H489" s="41"/>
      <c r="I489" s="14" t="s">
        <v>49</v>
      </c>
      <c r="J489" s="15">
        <v>44788</v>
      </c>
      <c r="K489" t="s">
        <v>2719</v>
      </c>
      <c r="L489" t="s">
        <v>51</v>
      </c>
      <c r="M489" t="s">
        <v>52</v>
      </c>
      <c r="N489" t="s">
        <v>53</v>
      </c>
      <c r="O489" t="s">
        <v>5591</v>
      </c>
      <c r="P489" t="s">
        <v>5592</v>
      </c>
      <c r="Q489" t="s">
        <v>56</v>
      </c>
      <c r="R489" s="21" t="s">
        <v>5593</v>
      </c>
      <c r="S489" s="21"/>
      <c r="T489" t="s">
        <v>5698</v>
      </c>
      <c r="U489" t="s">
        <v>5699</v>
      </c>
      <c r="X489" t="s">
        <v>1758</v>
      </c>
      <c r="Y489" t="s">
        <v>60</v>
      </c>
      <c r="AA489" s="15"/>
      <c r="AC489">
        <v>43.056674000000001</v>
      </c>
      <c r="AD489">
        <v>-78.981437</v>
      </c>
      <c r="AE489" t="s">
        <v>5700</v>
      </c>
      <c r="AH489" t="s">
        <v>1715</v>
      </c>
      <c r="AI489" t="s">
        <v>63</v>
      </c>
      <c r="AJ489" t="s">
        <v>5701</v>
      </c>
      <c r="AK489">
        <v>192608</v>
      </c>
      <c r="AM489" t="s">
        <v>5702</v>
      </c>
      <c r="AN489" t="s">
        <v>5703</v>
      </c>
      <c r="AO489" t="s">
        <v>5704</v>
      </c>
      <c r="AP489" t="s">
        <v>68</v>
      </c>
      <c r="AR489" t="s">
        <v>5705</v>
      </c>
      <c r="AS489" t="s">
        <v>5706</v>
      </c>
      <c r="AT489" t="s">
        <v>5707</v>
      </c>
      <c r="AW489" s="14" t="s">
        <v>72</v>
      </c>
      <c r="AX489" s="14" t="s">
        <v>73</v>
      </c>
      <c r="AY489" s="14" t="s">
        <v>74</v>
      </c>
    </row>
    <row r="490" spans="1:51" ht="15" customHeight="1" x14ac:dyDescent="0.4">
      <c r="A490" s="12">
        <v>3820</v>
      </c>
      <c r="B490" s="21" t="s">
        <v>5708</v>
      </c>
      <c r="C490" s="13" t="s">
        <v>5709</v>
      </c>
      <c r="D490" s="25" t="s">
        <v>5709</v>
      </c>
      <c r="E490" s="13"/>
      <c r="F490" s="43" t="s">
        <v>2222</v>
      </c>
      <c r="G490" s="43" t="s">
        <v>8123</v>
      </c>
      <c r="H490" s="43"/>
      <c r="I490" s="14" t="s">
        <v>2222</v>
      </c>
      <c r="J490" s="15">
        <v>44788</v>
      </c>
      <c r="K490" t="s">
        <v>2719</v>
      </c>
      <c r="L490" t="s">
        <v>51</v>
      </c>
      <c r="M490" t="s">
        <v>52</v>
      </c>
      <c r="N490" t="s">
        <v>53</v>
      </c>
      <c r="O490" t="s">
        <v>5591</v>
      </c>
      <c r="P490" t="s">
        <v>5592</v>
      </c>
      <c r="Q490" t="s">
        <v>56</v>
      </c>
      <c r="R490" s="21" t="s">
        <v>5593</v>
      </c>
      <c r="S490" s="21"/>
      <c r="T490" t="s">
        <v>5710</v>
      </c>
      <c r="U490" t="s">
        <v>5711</v>
      </c>
      <c r="Y490" t="s">
        <v>2225</v>
      </c>
      <c r="AA490" s="15"/>
      <c r="AC490">
        <v>43.056244999999997</v>
      </c>
      <c r="AD490">
        <v>-78.978697999999994</v>
      </c>
      <c r="AE490" t="s">
        <v>5712</v>
      </c>
      <c r="AH490" t="s">
        <v>1715</v>
      </c>
      <c r="AI490" t="s">
        <v>63</v>
      </c>
      <c r="AJ490" t="s">
        <v>5713</v>
      </c>
      <c r="AK490">
        <v>192599</v>
      </c>
      <c r="AM490" t="s">
        <v>5714</v>
      </c>
      <c r="AN490" t="s">
        <v>5715</v>
      </c>
      <c r="AO490" t="s">
        <v>5716</v>
      </c>
      <c r="AP490" t="s">
        <v>68</v>
      </c>
      <c r="AR490" t="s">
        <v>5717</v>
      </c>
      <c r="AS490" t="s">
        <v>5718</v>
      </c>
      <c r="AT490" t="s">
        <v>5719</v>
      </c>
      <c r="AW490" s="14" t="s">
        <v>72</v>
      </c>
      <c r="AX490" s="14" t="s">
        <v>73</v>
      </c>
      <c r="AY490" s="14" t="s">
        <v>74</v>
      </c>
    </row>
    <row r="491" spans="1:51" ht="15" customHeight="1" x14ac:dyDescent="0.4">
      <c r="A491" s="12">
        <v>3821</v>
      </c>
      <c r="B491" s="21" t="s">
        <v>5720</v>
      </c>
      <c r="C491" s="13" t="s">
        <v>5721</v>
      </c>
      <c r="D491" s="25" t="s">
        <v>5721</v>
      </c>
      <c r="E491" s="13"/>
      <c r="F491" s="42" t="s">
        <v>8119</v>
      </c>
      <c r="G491" s="41"/>
      <c r="H491" s="41"/>
      <c r="I491" s="14" t="s">
        <v>1878</v>
      </c>
      <c r="J491" s="15">
        <v>44788</v>
      </c>
      <c r="K491" t="s">
        <v>2719</v>
      </c>
      <c r="L491" t="s">
        <v>51</v>
      </c>
      <c r="M491" t="s">
        <v>52</v>
      </c>
      <c r="N491" t="s">
        <v>53</v>
      </c>
      <c r="O491" t="s">
        <v>5591</v>
      </c>
      <c r="P491" t="s">
        <v>5592</v>
      </c>
      <c r="Q491" t="s">
        <v>56</v>
      </c>
      <c r="R491" s="21" t="s">
        <v>5593</v>
      </c>
      <c r="S491" s="21"/>
      <c r="T491" t="s">
        <v>5722</v>
      </c>
      <c r="U491" t="s">
        <v>5723</v>
      </c>
      <c r="Y491" t="s">
        <v>1881</v>
      </c>
      <c r="AA491" s="15"/>
      <c r="AC491">
        <v>43.055698999999997</v>
      </c>
      <c r="AD491">
        <v>-78.976797000000005</v>
      </c>
      <c r="AE491" t="s">
        <v>5724</v>
      </c>
      <c r="AH491" t="s">
        <v>1715</v>
      </c>
      <c r="AI491" t="s">
        <v>63</v>
      </c>
      <c r="AJ491" t="s">
        <v>5725</v>
      </c>
      <c r="AK491">
        <v>192548</v>
      </c>
      <c r="AM491" t="s">
        <v>5726</v>
      </c>
      <c r="AN491" t="s">
        <v>5727</v>
      </c>
      <c r="AO491" t="s">
        <v>5728</v>
      </c>
      <c r="AP491" t="s">
        <v>68</v>
      </c>
      <c r="AR491" t="s">
        <v>5729</v>
      </c>
      <c r="AS491" t="s">
        <v>5730</v>
      </c>
      <c r="AT491" t="s">
        <v>5731</v>
      </c>
      <c r="AW491" s="14" t="s">
        <v>72</v>
      </c>
      <c r="AX491" s="14" t="s">
        <v>73</v>
      </c>
      <c r="AY491" s="14" t="s">
        <v>1723</v>
      </c>
    </row>
    <row r="492" spans="1:51" ht="15" customHeight="1" x14ac:dyDescent="0.4">
      <c r="A492" s="12">
        <v>3822</v>
      </c>
      <c r="B492" s="21" t="s">
        <v>5732</v>
      </c>
      <c r="C492" s="13" t="s">
        <v>5733</v>
      </c>
      <c r="D492" s="25" t="s">
        <v>5733</v>
      </c>
      <c r="E492" s="13"/>
      <c r="F492" s="41"/>
      <c r="G492" s="41"/>
      <c r="H492" s="41"/>
      <c r="I492" s="14" t="s">
        <v>2222</v>
      </c>
      <c r="J492" s="15">
        <v>44788</v>
      </c>
      <c r="K492" t="s">
        <v>2719</v>
      </c>
      <c r="L492" t="s">
        <v>51</v>
      </c>
      <c r="M492" t="s">
        <v>52</v>
      </c>
      <c r="N492" t="s">
        <v>53</v>
      </c>
      <c r="O492" t="s">
        <v>5591</v>
      </c>
      <c r="P492" t="s">
        <v>5592</v>
      </c>
      <c r="Q492" t="s">
        <v>56</v>
      </c>
      <c r="R492" s="21" t="s">
        <v>5593</v>
      </c>
      <c r="S492" s="21"/>
      <c r="T492" t="s">
        <v>5734</v>
      </c>
      <c r="U492" t="s">
        <v>5735</v>
      </c>
      <c r="X492" t="s">
        <v>1758</v>
      </c>
      <c r="Y492" t="s">
        <v>2225</v>
      </c>
      <c r="AA492" s="15"/>
      <c r="AC492">
        <v>43.055625999999997</v>
      </c>
      <c r="AD492">
        <v>-78.974952999999999</v>
      </c>
      <c r="AE492" t="s">
        <v>5700</v>
      </c>
      <c r="AH492" t="s">
        <v>1715</v>
      </c>
      <c r="AI492" t="s">
        <v>63</v>
      </c>
      <c r="AJ492" t="s">
        <v>5736</v>
      </c>
      <c r="AK492">
        <v>192598</v>
      </c>
      <c r="AM492" t="s">
        <v>5737</v>
      </c>
      <c r="AN492" t="s">
        <v>5738</v>
      </c>
      <c r="AO492" t="s">
        <v>5739</v>
      </c>
      <c r="AP492" t="s">
        <v>68</v>
      </c>
      <c r="AR492" t="s">
        <v>5740</v>
      </c>
      <c r="AS492" t="s">
        <v>5741</v>
      </c>
      <c r="AT492" t="s">
        <v>5742</v>
      </c>
      <c r="AW492" s="14" t="s">
        <v>72</v>
      </c>
      <c r="AX492" s="14" t="s">
        <v>73</v>
      </c>
      <c r="AY492" s="14" t="s">
        <v>74</v>
      </c>
    </row>
    <row r="493" spans="1:51" ht="15" customHeight="1" x14ac:dyDescent="0.4">
      <c r="A493" s="12">
        <v>3823</v>
      </c>
      <c r="B493" s="21" t="s">
        <v>5743</v>
      </c>
      <c r="C493" s="13" t="s">
        <v>5744</v>
      </c>
      <c r="D493" s="25" t="s">
        <v>5744</v>
      </c>
      <c r="E493" s="13"/>
      <c r="F493" s="45" t="s">
        <v>2222</v>
      </c>
      <c r="G493" s="45" t="s">
        <v>8122</v>
      </c>
      <c r="H493" s="45"/>
      <c r="I493" s="14" t="s">
        <v>2222</v>
      </c>
      <c r="J493" s="15">
        <v>44788</v>
      </c>
      <c r="K493" t="s">
        <v>2719</v>
      </c>
      <c r="L493" t="s">
        <v>51</v>
      </c>
      <c r="M493" t="s">
        <v>52</v>
      </c>
      <c r="N493" t="s">
        <v>53</v>
      </c>
      <c r="O493" t="s">
        <v>5591</v>
      </c>
      <c r="P493" t="s">
        <v>5592</v>
      </c>
      <c r="Q493" t="s">
        <v>56</v>
      </c>
      <c r="R493" s="21" t="s">
        <v>5593</v>
      </c>
      <c r="S493" s="21"/>
      <c r="T493" t="s">
        <v>5745</v>
      </c>
      <c r="U493" t="s">
        <v>5746</v>
      </c>
      <c r="X493" t="s">
        <v>1758</v>
      </c>
      <c r="Y493" t="s">
        <v>2225</v>
      </c>
      <c r="AA493" s="15"/>
      <c r="AC493">
        <v>43.055681</v>
      </c>
      <c r="AD493">
        <v>-78.974018999999998</v>
      </c>
      <c r="AE493" t="s">
        <v>5724</v>
      </c>
      <c r="AH493" t="s">
        <v>1715</v>
      </c>
      <c r="AI493" t="s">
        <v>63</v>
      </c>
      <c r="AJ493" t="s">
        <v>5747</v>
      </c>
      <c r="AK493">
        <v>192613</v>
      </c>
      <c r="AM493" t="s">
        <v>5748</v>
      </c>
      <c r="AN493" t="s">
        <v>5749</v>
      </c>
      <c r="AO493" t="s">
        <v>5750</v>
      </c>
      <c r="AP493" t="s">
        <v>68</v>
      </c>
      <c r="AR493" t="s">
        <v>5751</v>
      </c>
      <c r="AS493" t="s">
        <v>5752</v>
      </c>
      <c r="AT493" t="s">
        <v>5753</v>
      </c>
      <c r="AW493" s="14" t="s">
        <v>72</v>
      </c>
      <c r="AX493" s="14" t="s">
        <v>73</v>
      </c>
      <c r="AY493" s="14" t="s">
        <v>74</v>
      </c>
    </row>
    <row r="494" spans="1:51" ht="15" customHeight="1" x14ac:dyDescent="0.4">
      <c r="A494" s="12">
        <v>3824</v>
      </c>
      <c r="B494" s="21" t="s">
        <v>5754</v>
      </c>
      <c r="C494" s="13" t="s">
        <v>5755</v>
      </c>
      <c r="D494" s="25" t="s">
        <v>5755</v>
      </c>
      <c r="E494" s="13"/>
      <c r="F494" s="41"/>
      <c r="G494" s="41"/>
      <c r="H494" s="41"/>
      <c r="I494" s="14" t="s">
        <v>1878</v>
      </c>
      <c r="J494" s="15">
        <v>44789</v>
      </c>
      <c r="K494" t="s">
        <v>2719</v>
      </c>
      <c r="L494" t="s">
        <v>51</v>
      </c>
      <c r="M494" t="s">
        <v>52</v>
      </c>
      <c r="N494" t="s">
        <v>53</v>
      </c>
      <c r="O494" t="s">
        <v>5591</v>
      </c>
      <c r="P494" t="s">
        <v>5756</v>
      </c>
      <c r="Q494" t="s">
        <v>56</v>
      </c>
      <c r="R494" s="21" t="s">
        <v>5757</v>
      </c>
      <c r="S494" s="21"/>
      <c r="T494" t="s">
        <v>5758</v>
      </c>
      <c r="U494" t="s">
        <v>5759</v>
      </c>
      <c r="Y494" t="s">
        <v>1881</v>
      </c>
      <c r="AA494" s="15"/>
      <c r="AC494">
        <v>42.706592000000001</v>
      </c>
      <c r="AD494">
        <v>-76.900946000000005</v>
      </c>
      <c r="AE494" t="s">
        <v>5760</v>
      </c>
      <c r="AH494" t="s">
        <v>1715</v>
      </c>
      <c r="AI494" t="s">
        <v>63</v>
      </c>
      <c r="AJ494" t="s">
        <v>5761</v>
      </c>
      <c r="AK494">
        <v>193378</v>
      </c>
      <c r="AM494" t="s">
        <v>5762</v>
      </c>
      <c r="AN494" t="s">
        <v>5763</v>
      </c>
      <c r="AO494" t="s">
        <v>5764</v>
      </c>
      <c r="AP494" t="s">
        <v>68</v>
      </c>
      <c r="AR494" t="s">
        <v>5765</v>
      </c>
      <c r="AS494" t="s">
        <v>5766</v>
      </c>
      <c r="AT494" t="s">
        <v>5767</v>
      </c>
      <c r="AW494" s="14" t="s">
        <v>72</v>
      </c>
      <c r="AX494" s="14" t="s">
        <v>73</v>
      </c>
      <c r="AY494" s="14" t="s">
        <v>1723</v>
      </c>
    </row>
    <row r="495" spans="1:51" ht="15" customHeight="1" x14ac:dyDescent="0.4">
      <c r="A495" s="12">
        <v>3825</v>
      </c>
      <c r="B495" s="21" t="s">
        <v>5768</v>
      </c>
      <c r="C495" s="13" t="s">
        <v>5769</v>
      </c>
      <c r="D495" s="25" t="s">
        <v>5769</v>
      </c>
      <c r="E495" s="13"/>
      <c r="F495" s="41"/>
      <c r="G495" s="41"/>
      <c r="H495" s="41"/>
      <c r="I495" s="14" t="s">
        <v>1878</v>
      </c>
      <c r="J495" s="15">
        <v>44789</v>
      </c>
      <c r="K495" t="s">
        <v>2719</v>
      </c>
      <c r="L495" t="s">
        <v>51</v>
      </c>
      <c r="M495" t="s">
        <v>52</v>
      </c>
      <c r="N495" t="s">
        <v>53</v>
      </c>
      <c r="O495" t="s">
        <v>5591</v>
      </c>
      <c r="P495" t="s">
        <v>5756</v>
      </c>
      <c r="Q495" t="s">
        <v>56</v>
      </c>
      <c r="R495" s="21" t="s">
        <v>5757</v>
      </c>
      <c r="S495" s="21"/>
      <c r="T495" t="s">
        <v>5770</v>
      </c>
      <c r="U495" t="s">
        <v>5771</v>
      </c>
      <c r="Y495" t="s">
        <v>1881</v>
      </c>
      <c r="AA495" s="15"/>
      <c r="AC495">
        <v>42.700906000000003</v>
      </c>
      <c r="AD495">
        <v>-76.897109</v>
      </c>
      <c r="AE495" t="s">
        <v>3596</v>
      </c>
      <c r="AH495" t="s">
        <v>1715</v>
      </c>
      <c r="AI495" t="s">
        <v>63</v>
      </c>
      <c r="AJ495" t="s">
        <v>5772</v>
      </c>
      <c r="AK495">
        <v>193377</v>
      </c>
      <c r="AM495" t="s">
        <v>5773</v>
      </c>
      <c r="AN495" t="s">
        <v>5774</v>
      </c>
      <c r="AO495" t="s">
        <v>5775</v>
      </c>
      <c r="AP495" t="s">
        <v>68</v>
      </c>
      <c r="AR495" t="s">
        <v>5776</v>
      </c>
      <c r="AS495" t="s">
        <v>5777</v>
      </c>
      <c r="AT495" t="s">
        <v>5778</v>
      </c>
      <c r="AW495" s="14" t="s">
        <v>72</v>
      </c>
      <c r="AX495" s="14" t="s">
        <v>73</v>
      </c>
      <c r="AY495" s="14" t="s">
        <v>1723</v>
      </c>
    </row>
    <row r="496" spans="1:51" ht="15" customHeight="1" x14ac:dyDescent="0.4">
      <c r="A496" s="12">
        <v>3826</v>
      </c>
      <c r="B496" s="21" t="s">
        <v>5779</v>
      </c>
      <c r="C496" s="13" t="s">
        <v>5780</v>
      </c>
      <c r="D496" s="25" t="s">
        <v>5780</v>
      </c>
      <c r="E496" s="13"/>
      <c r="F496" s="41"/>
      <c r="G496" s="41"/>
      <c r="H496" s="41"/>
      <c r="I496" s="14" t="s">
        <v>1878</v>
      </c>
      <c r="J496" s="15">
        <v>44789</v>
      </c>
      <c r="K496" t="s">
        <v>2719</v>
      </c>
      <c r="L496" t="s">
        <v>51</v>
      </c>
      <c r="M496" t="s">
        <v>52</v>
      </c>
      <c r="N496" t="s">
        <v>53</v>
      </c>
      <c r="O496" t="s">
        <v>5591</v>
      </c>
      <c r="P496" t="s">
        <v>5756</v>
      </c>
      <c r="Q496" t="s">
        <v>56</v>
      </c>
      <c r="R496" s="21" t="s">
        <v>5757</v>
      </c>
      <c r="S496" s="21"/>
      <c r="T496" t="s">
        <v>5781</v>
      </c>
      <c r="U496" t="s">
        <v>5782</v>
      </c>
      <c r="Y496" t="s">
        <v>1881</v>
      </c>
      <c r="AA496" s="15"/>
      <c r="AC496">
        <v>42.700262000000002</v>
      </c>
      <c r="AD496">
        <v>-76.896737000000002</v>
      </c>
      <c r="AE496" t="s">
        <v>3550</v>
      </c>
      <c r="AH496" t="s">
        <v>1715</v>
      </c>
      <c r="AI496" t="s">
        <v>63</v>
      </c>
      <c r="AJ496" t="s">
        <v>5783</v>
      </c>
      <c r="AK496">
        <v>193376</v>
      </c>
      <c r="AM496" t="s">
        <v>5784</v>
      </c>
      <c r="AN496" t="s">
        <v>5785</v>
      </c>
      <c r="AO496" t="s">
        <v>5786</v>
      </c>
      <c r="AP496" t="s">
        <v>68</v>
      </c>
      <c r="AR496" t="s">
        <v>5787</v>
      </c>
      <c r="AS496" t="s">
        <v>5788</v>
      </c>
      <c r="AT496" t="s">
        <v>5789</v>
      </c>
      <c r="AW496" s="14" t="s">
        <v>72</v>
      </c>
      <c r="AX496" s="14" t="s">
        <v>73</v>
      </c>
      <c r="AY496" s="14" t="s">
        <v>1723</v>
      </c>
    </row>
    <row r="497" spans="1:51" ht="15" customHeight="1" x14ac:dyDescent="0.4">
      <c r="A497" s="12">
        <v>3827</v>
      </c>
      <c r="B497" s="21" t="s">
        <v>5790</v>
      </c>
      <c r="C497" s="13" t="s">
        <v>5791</v>
      </c>
      <c r="D497" s="25" t="s">
        <v>5791</v>
      </c>
      <c r="E497" s="13"/>
      <c r="F497" s="41"/>
      <c r="G497" s="41"/>
      <c r="H497" s="41"/>
      <c r="I497" s="14" t="s">
        <v>1878</v>
      </c>
      <c r="J497" s="15">
        <v>44789</v>
      </c>
      <c r="K497" t="s">
        <v>2719</v>
      </c>
      <c r="L497" t="s">
        <v>51</v>
      </c>
      <c r="M497" t="s">
        <v>52</v>
      </c>
      <c r="N497" t="s">
        <v>53</v>
      </c>
      <c r="O497" t="s">
        <v>5591</v>
      </c>
      <c r="P497" t="s">
        <v>5756</v>
      </c>
      <c r="Q497" t="s">
        <v>56</v>
      </c>
      <c r="R497" s="21" t="s">
        <v>5757</v>
      </c>
      <c r="S497" s="21"/>
      <c r="T497" t="s">
        <v>5792</v>
      </c>
      <c r="U497" t="s">
        <v>5793</v>
      </c>
      <c r="X497" t="s">
        <v>1758</v>
      </c>
      <c r="Y497" t="s">
        <v>1881</v>
      </c>
      <c r="AA497" s="15"/>
      <c r="AC497">
        <v>42.699741000000003</v>
      </c>
      <c r="AD497">
        <v>-76.895966000000001</v>
      </c>
      <c r="AE497" t="s">
        <v>5794</v>
      </c>
      <c r="AH497" t="s">
        <v>1715</v>
      </c>
      <c r="AI497" t="s">
        <v>63</v>
      </c>
      <c r="AJ497" t="s">
        <v>5795</v>
      </c>
      <c r="AK497">
        <v>193942</v>
      </c>
      <c r="AM497" t="s">
        <v>5796</v>
      </c>
      <c r="AN497" t="s">
        <v>5797</v>
      </c>
      <c r="AO497" t="s">
        <v>5798</v>
      </c>
      <c r="AP497" t="s">
        <v>68</v>
      </c>
      <c r="AR497" t="s">
        <v>5799</v>
      </c>
      <c r="AS497" t="s">
        <v>5800</v>
      </c>
      <c r="AT497" t="s">
        <v>5801</v>
      </c>
      <c r="AW497" s="14" t="s">
        <v>72</v>
      </c>
      <c r="AX497" s="14" t="s">
        <v>73</v>
      </c>
      <c r="AY497" s="14" t="s">
        <v>1723</v>
      </c>
    </row>
    <row r="498" spans="1:51" ht="15" customHeight="1" x14ac:dyDescent="0.4">
      <c r="A498" s="12">
        <v>3828</v>
      </c>
      <c r="B498" s="21" t="s">
        <v>5802</v>
      </c>
      <c r="C498" s="13" t="s">
        <v>5803</v>
      </c>
      <c r="D498" s="25" t="s">
        <v>5803</v>
      </c>
      <c r="E498" s="13"/>
      <c r="F498" s="41"/>
      <c r="G498" s="41"/>
      <c r="H498" s="41"/>
      <c r="I498" s="14" t="s">
        <v>1878</v>
      </c>
      <c r="J498" s="15">
        <v>44789</v>
      </c>
      <c r="K498" t="s">
        <v>2719</v>
      </c>
      <c r="L498" t="s">
        <v>51</v>
      </c>
      <c r="M498" t="s">
        <v>52</v>
      </c>
      <c r="N498" t="s">
        <v>53</v>
      </c>
      <c r="O498" t="s">
        <v>5591</v>
      </c>
      <c r="P498" t="s">
        <v>5756</v>
      </c>
      <c r="Q498" t="s">
        <v>56</v>
      </c>
      <c r="R498" s="21" t="s">
        <v>5757</v>
      </c>
      <c r="S498" s="21"/>
      <c r="T498" t="s">
        <v>5804</v>
      </c>
      <c r="U498" t="s">
        <v>5805</v>
      </c>
      <c r="X498" t="s">
        <v>1758</v>
      </c>
      <c r="Y498" t="s">
        <v>1881</v>
      </c>
      <c r="AA498" s="15"/>
      <c r="AC498">
        <v>42.698391999999998</v>
      </c>
      <c r="AD498">
        <v>-76.895201</v>
      </c>
      <c r="AE498" t="s">
        <v>5806</v>
      </c>
      <c r="AH498" t="s">
        <v>1715</v>
      </c>
      <c r="AI498" t="s">
        <v>63</v>
      </c>
      <c r="AJ498" t="s">
        <v>5807</v>
      </c>
      <c r="AK498">
        <v>193943</v>
      </c>
      <c r="AM498" t="s">
        <v>5808</v>
      </c>
      <c r="AN498" t="s">
        <v>5809</v>
      </c>
      <c r="AO498" t="s">
        <v>5810</v>
      </c>
      <c r="AP498" t="s">
        <v>68</v>
      </c>
      <c r="AR498" t="s">
        <v>5811</v>
      </c>
      <c r="AS498" t="s">
        <v>5812</v>
      </c>
      <c r="AT498" t="s">
        <v>5813</v>
      </c>
      <c r="AW498" s="14" t="s">
        <v>72</v>
      </c>
      <c r="AX498" s="14" t="s">
        <v>73</v>
      </c>
      <c r="AY498" s="14" t="s">
        <v>1723</v>
      </c>
    </row>
    <row r="499" spans="1:51" ht="15" customHeight="1" x14ac:dyDescent="0.4">
      <c r="A499" s="12">
        <v>3829</v>
      </c>
      <c r="B499" s="21" t="s">
        <v>5814</v>
      </c>
      <c r="C499" s="13" t="s">
        <v>5815</v>
      </c>
      <c r="D499" s="25" t="s">
        <v>5815</v>
      </c>
      <c r="E499" s="13"/>
      <c r="F499" s="41"/>
      <c r="G499" s="41"/>
      <c r="H499" s="41"/>
      <c r="I499" s="14" t="s">
        <v>49</v>
      </c>
      <c r="J499" s="15">
        <v>44789</v>
      </c>
      <c r="K499" t="s">
        <v>2719</v>
      </c>
      <c r="L499" t="s">
        <v>51</v>
      </c>
      <c r="M499" t="s">
        <v>52</v>
      </c>
      <c r="N499" t="s">
        <v>53</v>
      </c>
      <c r="O499" t="s">
        <v>5591</v>
      </c>
      <c r="P499" t="s">
        <v>5756</v>
      </c>
      <c r="Q499" t="s">
        <v>56</v>
      </c>
      <c r="R499" s="21" t="s">
        <v>5757</v>
      </c>
      <c r="S499" s="21"/>
      <c r="T499" t="s">
        <v>5816</v>
      </c>
      <c r="U499" t="s">
        <v>5817</v>
      </c>
      <c r="X499" t="s">
        <v>1758</v>
      </c>
      <c r="Y499" t="s">
        <v>60</v>
      </c>
      <c r="AA499" s="15"/>
      <c r="AC499">
        <v>42.740504999999999</v>
      </c>
      <c r="AD499">
        <v>-76.905844999999999</v>
      </c>
      <c r="AE499" t="s">
        <v>5818</v>
      </c>
      <c r="AH499" t="s">
        <v>1715</v>
      </c>
      <c r="AI499" t="s">
        <v>63</v>
      </c>
      <c r="AJ499" t="s">
        <v>5819</v>
      </c>
      <c r="AK499">
        <v>194443</v>
      </c>
      <c r="AM499" t="s">
        <v>5820</v>
      </c>
      <c r="AN499" t="s">
        <v>5821</v>
      </c>
      <c r="AO499" t="s">
        <v>5822</v>
      </c>
      <c r="AP499" t="s">
        <v>68</v>
      </c>
      <c r="AR499" t="s">
        <v>5823</v>
      </c>
      <c r="AS499" t="s">
        <v>5824</v>
      </c>
      <c r="AT499" t="s">
        <v>5825</v>
      </c>
      <c r="AW499" s="14" t="s">
        <v>72</v>
      </c>
      <c r="AX499" s="14" t="s">
        <v>73</v>
      </c>
      <c r="AY499" s="14" t="s">
        <v>74</v>
      </c>
    </row>
    <row r="500" spans="1:51" ht="15" customHeight="1" x14ac:dyDescent="0.4">
      <c r="A500" s="12">
        <v>3830</v>
      </c>
      <c r="B500" s="21" t="s">
        <v>5826</v>
      </c>
      <c r="C500" s="13" t="s">
        <v>5827</v>
      </c>
      <c r="D500" s="25" t="s">
        <v>5827</v>
      </c>
      <c r="E500" s="13"/>
      <c r="F500" s="45" t="s">
        <v>49</v>
      </c>
      <c r="G500" s="58" t="s">
        <v>8121</v>
      </c>
      <c r="H500" s="45"/>
      <c r="I500" s="14" t="s">
        <v>49</v>
      </c>
      <c r="J500" s="15">
        <v>44789</v>
      </c>
      <c r="K500" t="s">
        <v>2719</v>
      </c>
      <c r="L500" t="s">
        <v>51</v>
      </c>
      <c r="M500" t="s">
        <v>52</v>
      </c>
      <c r="N500" t="s">
        <v>53</v>
      </c>
      <c r="O500" t="s">
        <v>5591</v>
      </c>
      <c r="P500" t="s">
        <v>5756</v>
      </c>
      <c r="Q500" t="s">
        <v>56</v>
      </c>
      <c r="R500" s="21" t="s">
        <v>5757</v>
      </c>
      <c r="S500" s="21"/>
      <c r="T500" t="s">
        <v>5828</v>
      </c>
      <c r="U500" t="s">
        <v>5829</v>
      </c>
      <c r="X500" t="s">
        <v>2440</v>
      </c>
      <c r="Y500" t="s">
        <v>60</v>
      </c>
      <c r="AA500" s="15"/>
      <c r="AC500">
        <v>42.740713</v>
      </c>
      <c r="AD500">
        <v>-76.904984999999996</v>
      </c>
      <c r="AE500" t="s">
        <v>5818</v>
      </c>
      <c r="AH500" t="s">
        <v>1715</v>
      </c>
      <c r="AI500" t="s">
        <v>63</v>
      </c>
      <c r="AJ500" t="s">
        <v>5830</v>
      </c>
      <c r="AK500">
        <v>193369</v>
      </c>
      <c r="AM500" t="s">
        <v>5831</v>
      </c>
      <c r="AN500" t="s">
        <v>5832</v>
      </c>
      <c r="AO500" t="s">
        <v>5833</v>
      </c>
      <c r="AP500" t="s">
        <v>68</v>
      </c>
      <c r="AR500" t="s">
        <v>5834</v>
      </c>
      <c r="AS500" t="s">
        <v>5835</v>
      </c>
      <c r="AT500" t="s">
        <v>5836</v>
      </c>
      <c r="AW500" s="14" t="s">
        <v>72</v>
      </c>
      <c r="AX500" s="14" t="s">
        <v>73</v>
      </c>
      <c r="AY500" s="14" t="s">
        <v>74</v>
      </c>
    </row>
    <row r="501" spans="1:51" ht="15" customHeight="1" x14ac:dyDescent="0.4">
      <c r="A501" s="12">
        <v>3831</v>
      </c>
      <c r="B501" s="21" t="s">
        <v>5837</v>
      </c>
      <c r="C501" s="13" t="s">
        <v>5838</v>
      </c>
      <c r="D501" s="25" t="s">
        <v>5838</v>
      </c>
      <c r="E501" s="13"/>
      <c r="F501" s="45" t="s">
        <v>2222</v>
      </c>
      <c r="G501" s="45" t="s">
        <v>8120</v>
      </c>
      <c r="H501" s="45"/>
      <c r="I501" s="14" t="s">
        <v>49</v>
      </c>
      <c r="J501" s="15">
        <v>44789</v>
      </c>
      <c r="K501" t="s">
        <v>2719</v>
      </c>
      <c r="L501" t="s">
        <v>51</v>
      </c>
      <c r="M501" t="s">
        <v>52</v>
      </c>
      <c r="N501" t="s">
        <v>53</v>
      </c>
      <c r="O501" t="s">
        <v>5591</v>
      </c>
      <c r="P501" t="s">
        <v>5756</v>
      </c>
      <c r="Q501" t="s">
        <v>56</v>
      </c>
      <c r="R501" s="21" t="s">
        <v>5757</v>
      </c>
      <c r="S501" s="21"/>
      <c r="T501" t="s">
        <v>5839</v>
      </c>
      <c r="U501" t="s">
        <v>5840</v>
      </c>
      <c r="X501" t="s">
        <v>5841</v>
      </c>
      <c r="Y501" t="s">
        <v>60</v>
      </c>
      <c r="AA501" s="15"/>
      <c r="AC501">
        <v>42.741551000000001</v>
      </c>
      <c r="AD501">
        <v>-76.901053000000005</v>
      </c>
      <c r="AE501" t="s">
        <v>5842</v>
      </c>
      <c r="AH501" t="s">
        <v>1715</v>
      </c>
      <c r="AI501" t="s">
        <v>63</v>
      </c>
      <c r="AJ501" t="s">
        <v>5843</v>
      </c>
      <c r="AK501">
        <v>192609</v>
      </c>
      <c r="AM501" t="s">
        <v>5844</v>
      </c>
      <c r="AN501" t="s">
        <v>5845</v>
      </c>
      <c r="AO501" t="s">
        <v>5846</v>
      </c>
      <c r="AP501" t="s">
        <v>68</v>
      </c>
      <c r="AR501" t="s">
        <v>5847</v>
      </c>
      <c r="AS501" t="s">
        <v>5848</v>
      </c>
      <c r="AT501" t="s">
        <v>5849</v>
      </c>
      <c r="AW501" s="14" t="s">
        <v>72</v>
      </c>
      <c r="AX501" s="14" t="s">
        <v>73</v>
      </c>
      <c r="AY501" s="14" t="s">
        <v>74</v>
      </c>
    </row>
    <row r="502" spans="1:51" ht="15" customHeight="1" x14ac:dyDescent="0.4">
      <c r="A502" s="12">
        <v>3832</v>
      </c>
      <c r="B502" s="21" t="s">
        <v>5850</v>
      </c>
      <c r="C502" s="13" t="s">
        <v>5851</v>
      </c>
      <c r="D502" s="25" t="s">
        <v>5851</v>
      </c>
      <c r="E502" s="13"/>
      <c r="F502" s="41"/>
      <c r="G502" s="41"/>
      <c r="H502" s="41"/>
      <c r="I502" s="14" t="s">
        <v>49</v>
      </c>
      <c r="J502" s="15">
        <v>44789</v>
      </c>
      <c r="K502" t="s">
        <v>2719</v>
      </c>
      <c r="L502" t="s">
        <v>51</v>
      </c>
      <c r="M502" t="s">
        <v>52</v>
      </c>
      <c r="N502" t="s">
        <v>53</v>
      </c>
      <c r="O502" t="s">
        <v>5591</v>
      </c>
      <c r="P502" t="s">
        <v>5756</v>
      </c>
      <c r="Q502" t="s">
        <v>56</v>
      </c>
      <c r="R502" s="21" t="s">
        <v>5757</v>
      </c>
      <c r="S502" s="21"/>
      <c r="T502" t="s">
        <v>5852</v>
      </c>
      <c r="U502" t="s">
        <v>5853</v>
      </c>
      <c r="Y502" t="s">
        <v>60</v>
      </c>
      <c r="AA502" s="15"/>
      <c r="AC502">
        <v>42.734695000000002</v>
      </c>
      <c r="AD502">
        <v>-76.903081</v>
      </c>
      <c r="AE502" t="s">
        <v>5854</v>
      </c>
      <c r="AH502" t="s">
        <v>1715</v>
      </c>
      <c r="AI502" t="s">
        <v>63</v>
      </c>
      <c r="AJ502" t="s">
        <v>5855</v>
      </c>
      <c r="AK502">
        <v>194444</v>
      </c>
      <c r="AM502" t="s">
        <v>5856</v>
      </c>
      <c r="AN502" t="s">
        <v>5857</v>
      </c>
      <c r="AO502" t="s">
        <v>5858</v>
      </c>
      <c r="AP502" t="s">
        <v>68</v>
      </c>
      <c r="AR502" t="s">
        <v>5859</v>
      </c>
      <c r="AS502" t="s">
        <v>5860</v>
      </c>
      <c r="AT502" t="s">
        <v>5861</v>
      </c>
      <c r="AW502" s="14" t="s">
        <v>72</v>
      </c>
      <c r="AX502" s="14" t="s">
        <v>73</v>
      </c>
      <c r="AY502" s="14" t="s">
        <v>74</v>
      </c>
    </row>
    <row r="503" spans="1:51" ht="15" customHeight="1" x14ac:dyDescent="0.4">
      <c r="A503" s="12">
        <v>3833</v>
      </c>
      <c r="B503" s="21" t="s">
        <v>5862</v>
      </c>
      <c r="C503" s="13" t="s">
        <v>5863</v>
      </c>
      <c r="D503" s="25" t="s">
        <v>5863</v>
      </c>
      <c r="E503" s="13"/>
      <c r="F503" s="41"/>
      <c r="G503" s="41"/>
      <c r="H503" s="41"/>
      <c r="I503" s="14" t="s">
        <v>49</v>
      </c>
      <c r="J503" s="15">
        <v>44789</v>
      </c>
      <c r="K503" t="s">
        <v>2719</v>
      </c>
      <c r="L503" t="s">
        <v>51</v>
      </c>
      <c r="M503" t="s">
        <v>52</v>
      </c>
      <c r="N503" t="s">
        <v>53</v>
      </c>
      <c r="O503" t="s">
        <v>5591</v>
      </c>
      <c r="P503" t="s">
        <v>5756</v>
      </c>
      <c r="Q503" t="s">
        <v>56</v>
      </c>
      <c r="R503" s="21" t="s">
        <v>5757</v>
      </c>
      <c r="S503" s="21"/>
      <c r="T503" t="s">
        <v>5864</v>
      </c>
      <c r="U503" t="s">
        <v>5865</v>
      </c>
      <c r="Y503" t="s">
        <v>60</v>
      </c>
      <c r="AA503" s="15"/>
      <c r="AC503">
        <v>42.733991000000003</v>
      </c>
      <c r="AD503">
        <v>-76.902518000000001</v>
      </c>
      <c r="AE503" t="s">
        <v>5854</v>
      </c>
      <c r="AH503" t="s">
        <v>1715</v>
      </c>
      <c r="AI503" t="s">
        <v>63</v>
      </c>
      <c r="AJ503" t="s">
        <v>5866</v>
      </c>
      <c r="AK503">
        <v>194445</v>
      </c>
      <c r="AM503" t="s">
        <v>5867</v>
      </c>
      <c r="AN503" t="s">
        <v>5868</v>
      </c>
      <c r="AO503" t="s">
        <v>5869</v>
      </c>
      <c r="AP503" t="s">
        <v>68</v>
      </c>
      <c r="AR503" t="s">
        <v>5870</v>
      </c>
      <c r="AS503" t="s">
        <v>5871</v>
      </c>
      <c r="AT503" t="s">
        <v>5872</v>
      </c>
      <c r="AW503" s="14" t="s">
        <v>72</v>
      </c>
      <c r="AX503" s="14" t="s">
        <v>73</v>
      </c>
      <c r="AY503" s="14" t="s">
        <v>74</v>
      </c>
    </row>
    <row r="504" spans="1:51" ht="15" customHeight="1" x14ac:dyDescent="0.4">
      <c r="A504" s="12">
        <v>3834</v>
      </c>
      <c r="B504" s="21" t="s">
        <v>5873</v>
      </c>
      <c r="C504" s="13" t="s">
        <v>5874</v>
      </c>
      <c r="D504" s="25" t="s">
        <v>5874</v>
      </c>
      <c r="E504" s="13"/>
      <c r="F504" s="41"/>
      <c r="G504" s="41"/>
      <c r="H504" s="41"/>
      <c r="I504" s="14" t="s">
        <v>49</v>
      </c>
      <c r="J504" s="15">
        <v>44790</v>
      </c>
      <c r="K504" t="s">
        <v>2719</v>
      </c>
      <c r="L504" t="s">
        <v>51</v>
      </c>
      <c r="M504" t="s">
        <v>52</v>
      </c>
      <c r="N504" t="s">
        <v>53</v>
      </c>
      <c r="O504" t="s">
        <v>5591</v>
      </c>
      <c r="P504" t="s">
        <v>5875</v>
      </c>
      <c r="Q504" t="s">
        <v>56</v>
      </c>
      <c r="R504" s="21" t="s">
        <v>5876</v>
      </c>
      <c r="S504" s="21"/>
      <c r="T504" t="s">
        <v>5877</v>
      </c>
      <c r="U504" t="s">
        <v>5878</v>
      </c>
      <c r="X504" t="s">
        <v>1758</v>
      </c>
      <c r="Y504" t="s">
        <v>60</v>
      </c>
      <c r="AA504" s="15"/>
      <c r="AC504">
        <v>44.101258999999999</v>
      </c>
      <c r="AD504">
        <v>-76.074804999999998</v>
      </c>
      <c r="AE504" t="s">
        <v>4280</v>
      </c>
      <c r="AH504" t="s">
        <v>1715</v>
      </c>
      <c r="AI504" t="s">
        <v>63</v>
      </c>
      <c r="AJ504" t="s">
        <v>5879</v>
      </c>
      <c r="AK504">
        <v>192587</v>
      </c>
      <c r="AM504" t="s">
        <v>5880</v>
      </c>
      <c r="AN504" t="s">
        <v>5881</v>
      </c>
      <c r="AO504" t="s">
        <v>5882</v>
      </c>
      <c r="AP504" t="s">
        <v>68</v>
      </c>
      <c r="AR504" t="s">
        <v>5883</v>
      </c>
      <c r="AS504" t="s">
        <v>5884</v>
      </c>
      <c r="AT504" t="s">
        <v>5885</v>
      </c>
      <c r="AW504" s="14" t="s">
        <v>72</v>
      </c>
      <c r="AX504" s="14" t="s">
        <v>73</v>
      </c>
      <c r="AY504" s="14" t="s">
        <v>74</v>
      </c>
    </row>
    <row r="505" spans="1:51" ht="15" customHeight="1" x14ac:dyDescent="0.4">
      <c r="A505" s="12">
        <v>3835</v>
      </c>
      <c r="B505" s="21" t="s">
        <v>5886</v>
      </c>
      <c r="C505" s="13" t="s">
        <v>5887</v>
      </c>
      <c r="D505" s="25" t="s">
        <v>5887</v>
      </c>
      <c r="E505" s="13"/>
      <c r="F505" s="41"/>
      <c r="G505" s="41"/>
      <c r="H505" s="41"/>
      <c r="I505" s="14" t="s">
        <v>49</v>
      </c>
      <c r="J505" s="15">
        <v>44790</v>
      </c>
      <c r="K505" t="s">
        <v>2719</v>
      </c>
      <c r="L505" t="s">
        <v>51</v>
      </c>
      <c r="M505" t="s">
        <v>52</v>
      </c>
      <c r="N505" t="s">
        <v>53</v>
      </c>
      <c r="O505" t="s">
        <v>5591</v>
      </c>
      <c r="P505" t="s">
        <v>5875</v>
      </c>
      <c r="Q505" t="s">
        <v>56</v>
      </c>
      <c r="R505" s="21" t="s">
        <v>5876</v>
      </c>
      <c r="S505" s="21"/>
      <c r="T505" t="s">
        <v>5888</v>
      </c>
      <c r="U505" t="s">
        <v>5889</v>
      </c>
      <c r="X505" t="s">
        <v>1758</v>
      </c>
      <c r="Y505" t="s">
        <v>60</v>
      </c>
      <c r="AA505" s="15"/>
      <c r="AC505">
        <v>44.099711999999997</v>
      </c>
      <c r="AD505">
        <v>-76.075817999999998</v>
      </c>
      <c r="AE505" t="s">
        <v>5890</v>
      </c>
      <c r="AH505" t="s">
        <v>1715</v>
      </c>
      <c r="AI505" t="s">
        <v>63</v>
      </c>
      <c r="AJ505" t="s">
        <v>5891</v>
      </c>
      <c r="AK505">
        <v>192585</v>
      </c>
      <c r="AM505" t="s">
        <v>5892</v>
      </c>
      <c r="AN505" t="s">
        <v>5893</v>
      </c>
      <c r="AO505" t="s">
        <v>5894</v>
      </c>
      <c r="AP505" t="s">
        <v>68</v>
      </c>
      <c r="AR505" t="s">
        <v>5895</v>
      </c>
      <c r="AS505" t="s">
        <v>5896</v>
      </c>
      <c r="AT505" t="s">
        <v>5897</v>
      </c>
      <c r="AW505" s="14" t="s">
        <v>72</v>
      </c>
      <c r="AX505" s="14" t="s">
        <v>73</v>
      </c>
      <c r="AY505" s="14" t="s">
        <v>74</v>
      </c>
    </row>
    <row r="506" spans="1:51" ht="15" customHeight="1" x14ac:dyDescent="0.4">
      <c r="A506" s="12">
        <v>3836</v>
      </c>
      <c r="B506" s="21" t="s">
        <v>5898</v>
      </c>
      <c r="C506" s="13" t="s">
        <v>5899</v>
      </c>
      <c r="D506" s="25" t="s">
        <v>5899</v>
      </c>
      <c r="E506" s="13"/>
      <c r="F506" s="41"/>
      <c r="G506" s="41"/>
      <c r="H506" s="41"/>
      <c r="I506" s="14" t="s">
        <v>49</v>
      </c>
      <c r="J506" s="15">
        <v>44790</v>
      </c>
      <c r="K506" t="s">
        <v>2719</v>
      </c>
      <c r="L506" t="s">
        <v>51</v>
      </c>
      <c r="M506" t="s">
        <v>52</v>
      </c>
      <c r="N506" t="s">
        <v>53</v>
      </c>
      <c r="O506" t="s">
        <v>5591</v>
      </c>
      <c r="P506" t="s">
        <v>5875</v>
      </c>
      <c r="Q506" t="s">
        <v>56</v>
      </c>
      <c r="R506" s="21" t="s">
        <v>5876</v>
      </c>
      <c r="S506" s="21"/>
      <c r="T506" t="s">
        <v>5900</v>
      </c>
      <c r="U506" t="s">
        <v>5901</v>
      </c>
      <c r="Y506" t="s">
        <v>60</v>
      </c>
      <c r="AA506" s="15"/>
      <c r="AC506">
        <v>44.098863999999999</v>
      </c>
      <c r="AD506">
        <v>-76.076791</v>
      </c>
      <c r="AE506" t="s">
        <v>5902</v>
      </c>
      <c r="AH506" t="s">
        <v>1715</v>
      </c>
      <c r="AI506" t="s">
        <v>63</v>
      </c>
      <c r="AJ506" t="s">
        <v>5903</v>
      </c>
      <c r="AK506">
        <v>192582</v>
      </c>
      <c r="AM506" t="s">
        <v>5904</v>
      </c>
      <c r="AN506" t="s">
        <v>5905</v>
      </c>
      <c r="AO506" t="s">
        <v>5906</v>
      </c>
      <c r="AP506" t="s">
        <v>68</v>
      </c>
      <c r="AR506" t="s">
        <v>5907</v>
      </c>
      <c r="AS506" t="s">
        <v>5908</v>
      </c>
      <c r="AT506" t="s">
        <v>5909</v>
      </c>
      <c r="AW506" s="14" t="s">
        <v>72</v>
      </c>
      <c r="AX506" s="14" t="s">
        <v>73</v>
      </c>
      <c r="AY506" s="14" t="s">
        <v>74</v>
      </c>
    </row>
    <row r="507" spans="1:51" ht="15" customHeight="1" x14ac:dyDescent="0.4">
      <c r="A507" s="12">
        <v>3837</v>
      </c>
      <c r="B507" s="21" t="s">
        <v>5910</v>
      </c>
      <c r="C507" s="13" t="s">
        <v>5911</v>
      </c>
      <c r="D507" s="25" t="s">
        <v>5911</v>
      </c>
      <c r="E507" s="13"/>
      <c r="F507" s="43" t="s">
        <v>49</v>
      </c>
      <c r="G507" s="43" t="s">
        <v>8095</v>
      </c>
      <c r="H507" s="41"/>
      <c r="I507" s="14" t="s">
        <v>49</v>
      </c>
      <c r="J507" s="15">
        <v>44790</v>
      </c>
      <c r="K507" t="s">
        <v>2719</v>
      </c>
      <c r="L507" t="s">
        <v>51</v>
      </c>
      <c r="M507" t="s">
        <v>52</v>
      </c>
      <c r="N507" t="s">
        <v>53</v>
      </c>
      <c r="O507" t="s">
        <v>5591</v>
      </c>
      <c r="P507" t="s">
        <v>5875</v>
      </c>
      <c r="Q507" t="s">
        <v>56</v>
      </c>
      <c r="R507" s="21" t="s">
        <v>5876</v>
      </c>
      <c r="S507" s="21"/>
      <c r="T507" t="s">
        <v>5912</v>
      </c>
      <c r="U507" t="s">
        <v>5913</v>
      </c>
      <c r="Y507" t="s">
        <v>60</v>
      </c>
      <c r="AA507" s="15"/>
      <c r="AC507">
        <v>44.098672999999998</v>
      </c>
      <c r="AD507">
        <v>-76.078697000000005</v>
      </c>
      <c r="AE507" t="s">
        <v>5914</v>
      </c>
      <c r="AH507" t="s">
        <v>1715</v>
      </c>
      <c r="AI507" t="s">
        <v>63</v>
      </c>
      <c r="AJ507" t="s">
        <v>5915</v>
      </c>
      <c r="AK507">
        <v>194446</v>
      </c>
      <c r="AM507" t="s">
        <v>5916</v>
      </c>
      <c r="AN507" t="s">
        <v>5917</v>
      </c>
      <c r="AO507" t="s">
        <v>5918</v>
      </c>
      <c r="AP507" t="s">
        <v>68</v>
      </c>
      <c r="AR507" t="s">
        <v>5919</v>
      </c>
      <c r="AS507" t="s">
        <v>5920</v>
      </c>
      <c r="AT507" t="s">
        <v>5921</v>
      </c>
      <c r="AW507" s="14" t="s">
        <v>72</v>
      </c>
      <c r="AX507" s="14" t="s">
        <v>73</v>
      </c>
      <c r="AY507" s="14" t="s">
        <v>74</v>
      </c>
    </row>
    <row r="508" spans="1:51" ht="15" customHeight="1" x14ac:dyDescent="0.4">
      <c r="A508" s="12">
        <v>3838</v>
      </c>
      <c r="B508" s="21" t="s">
        <v>5922</v>
      </c>
      <c r="C508" s="13" t="s">
        <v>5923</v>
      </c>
      <c r="D508" s="25" t="s">
        <v>5923</v>
      </c>
      <c r="E508" s="13"/>
      <c r="F508" s="41"/>
      <c r="G508" s="41"/>
      <c r="H508" s="41"/>
      <c r="I508" s="14" t="s">
        <v>1878</v>
      </c>
      <c r="J508" s="15">
        <v>44790</v>
      </c>
      <c r="K508" t="s">
        <v>2719</v>
      </c>
      <c r="L508" t="s">
        <v>51</v>
      </c>
      <c r="M508" t="s">
        <v>52</v>
      </c>
      <c r="N508" t="s">
        <v>53</v>
      </c>
      <c r="O508" t="s">
        <v>5591</v>
      </c>
      <c r="P508" t="s">
        <v>5875</v>
      </c>
      <c r="Q508" t="s">
        <v>56</v>
      </c>
      <c r="R508" s="21" t="s">
        <v>5876</v>
      </c>
      <c r="S508" s="21"/>
      <c r="T508" t="s">
        <v>5900</v>
      </c>
      <c r="U508" t="s">
        <v>5924</v>
      </c>
      <c r="Y508" t="s">
        <v>1881</v>
      </c>
      <c r="AA508" s="15"/>
      <c r="AC508">
        <v>44.098024000000002</v>
      </c>
      <c r="AD508">
        <v>-76.079464000000002</v>
      </c>
      <c r="AE508" t="s">
        <v>5925</v>
      </c>
      <c r="AH508" t="s">
        <v>1715</v>
      </c>
      <c r="AI508" t="s">
        <v>63</v>
      </c>
      <c r="AJ508" t="s">
        <v>5926</v>
      </c>
      <c r="AK508">
        <v>192588</v>
      </c>
      <c r="AM508" t="s">
        <v>5927</v>
      </c>
      <c r="AN508" t="s">
        <v>5928</v>
      </c>
      <c r="AO508" t="s">
        <v>5929</v>
      </c>
      <c r="AP508" t="s">
        <v>68</v>
      </c>
      <c r="AR508" t="s">
        <v>5930</v>
      </c>
      <c r="AS508" t="s">
        <v>5931</v>
      </c>
      <c r="AT508" t="s">
        <v>5932</v>
      </c>
      <c r="AW508" s="14" t="s">
        <v>72</v>
      </c>
      <c r="AX508" s="14" t="s">
        <v>73</v>
      </c>
      <c r="AY508" s="14" t="s">
        <v>1723</v>
      </c>
    </row>
    <row r="509" spans="1:51" ht="15" customHeight="1" x14ac:dyDescent="0.4">
      <c r="A509" s="12">
        <v>3839</v>
      </c>
      <c r="B509" s="21" t="s">
        <v>5933</v>
      </c>
      <c r="C509" s="13" t="s">
        <v>5934</v>
      </c>
      <c r="D509" s="25" t="s">
        <v>5934</v>
      </c>
      <c r="E509" s="13"/>
      <c r="F509" s="41"/>
      <c r="G509" s="41"/>
      <c r="H509" s="41"/>
      <c r="I509" s="14" t="s">
        <v>49</v>
      </c>
      <c r="J509" s="15">
        <v>44790</v>
      </c>
      <c r="K509" t="s">
        <v>2719</v>
      </c>
      <c r="L509" t="s">
        <v>51</v>
      </c>
      <c r="M509" t="s">
        <v>52</v>
      </c>
      <c r="N509" t="s">
        <v>53</v>
      </c>
      <c r="O509" t="s">
        <v>5591</v>
      </c>
      <c r="P509" t="s">
        <v>5875</v>
      </c>
      <c r="Q509" t="s">
        <v>56</v>
      </c>
      <c r="R509" s="21" t="s">
        <v>5876</v>
      </c>
      <c r="S509" s="21"/>
      <c r="T509" t="s">
        <v>5935</v>
      </c>
      <c r="U509" t="s">
        <v>5936</v>
      </c>
      <c r="X509" t="s">
        <v>1758</v>
      </c>
      <c r="Y509" t="s">
        <v>60</v>
      </c>
      <c r="AA509" s="15"/>
      <c r="AC509">
        <v>44.097946999999998</v>
      </c>
      <c r="AD509">
        <v>-76.079857000000004</v>
      </c>
      <c r="AE509" t="s">
        <v>5902</v>
      </c>
      <c r="AH509" t="s">
        <v>1715</v>
      </c>
      <c r="AI509" t="s">
        <v>63</v>
      </c>
      <c r="AJ509" t="s">
        <v>5937</v>
      </c>
      <c r="AK509">
        <v>194447</v>
      </c>
      <c r="AM509" t="s">
        <v>5938</v>
      </c>
      <c r="AN509" t="s">
        <v>5939</v>
      </c>
      <c r="AO509" t="s">
        <v>5940</v>
      </c>
      <c r="AP509" t="s">
        <v>68</v>
      </c>
      <c r="AR509" t="s">
        <v>5941</v>
      </c>
      <c r="AS509" t="s">
        <v>5942</v>
      </c>
      <c r="AT509" t="s">
        <v>5943</v>
      </c>
      <c r="AW509" s="14" t="s">
        <v>72</v>
      </c>
      <c r="AX509" s="14" t="s">
        <v>73</v>
      </c>
      <c r="AY509" s="14" t="s">
        <v>74</v>
      </c>
    </row>
    <row r="510" spans="1:51" ht="15" customHeight="1" x14ac:dyDescent="0.4">
      <c r="A510" s="12">
        <v>3840</v>
      </c>
      <c r="B510" s="21" t="s">
        <v>5944</v>
      </c>
      <c r="C510" s="13" t="s">
        <v>5945</v>
      </c>
      <c r="D510" s="25" t="s">
        <v>5945</v>
      </c>
      <c r="E510" s="13"/>
      <c r="F510" s="41" t="s">
        <v>8119</v>
      </c>
      <c r="G510" s="41"/>
      <c r="H510" s="41"/>
      <c r="I510" s="14" t="s">
        <v>1878</v>
      </c>
      <c r="J510" s="15">
        <v>44790</v>
      </c>
      <c r="K510" t="s">
        <v>2719</v>
      </c>
      <c r="L510" t="s">
        <v>51</v>
      </c>
      <c r="M510" t="s">
        <v>52</v>
      </c>
      <c r="N510" t="s">
        <v>53</v>
      </c>
      <c r="O510" t="s">
        <v>5591</v>
      </c>
      <c r="P510" t="s">
        <v>5875</v>
      </c>
      <c r="Q510" t="s">
        <v>56</v>
      </c>
      <c r="R510" s="21" t="s">
        <v>5876</v>
      </c>
      <c r="S510" s="21"/>
      <c r="T510" t="s">
        <v>5946</v>
      </c>
      <c r="U510" t="s">
        <v>5947</v>
      </c>
      <c r="X510" t="s">
        <v>1758</v>
      </c>
      <c r="Y510" t="s">
        <v>1881</v>
      </c>
      <c r="AA510" s="15"/>
      <c r="AC510">
        <v>44.097900000000003</v>
      </c>
      <c r="AD510">
        <v>-76.080360999999996</v>
      </c>
      <c r="AE510" t="s">
        <v>5948</v>
      </c>
      <c r="AH510" t="s">
        <v>1715</v>
      </c>
      <c r="AI510" t="s">
        <v>63</v>
      </c>
      <c r="AJ510" t="s">
        <v>5949</v>
      </c>
      <c r="AK510">
        <v>192544</v>
      </c>
      <c r="AM510" t="s">
        <v>5950</v>
      </c>
      <c r="AN510" t="s">
        <v>5951</v>
      </c>
      <c r="AO510" t="s">
        <v>5952</v>
      </c>
      <c r="AP510" t="s">
        <v>68</v>
      </c>
      <c r="AR510" t="s">
        <v>5953</v>
      </c>
      <c r="AS510" t="s">
        <v>5954</v>
      </c>
      <c r="AT510" t="s">
        <v>5955</v>
      </c>
      <c r="AW510" s="14" t="s">
        <v>72</v>
      </c>
      <c r="AX510" s="14" t="s">
        <v>73</v>
      </c>
      <c r="AY510" s="14" t="s">
        <v>1723</v>
      </c>
    </row>
    <row r="511" spans="1:51" ht="15" customHeight="1" x14ac:dyDescent="0.4">
      <c r="A511" s="12">
        <v>3841</v>
      </c>
      <c r="B511" s="21" t="s">
        <v>5956</v>
      </c>
      <c r="C511" s="13" t="s">
        <v>5957</v>
      </c>
      <c r="D511" s="25" t="s">
        <v>5957</v>
      </c>
      <c r="E511" s="13"/>
      <c r="F511" s="45" t="s">
        <v>1878</v>
      </c>
      <c r="G511" s="45" t="s">
        <v>8118</v>
      </c>
      <c r="H511" s="45"/>
      <c r="I511" s="14" t="s">
        <v>1878</v>
      </c>
      <c r="J511" s="15">
        <v>44790</v>
      </c>
      <c r="K511" t="s">
        <v>2719</v>
      </c>
      <c r="L511" t="s">
        <v>51</v>
      </c>
      <c r="M511" t="s">
        <v>52</v>
      </c>
      <c r="N511" t="s">
        <v>53</v>
      </c>
      <c r="O511" t="s">
        <v>5591</v>
      </c>
      <c r="P511" t="s">
        <v>5875</v>
      </c>
      <c r="Q511" t="s">
        <v>56</v>
      </c>
      <c r="R511" s="21" t="s">
        <v>5876</v>
      </c>
      <c r="S511" s="21"/>
      <c r="T511" t="s">
        <v>5888</v>
      </c>
      <c r="U511" t="s">
        <v>5958</v>
      </c>
      <c r="Y511" t="s">
        <v>1881</v>
      </c>
      <c r="AA511" s="15"/>
      <c r="AC511">
        <v>44.099964</v>
      </c>
      <c r="AD511">
        <v>-76.075710000000001</v>
      </c>
      <c r="AE511" t="s">
        <v>5959</v>
      </c>
      <c r="AH511" t="s">
        <v>1715</v>
      </c>
      <c r="AI511" t="s">
        <v>63</v>
      </c>
      <c r="AJ511" t="s">
        <v>5960</v>
      </c>
      <c r="AK511">
        <v>192545</v>
      </c>
      <c r="AM511" t="s">
        <v>5961</v>
      </c>
      <c r="AN511" t="s">
        <v>5962</v>
      </c>
      <c r="AO511" t="s">
        <v>5963</v>
      </c>
      <c r="AP511" t="s">
        <v>68</v>
      </c>
      <c r="AR511" t="s">
        <v>5964</v>
      </c>
      <c r="AS511" t="s">
        <v>5965</v>
      </c>
      <c r="AT511" t="s">
        <v>5966</v>
      </c>
      <c r="AW511" s="14" t="s">
        <v>72</v>
      </c>
      <c r="AX511" s="14" t="s">
        <v>73</v>
      </c>
      <c r="AY511" s="14" t="s">
        <v>1723</v>
      </c>
    </row>
    <row r="512" spans="1:51" ht="15" customHeight="1" x14ac:dyDescent="0.4">
      <c r="A512" s="12">
        <v>3842</v>
      </c>
      <c r="B512" s="21" t="s">
        <v>5967</v>
      </c>
      <c r="C512" s="13" t="s">
        <v>5968</v>
      </c>
      <c r="D512" s="25" t="s">
        <v>5968</v>
      </c>
      <c r="E512" s="13"/>
      <c r="F512" s="41"/>
      <c r="G512" s="41"/>
      <c r="H512" s="41"/>
      <c r="I512" s="14" t="s">
        <v>1878</v>
      </c>
      <c r="J512" s="15">
        <v>44790</v>
      </c>
      <c r="K512" t="s">
        <v>2719</v>
      </c>
      <c r="L512" t="s">
        <v>51</v>
      </c>
      <c r="M512" t="s">
        <v>52</v>
      </c>
      <c r="N512" t="s">
        <v>53</v>
      </c>
      <c r="O512" t="s">
        <v>5591</v>
      </c>
      <c r="P512" t="s">
        <v>5875</v>
      </c>
      <c r="Q512" t="s">
        <v>56</v>
      </c>
      <c r="R512" s="21" t="s">
        <v>5876</v>
      </c>
      <c r="S512" s="21"/>
      <c r="T512" t="s">
        <v>5969</v>
      </c>
      <c r="U512" t="s">
        <v>5970</v>
      </c>
      <c r="Y512" t="s">
        <v>1881</v>
      </c>
      <c r="AA512" s="15"/>
      <c r="AC512">
        <v>44.100976000000003</v>
      </c>
      <c r="AD512">
        <v>-76.076863000000003</v>
      </c>
      <c r="AE512" t="s">
        <v>5971</v>
      </c>
      <c r="AH512" t="s">
        <v>1715</v>
      </c>
      <c r="AI512" t="s">
        <v>63</v>
      </c>
      <c r="AJ512" t="s">
        <v>5972</v>
      </c>
      <c r="AK512">
        <v>193944</v>
      </c>
      <c r="AM512" t="s">
        <v>5973</v>
      </c>
      <c r="AN512" t="s">
        <v>5974</v>
      </c>
      <c r="AO512" t="s">
        <v>5975</v>
      </c>
      <c r="AP512" t="s">
        <v>68</v>
      </c>
      <c r="AR512" t="s">
        <v>5976</v>
      </c>
      <c r="AS512" t="s">
        <v>5977</v>
      </c>
      <c r="AT512" t="s">
        <v>5978</v>
      </c>
      <c r="AW512" s="14" t="s">
        <v>72</v>
      </c>
      <c r="AX512" s="14" t="s">
        <v>73</v>
      </c>
      <c r="AY512" s="14" t="s">
        <v>1723</v>
      </c>
    </row>
    <row r="513" spans="1:51" ht="15" customHeight="1" x14ac:dyDescent="0.4">
      <c r="A513" s="12">
        <v>3843</v>
      </c>
      <c r="B513" s="21" t="s">
        <v>5979</v>
      </c>
      <c r="C513" s="13" t="s">
        <v>5980</v>
      </c>
      <c r="D513" s="25" t="s">
        <v>5980</v>
      </c>
      <c r="E513" s="13"/>
      <c r="F513" s="41"/>
      <c r="G513" s="41"/>
      <c r="H513" s="41"/>
      <c r="I513" s="14" t="s">
        <v>1878</v>
      </c>
      <c r="J513" s="15">
        <v>44790</v>
      </c>
      <c r="K513" t="s">
        <v>2719</v>
      </c>
      <c r="L513" t="s">
        <v>51</v>
      </c>
      <c r="M513" t="s">
        <v>52</v>
      </c>
      <c r="N513" t="s">
        <v>53</v>
      </c>
      <c r="O513" t="s">
        <v>5591</v>
      </c>
      <c r="P513" t="s">
        <v>5875</v>
      </c>
      <c r="Q513" t="s">
        <v>56</v>
      </c>
      <c r="R513" s="21" t="s">
        <v>5876</v>
      </c>
      <c r="S513" s="21"/>
      <c r="T513" t="s">
        <v>5981</v>
      </c>
      <c r="U513" t="s">
        <v>5982</v>
      </c>
      <c r="Y513" t="s">
        <v>1881</v>
      </c>
      <c r="AA513" s="15"/>
      <c r="AC513">
        <v>44.102083</v>
      </c>
      <c r="AD513">
        <v>-76.078216999999995</v>
      </c>
      <c r="AE513" t="s">
        <v>5983</v>
      </c>
      <c r="AH513" t="s">
        <v>1715</v>
      </c>
      <c r="AI513" t="s">
        <v>63</v>
      </c>
      <c r="AJ513" t="s">
        <v>5984</v>
      </c>
      <c r="AK513">
        <v>193945</v>
      </c>
      <c r="AM513" t="s">
        <v>5985</v>
      </c>
      <c r="AN513" t="s">
        <v>5986</v>
      </c>
      <c r="AO513" t="s">
        <v>5987</v>
      </c>
      <c r="AP513" t="s">
        <v>68</v>
      </c>
      <c r="AR513" t="s">
        <v>5988</v>
      </c>
      <c r="AS513" t="s">
        <v>5989</v>
      </c>
      <c r="AT513" t="s">
        <v>5990</v>
      </c>
      <c r="AW513" s="14" t="s">
        <v>72</v>
      </c>
      <c r="AX513" s="14" t="s">
        <v>73</v>
      </c>
      <c r="AY513" s="14" t="s">
        <v>1723</v>
      </c>
    </row>
    <row r="514" spans="1:51" ht="15" customHeight="1" x14ac:dyDescent="0.4">
      <c r="A514" s="12">
        <v>3844</v>
      </c>
      <c r="B514" s="21" t="s">
        <v>5991</v>
      </c>
      <c r="C514" s="13" t="s">
        <v>5992</v>
      </c>
      <c r="D514" s="25" t="s">
        <v>5992</v>
      </c>
      <c r="E514" s="13"/>
      <c r="F514" s="41"/>
      <c r="G514" s="41"/>
      <c r="H514" s="41"/>
      <c r="I514" s="14" t="s">
        <v>1878</v>
      </c>
      <c r="J514" s="15">
        <v>44791</v>
      </c>
      <c r="K514" t="s">
        <v>2719</v>
      </c>
      <c r="L514" t="s">
        <v>51</v>
      </c>
      <c r="M514" t="s">
        <v>52</v>
      </c>
      <c r="N514" t="s">
        <v>53</v>
      </c>
      <c r="O514" t="s">
        <v>5993</v>
      </c>
      <c r="P514" t="s">
        <v>5994</v>
      </c>
      <c r="Q514" t="s">
        <v>56</v>
      </c>
      <c r="R514" s="21" t="s">
        <v>5995</v>
      </c>
      <c r="S514" s="21"/>
      <c r="T514" t="s">
        <v>5996</v>
      </c>
      <c r="U514" t="s">
        <v>5997</v>
      </c>
      <c r="Y514" t="s">
        <v>1881</v>
      </c>
      <c r="AA514" s="15"/>
      <c r="AC514">
        <v>43.604565999999998</v>
      </c>
      <c r="AD514">
        <v>-73.180250999999998</v>
      </c>
      <c r="AE514" t="s">
        <v>5998</v>
      </c>
      <c r="AH514" t="s">
        <v>1715</v>
      </c>
      <c r="AI514" t="s">
        <v>63</v>
      </c>
      <c r="AJ514" t="s">
        <v>5999</v>
      </c>
      <c r="AK514">
        <v>192586</v>
      </c>
      <c r="AM514" t="s">
        <v>6000</v>
      </c>
      <c r="AN514" t="s">
        <v>6001</v>
      </c>
      <c r="AO514" t="s">
        <v>6002</v>
      </c>
      <c r="AP514" t="s">
        <v>68</v>
      </c>
      <c r="AR514" t="s">
        <v>6003</v>
      </c>
      <c r="AS514" t="s">
        <v>6004</v>
      </c>
      <c r="AT514" t="s">
        <v>6005</v>
      </c>
      <c r="AW514" s="14" t="s">
        <v>72</v>
      </c>
      <c r="AX514" s="14" t="s">
        <v>73</v>
      </c>
      <c r="AY514" s="14" t="s">
        <v>1723</v>
      </c>
    </row>
    <row r="515" spans="1:51" ht="15" customHeight="1" x14ac:dyDescent="0.4">
      <c r="A515" s="12">
        <v>3845</v>
      </c>
      <c r="B515" s="21" t="s">
        <v>6006</v>
      </c>
      <c r="C515" s="13" t="s">
        <v>6007</v>
      </c>
      <c r="D515" s="25" t="s">
        <v>6007</v>
      </c>
      <c r="E515" s="13"/>
      <c r="F515" s="45" t="s">
        <v>49</v>
      </c>
      <c r="G515" s="45" t="s">
        <v>8117</v>
      </c>
      <c r="H515" s="45"/>
      <c r="I515" s="14" t="s">
        <v>49</v>
      </c>
      <c r="J515" s="15">
        <v>44791</v>
      </c>
      <c r="K515" t="s">
        <v>2719</v>
      </c>
      <c r="L515" t="s">
        <v>51</v>
      </c>
      <c r="M515" t="s">
        <v>52</v>
      </c>
      <c r="N515" t="s">
        <v>53</v>
      </c>
      <c r="O515" t="s">
        <v>5993</v>
      </c>
      <c r="P515" t="s">
        <v>5994</v>
      </c>
      <c r="Q515" t="s">
        <v>56</v>
      </c>
      <c r="R515" s="21" t="s">
        <v>5995</v>
      </c>
      <c r="S515" s="21"/>
      <c r="T515" t="s">
        <v>6008</v>
      </c>
      <c r="U515" t="s">
        <v>6009</v>
      </c>
      <c r="Y515" t="s">
        <v>60</v>
      </c>
      <c r="AA515" s="15"/>
      <c r="AC515">
        <v>43.601897000000001</v>
      </c>
      <c r="AD515">
        <v>-73.181962999999996</v>
      </c>
      <c r="AE515" t="s">
        <v>6010</v>
      </c>
      <c r="AH515" t="s">
        <v>1715</v>
      </c>
      <c r="AI515" t="s">
        <v>63</v>
      </c>
      <c r="AJ515" t="s">
        <v>6011</v>
      </c>
      <c r="AK515">
        <v>192566</v>
      </c>
      <c r="AM515" t="s">
        <v>6012</v>
      </c>
      <c r="AN515" t="s">
        <v>6013</v>
      </c>
      <c r="AO515" t="s">
        <v>6014</v>
      </c>
      <c r="AP515" t="s">
        <v>68</v>
      </c>
      <c r="AR515" t="s">
        <v>6015</v>
      </c>
      <c r="AS515" t="s">
        <v>6016</v>
      </c>
      <c r="AT515" t="s">
        <v>6017</v>
      </c>
      <c r="AW515" s="14" t="s">
        <v>72</v>
      </c>
      <c r="AX515" s="14" t="s">
        <v>73</v>
      </c>
      <c r="AY515" s="14" t="s">
        <v>74</v>
      </c>
    </row>
    <row r="516" spans="1:51" ht="15" customHeight="1" x14ac:dyDescent="0.4">
      <c r="A516" s="12">
        <v>3846</v>
      </c>
      <c r="B516" s="21" t="s">
        <v>6018</v>
      </c>
      <c r="C516" s="13" t="s">
        <v>6019</v>
      </c>
      <c r="D516" s="25" t="s">
        <v>6019</v>
      </c>
      <c r="E516" s="13"/>
      <c r="F516" s="45" t="s">
        <v>49</v>
      </c>
      <c r="G516" s="58" t="s">
        <v>8116</v>
      </c>
      <c r="H516" s="45"/>
      <c r="I516" s="14" t="s">
        <v>49</v>
      </c>
      <c r="J516" s="15">
        <v>44791</v>
      </c>
      <c r="K516" t="s">
        <v>2719</v>
      </c>
      <c r="L516" t="s">
        <v>51</v>
      </c>
      <c r="M516" t="s">
        <v>52</v>
      </c>
      <c r="N516" t="s">
        <v>53</v>
      </c>
      <c r="O516" t="s">
        <v>5993</v>
      </c>
      <c r="P516" t="s">
        <v>5994</v>
      </c>
      <c r="Q516" t="s">
        <v>56</v>
      </c>
      <c r="R516" s="21" t="s">
        <v>5995</v>
      </c>
      <c r="S516" s="21"/>
      <c r="T516" t="s">
        <v>6020</v>
      </c>
      <c r="U516" t="s">
        <v>6021</v>
      </c>
      <c r="Y516" t="s">
        <v>60</v>
      </c>
      <c r="AA516" s="15"/>
      <c r="AC516">
        <v>43.600834999999996</v>
      </c>
      <c r="AD516">
        <v>-73.182905000000005</v>
      </c>
      <c r="AE516" t="s">
        <v>6022</v>
      </c>
      <c r="AH516" t="s">
        <v>1715</v>
      </c>
      <c r="AI516" t="s">
        <v>63</v>
      </c>
      <c r="AJ516" t="s">
        <v>6023</v>
      </c>
      <c r="AK516">
        <v>192547</v>
      </c>
      <c r="AM516" t="s">
        <v>6024</v>
      </c>
      <c r="AN516" t="s">
        <v>6025</v>
      </c>
      <c r="AO516" t="s">
        <v>6026</v>
      </c>
      <c r="AP516" t="s">
        <v>68</v>
      </c>
      <c r="AR516" t="s">
        <v>6027</v>
      </c>
      <c r="AS516" t="s">
        <v>6028</v>
      </c>
      <c r="AT516" t="s">
        <v>6029</v>
      </c>
      <c r="AW516" s="14" t="s">
        <v>72</v>
      </c>
      <c r="AX516" s="14" t="s">
        <v>73</v>
      </c>
      <c r="AY516" s="14" t="s">
        <v>74</v>
      </c>
    </row>
    <row r="517" spans="1:51" ht="15" customHeight="1" x14ac:dyDescent="0.4">
      <c r="A517" s="12">
        <v>3847</v>
      </c>
      <c r="B517" s="21" t="s">
        <v>6030</v>
      </c>
      <c r="C517" s="13" t="s">
        <v>6031</v>
      </c>
      <c r="D517" s="25" t="s">
        <v>6031</v>
      </c>
      <c r="E517" s="13"/>
      <c r="F517" s="41"/>
      <c r="G517" s="41"/>
      <c r="H517" s="41"/>
      <c r="I517" s="14" t="s">
        <v>1878</v>
      </c>
      <c r="J517" s="15">
        <v>44791</v>
      </c>
      <c r="K517" t="s">
        <v>2719</v>
      </c>
      <c r="L517" t="s">
        <v>51</v>
      </c>
      <c r="M517" t="s">
        <v>52</v>
      </c>
      <c r="N517" t="s">
        <v>53</v>
      </c>
      <c r="O517" t="s">
        <v>5993</v>
      </c>
      <c r="P517" t="s">
        <v>5994</v>
      </c>
      <c r="Q517" t="s">
        <v>56</v>
      </c>
      <c r="R517" s="21" t="s">
        <v>5995</v>
      </c>
      <c r="S517" s="21"/>
      <c r="T517" t="s">
        <v>6032</v>
      </c>
      <c r="U517" t="s">
        <v>6033</v>
      </c>
      <c r="Y517" t="s">
        <v>1881</v>
      </c>
      <c r="AA517" s="15"/>
      <c r="AC517">
        <v>43.600448</v>
      </c>
      <c r="AD517">
        <v>-73.183369999999996</v>
      </c>
      <c r="AE517" t="s">
        <v>4222</v>
      </c>
      <c r="AH517" t="s">
        <v>1715</v>
      </c>
      <c r="AI517" t="s">
        <v>63</v>
      </c>
      <c r="AJ517" t="s">
        <v>6034</v>
      </c>
      <c r="AK517">
        <v>193946</v>
      </c>
      <c r="AM517" t="s">
        <v>6035</v>
      </c>
      <c r="AN517" t="s">
        <v>6036</v>
      </c>
      <c r="AO517" t="s">
        <v>6037</v>
      </c>
      <c r="AP517" t="s">
        <v>68</v>
      </c>
      <c r="AR517" t="s">
        <v>6038</v>
      </c>
      <c r="AS517" t="s">
        <v>6039</v>
      </c>
      <c r="AT517" t="s">
        <v>6040</v>
      </c>
      <c r="AW517" s="14" t="s">
        <v>72</v>
      </c>
      <c r="AX517" s="14" t="s">
        <v>73</v>
      </c>
      <c r="AY517" s="14" t="s">
        <v>1723</v>
      </c>
    </row>
    <row r="518" spans="1:51" ht="15" customHeight="1" x14ac:dyDescent="0.4">
      <c r="A518" s="12">
        <v>3848</v>
      </c>
      <c r="B518" s="21" t="s">
        <v>6041</v>
      </c>
      <c r="C518" s="13" t="s">
        <v>6042</v>
      </c>
      <c r="D518" s="25" t="s">
        <v>6042</v>
      </c>
      <c r="E518" s="13"/>
      <c r="F518" s="41"/>
      <c r="G518" s="41"/>
      <c r="H518" s="41"/>
      <c r="I518" s="14" t="s">
        <v>49</v>
      </c>
      <c r="J518" s="15">
        <v>44791</v>
      </c>
      <c r="K518" t="s">
        <v>2719</v>
      </c>
      <c r="L518" t="s">
        <v>51</v>
      </c>
      <c r="M518" t="s">
        <v>52</v>
      </c>
      <c r="N518" t="s">
        <v>53</v>
      </c>
      <c r="O518" t="s">
        <v>5993</v>
      </c>
      <c r="P518" t="s">
        <v>5994</v>
      </c>
      <c r="Q518" t="s">
        <v>56</v>
      </c>
      <c r="R518" s="21" t="s">
        <v>5995</v>
      </c>
      <c r="S518" s="21"/>
      <c r="T518" t="s">
        <v>6043</v>
      </c>
      <c r="U518" t="s">
        <v>6044</v>
      </c>
      <c r="Y518" t="s">
        <v>60</v>
      </c>
      <c r="AA518" s="15"/>
      <c r="AC518">
        <v>43.6</v>
      </c>
      <c r="AD518">
        <v>-73.183676000000006</v>
      </c>
      <c r="AE518" t="s">
        <v>6010</v>
      </c>
      <c r="AH518" t="s">
        <v>1715</v>
      </c>
      <c r="AI518" t="s">
        <v>63</v>
      </c>
      <c r="AJ518" t="s">
        <v>6045</v>
      </c>
      <c r="AK518">
        <v>192612</v>
      </c>
      <c r="AM518" t="s">
        <v>6046</v>
      </c>
      <c r="AN518" t="s">
        <v>6047</v>
      </c>
      <c r="AO518" t="s">
        <v>6048</v>
      </c>
      <c r="AP518" t="s">
        <v>68</v>
      </c>
      <c r="AR518" t="s">
        <v>6049</v>
      </c>
      <c r="AS518" t="s">
        <v>6050</v>
      </c>
      <c r="AT518" t="s">
        <v>6051</v>
      </c>
      <c r="AW518" s="14" t="s">
        <v>72</v>
      </c>
      <c r="AX518" s="14" t="s">
        <v>73</v>
      </c>
      <c r="AY518" s="14" t="s">
        <v>74</v>
      </c>
    </row>
    <row r="519" spans="1:51" ht="15" customHeight="1" x14ac:dyDescent="0.4">
      <c r="A519" s="12">
        <v>3849</v>
      </c>
      <c r="B519" s="21" t="s">
        <v>6052</v>
      </c>
      <c r="C519" s="13" t="s">
        <v>6053</v>
      </c>
      <c r="D519" s="25" t="s">
        <v>6053</v>
      </c>
      <c r="E519" s="13"/>
      <c r="F519" s="41"/>
      <c r="G519" s="41"/>
      <c r="H519" s="41"/>
      <c r="I519" s="14" t="s">
        <v>49</v>
      </c>
      <c r="J519" s="15">
        <v>44791</v>
      </c>
      <c r="K519" t="s">
        <v>2719</v>
      </c>
      <c r="L519" t="s">
        <v>51</v>
      </c>
      <c r="M519" t="s">
        <v>52</v>
      </c>
      <c r="N519" t="s">
        <v>53</v>
      </c>
      <c r="O519" t="s">
        <v>5993</v>
      </c>
      <c r="P519" t="s">
        <v>5994</v>
      </c>
      <c r="Q519" t="s">
        <v>56</v>
      </c>
      <c r="R519" s="21" t="s">
        <v>5995</v>
      </c>
      <c r="S519" s="21"/>
      <c r="T519" t="s">
        <v>6054</v>
      </c>
      <c r="U519" t="s">
        <v>6055</v>
      </c>
      <c r="Y519" t="s">
        <v>60</v>
      </c>
      <c r="AA519" s="15"/>
      <c r="AC519">
        <v>43.599099000000002</v>
      </c>
      <c r="AD519">
        <v>-73.184667000000005</v>
      </c>
      <c r="AE519" t="s">
        <v>3539</v>
      </c>
      <c r="AH519" t="s">
        <v>1715</v>
      </c>
      <c r="AI519" t="s">
        <v>63</v>
      </c>
      <c r="AJ519" t="s">
        <v>6056</v>
      </c>
      <c r="AK519">
        <v>194448</v>
      </c>
      <c r="AM519" t="s">
        <v>6057</v>
      </c>
      <c r="AN519" t="s">
        <v>6058</v>
      </c>
      <c r="AO519" t="s">
        <v>6059</v>
      </c>
      <c r="AP519" t="s">
        <v>68</v>
      </c>
      <c r="AR519" t="s">
        <v>6060</v>
      </c>
      <c r="AS519" t="s">
        <v>6061</v>
      </c>
      <c r="AT519" t="s">
        <v>6062</v>
      </c>
      <c r="AW519" s="14" t="s">
        <v>72</v>
      </c>
      <c r="AX519" s="14" t="s">
        <v>73</v>
      </c>
      <c r="AY519" s="14" t="s">
        <v>74</v>
      </c>
    </row>
    <row r="520" spans="1:51" ht="15" customHeight="1" x14ac:dyDescent="0.4">
      <c r="A520" s="12">
        <v>3850</v>
      </c>
      <c r="B520" s="21" t="s">
        <v>6063</v>
      </c>
      <c r="C520" s="13" t="s">
        <v>6064</v>
      </c>
      <c r="D520" s="25" t="s">
        <v>6064</v>
      </c>
      <c r="E520" s="13"/>
      <c r="F520" s="41"/>
      <c r="G520" s="41"/>
      <c r="H520" s="41"/>
      <c r="I520" s="14" t="s">
        <v>1878</v>
      </c>
      <c r="J520" s="15">
        <v>44791</v>
      </c>
      <c r="K520" t="s">
        <v>2719</v>
      </c>
      <c r="L520" t="s">
        <v>51</v>
      </c>
      <c r="M520" t="s">
        <v>52</v>
      </c>
      <c r="N520" t="s">
        <v>53</v>
      </c>
      <c r="O520" t="s">
        <v>5993</v>
      </c>
      <c r="P520" t="s">
        <v>5994</v>
      </c>
      <c r="Q520" t="s">
        <v>56</v>
      </c>
      <c r="R520" s="21" t="s">
        <v>5995</v>
      </c>
      <c r="S520" s="21"/>
      <c r="T520" t="s">
        <v>6065</v>
      </c>
      <c r="U520" t="s">
        <v>6066</v>
      </c>
      <c r="Y520" t="s">
        <v>1881</v>
      </c>
      <c r="AA520" s="15"/>
      <c r="AC520">
        <v>43.598788999999996</v>
      </c>
      <c r="AD520">
        <v>-73.185412999999997</v>
      </c>
      <c r="AE520" t="s">
        <v>6067</v>
      </c>
      <c r="AH520" t="s">
        <v>1715</v>
      </c>
      <c r="AI520" t="s">
        <v>63</v>
      </c>
      <c r="AJ520" t="s">
        <v>6068</v>
      </c>
      <c r="AK520">
        <v>193947</v>
      </c>
      <c r="AM520" t="s">
        <v>6069</v>
      </c>
      <c r="AN520" t="s">
        <v>6070</v>
      </c>
      <c r="AO520" t="s">
        <v>6071</v>
      </c>
      <c r="AP520" t="s">
        <v>68</v>
      </c>
      <c r="AR520" t="s">
        <v>6072</v>
      </c>
      <c r="AS520" t="s">
        <v>6073</v>
      </c>
      <c r="AT520" t="s">
        <v>6074</v>
      </c>
      <c r="AW520" s="14" t="s">
        <v>72</v>
      </c>
      <c r="AX520" s="14" t="s">
        <v>73</v>
      </c>
      <c r="AY520" s="14" t="s">
        <v>1723</v>
      </c>
    </row>
    <row r="521" spans="1:51" ht="15" customHeight="1" x14ac:dyDescent="0.4">
      <c r="A521" s="12">
        <v>3851</v>
      </c>
      <c r="B521" s="21" t="s">
        <v>6075</v>
      </c>
      <c r="C521" s="13" t="s">
        <v>6076</v>
      </c>
      <c r="D521" s="25" t="s">
        <v>6076</v>
      </c>
      <c r="E521" s="13"/>
      <c r="F521" s="43" t="s">
        <v>49</v>
      </c>
      <c r="G521" s="43" t="s">
        <v>8095</v>
      </c>
      <c r="H521" s="43"/>
      <c r="I521" s="14" t="s">
        <v>49</v>
      </c>
      <c r="J521" s="15">
        <v>44791</v>
      </c>
      <c r="K521" t="s">
        <v>2719</v>
      </c>
      <c r="L521" t="s">
        <v>51</v>
      </c>
      <c r="M521" t="s">
        <v>52</v>
      </c>
      <c r="N521" t="s">
        <v>53</v>
      </c>
      <c r="O521" t="s">
        <v>5993</v>
      </c>
      <c r="P521" t="s">
        <v>5994</v>
      </c>
      <c r="Q521" t="s">
        <v>56</v>
      </c>
      <c r="R521" s="21" t="s">
        <v>5995</v>
      </c>
      <c r="S521" s="21"/>
      <c r="T521" t="s">
        <v>6077</v>
      </c>
      <c r="U521" t="s">
        <v>6078</v>
      </c>
      <c r="Y521" t="s">
        <v>60</v>
      </c>
      <c r="AA521" s="15"/>
      <c r="AC521">
        <v>43.598002999999999</v>
      </c>
      <c r="AD521">
        <v>-73.186823000000004</v>
      </c>
      <c r="AE521" t="s">
        <v>6079</v>
      </c>
      <c r="AH521" t="s">
        <v>1715</v>
      </c>
      <c r="AI521" t="s">
        <v>63</v>
      </c>
      <c r="AJ521" t="s">
        <v>6080</v>
      </c>
      <c r="AK521">
        <v>194449</v>
      </c>
      <c r="AM521" t="s">
        <v>6081</v>
      </c>
      <c r="AN521" t="s">
        <v>6082</v>
      </c>
      <c r="AO521" t="s">
        <v>6083</v>
      </c>
      <c r="AP521" t="s">
        <v>68</v>
      </c>
      <c r="AR521" t="s">
        <v>6084</v>
      </c>
      <c r="AS521" t="s">
        <v>6085</v>
      </c>
      <c r="AT521" t="s">
        <v>6086</v>
      </c>
      <c r="AW521" s="14" t="s">
        <v>72</v>
      </c>
      <c r="AX521" s="14" t="s">
        <v>73</v>
      </c>
      <c r="AY521" s="14" t="s">
        <v>74</v>
      </c>
    </row>
    <row r="522" spans="1:51" ht="15" customHeight="1" x14ac:dyDescent="0.4">
      <c r="A522" s="12">
        <v>3852</v>
      </c>
      <c r="B522" s="21" t="s">
        <v>6087</v>
      </c>
      <c r="C522" s="13" t="s">
        <v>6088</v>
      </c>
      <c r="D522" s="25" t="s">
        <v>6088</v>
      </c>
      <c r="E522" s="13"/>
      <c r="F522" s="41"/>
      <c r="G522" s="41"/>
      <c r="H522" s="41"/>
      <c r="I522" s="14" t="s">
        <v>1878</v>
      </c>
      <c r="J522" s="15">
        <v>44791</v>
      </c>
      <c r="K522" t="s">
        <v>2719</v>
      </c>
      <c r="L522" t="s">
        <v>51</v>
      </c>
      <c r="M522" t="s">
        <v>52</v>
      </c>
      <c r="N522" t="s">
        <v>53</v>
      </c>
      <c r="O522" t="s">
        <v>5993</v>
      </c>
      <c r="P522" t="s">
        <v>5994</v>
      </c>
      <c r="Q522" t="s">
        <v>56</v>
      </c>
      <c r="R522" s="21" t="s">
        <v>5995</v>
      </c>
      <c r="S522" s="21"/>
      <c r="T522" t="s">
        <v>6020</v>
      </c>
      <c r="U522" t="s">
        <v>6089</v>
      </c>
      <c r="Y522" t="s">
        <v>1881</v>
      </c>
      <c r="AA522" s="15"/>
      <c r="AC522">
        <v>43.600133</v>
      </c>
      <c r="AD522">
        <v>-73.183418000000003</v>
      </c>
      <c r="AE522" t="s">
        <v>6090</v>
      </c>
      <c r="AH522" t="s">
        <v>1715</v>
      </c>
      <c r="AI522" t="s">
        <v>63</v>
      </c>
      <c r="AJ522" t="s">
        <v>6091</v>
      </c>
      <c r="AK522">
        <v>192531</v>
      </c>
      <c r="AM522" t="s">
        <v>6092</v>
      </c>
      <c r="AN522" t="s">
        <v>6093</v>
      </c>
      <c r="AO522" t="s">
        <v>6094</v>
      </c>
      <c r="AP522" t="s">
        <v>68</v>
      </c>
      <c r="AR522" t="s">
        <v>6095</v>
      </c>
      <c r="AS522" t="s">
        <v>6096</v>
      </c>
      <c r="AT522" t="s">
        <v>6097</v>
      </c>
      <c r="AW522" s="14" t="s">
        <v>72</v>
      </c>
      <c r="AX522" s="14" t="s">
        <v>73</v>
      </c>
      <c r="AY522" s="14" t="s">
        <v>1723</v>
      </c>
    </row>
    <row r="523" spans="1:51" ht="15" customHeight="1" x14ac:dyDescent="0.4">
      <c r="A523" s="12">
        <v>3853</v>
      </c>
      <c r="B523" s="21" t="s">
        <v>6098</v>
      </c>
      <c r="C523" s="13" t="s">
        <v>6099</v>
      </c>
      <c r="D523" s="25" t="s">
        <v>6099</v>
      </c>
      <c r="E523" s="13"/>
      <c r="F523" s="41"/>
      <c r="G523" s="41"/>
      <c r="H523" s="41"/>
      <c r="I523" s="14" t="s">
        <v>6100</v>
      </c>
      <c r="J523" s="15">
        <v>44791</v>
      </c>
      <c r="K523" t="s">
        <v>2719</v>
      </c>
      <c r="L523" t="s">
        <v>51</v>
      </c>
      <c r="M523" t="s">
        <v>52</v>
      </c>
      <c r="N523" t="s">
        <v>53</v>
      </c>
      <c r="O523" t="s">
        <v>5591</v>
      </c>
      <c r="P523" t="s">
        <v>6101</v>
      </c>
      <c r="Q523" t="s">
        <v>56</v>
      </c>
      <c r="R523" s="21" t="s">
        <v>6102</v>
      </c>
      <c r="S523" s="21"/>
      <c r="T523" t="s">
        <v>6103</v>
      </c>
      <c r="U523" t="s">
        <v>6104</v>
      </c>
      <c r="Y523" t="s">
        <v>6105</v>
      </c>
      <c r="AA523" s="15"/>
      <c r="AC523">
        <v>43.081232</v>
      </c>
      <c r="AD523">
        <v>-73.301637999999997</v>
      </c>
      <c r="AE523" t="s">
        <v>6106</v>
      </c>
      <c r="AH523" t="s">
        <v>1715</v>
      </c>
      <c r="AI523" t="s">
        <v>63</v>
      </c>
      <c r="AJ523" t="s">
        <v>6107</v>
      </c>
      <c r="AK523">
        <v>193692</v>
      </c>
      <c r="AM523" t="s">
        <v>6108</v>
      </c>
      <c r="AN523" t="s">
        <v>6109</v>
      </c>
      <c r="AO523" t="s">
        <v>6110</v>
      </c>
      <c r="AP523" t="s">
        <v>68</v>
      </c>
      <c r="AR523" t="s">
        <v>6111</v>
      </c>
      <c r="AS523" t="s">
        <v>6112</v>
      </c>
      <c r="AT523" t="s">
        <v>6113</v>
      </c>
      <c r="AW523" s="14" t="s">
        <v>72</v>
      </c>
      <c r="AX523" s="14" t="s">
        <v>73</v>
      </c>
      <c r="AY523" s="14" t="s">
        <v>1723</v>
      </c>
    </row>
    <row r="524" spans="1:51" ht="15" customHeight="1" x14ac:dyDescent="0.4">
      <c r="A524" s="12">
        <v>3854</v>
      </c>
      <c r="B524" s="21" t="s">
        <v>6114</v>
      </c>
      <c r="C524" s="13" t="s">
        <v>6115</v>
      </c>
      <c r="D524" s="25" t="s">
        <v>6115</v>
      </c>
      <c r="E524" s="13"/>
      <c r="F524" s="41"/>
      <c r="G524" s="41"/>
      <c r="H524" s="41"/>
      <c r="I524" s="14" t="s">
        <v>1878</v>
      </c>
      <c r="J524" s="15">
        <v>44791</v>
      </c>
      <c r="K524" t="s">
        <v>2719</v>
      </c>
      <c r="L524" t="s">
        <v>51</v>
      </c>
      <c r="M524" t="s">
        <v>52</v>
      </c>
      <c r="N524" t="s">
        <v>53</v>
      </c>
      <c r="O524" t="s">
        <v>5591</v>
      </c>
      <c r="P524" t="s">
        <v>6101</v>
      </c>
      <c r="Q524" t="s">
        <v>56</v>
      </c>
      <c r="R524" s="21" t="s">
        <v>6102</v>
      </c>
      <c r="S524" s="21"/>
      <c r="T524" t="s">
        <v>6116</v>
      </c>
      <c r="U524" t="s">
        <v>6117</v>
      </c>
      <c r="Y524" t="s">
        <v>1881</v>
      </c>
      <c r="AA524" s="15"/>
      <c r="AC524">
        <v>43.081313999999999</v>
      </c>
      <c r="AD524">
        <v>-73.296727000000004</v>
      </c>
      <c r="AE524" t="s">
        <v>6118</v>
      </c>
      <c r="AH524" t="s">
        <v>1715</v>
      </c>
      <c r="AI524" t="s">
        <v>63</v>
      </c>
      <c r="AJ524" t="s">
        <v>6119</v>
      </c>
      <c r="AK524">
        <v>193948</v>
      </c>
      <c r="AM524" t="s">
        <v>6120</v>
      </c>
      <c r="AN524" t="s">
        <v>6121</v>
      </c>
      <c r="AO524" t="s">
        <v>6122</v>
      </c>
      <c r="AP524" t="s">
        <v>68</v>
      </c>
      <c r="AR524" t="s">
        <v>6123</v>
      </c>
      <c r="AS524" t="s">
        <v>6124</v>
      </c>
      <c r="AT524" t="s">
        <v>6125</v>
      </c>
      <c r="AW524" s="14" t="s">
        <v>72</v>
      </c>
      <c r="AX524" s="14" t="s">
        <v>73</v>
      </c>
      <c r="AY524" s="14" t="s">
        <v>1723</v>
      </c>
    </row>
    <row r="525" spans="1:51" ht="15" customHeight="1" x14ac:dyDescent="0.4">
      <c r="A525" s="12">
        <v>3855</v>
      </c>
      <c r="B525" s="21" t="s">
        <v>6126</v>
      </c>
      <c r="C525" s="13" t="s">
        <v>6127</v>
      </c>
      <c r="D525" s="25" t="s">
        <v>6127</v>
      </c>
      <c r="E525" s="13"/>
      <c r="F525" s="41"/>
      <c r="G525" s="41"/>
      <c r="H525" s="41"/>
      <c r="I525" s="14" t="s">
        <v>6100</v>
      </c>
      <c r="J525" s="15">
        <v>44791</v>
      </c>
      <c r="K525" t="s">
        <v>2719</v>
      </c>
      <c r="L525" t="s">
        <v>51</v>
      </c>
      <c r="M525" t="s">
        <v>52</v>
      </c>
      <c r="N525" t="s">
        <v>53</v>
      </c>
      <c r="O525" t="s">
        <v>5591</v>
      </c>
      <c r="P525" t="s">
        <v>6101</v>
      </c>
      <c r="Q525" t="s">
        <v>56</v>
      </c>
      <c r="R525" s="21" t="s">
        <v>6102</v>
      </c>
      <c r="S525" s="21"/>
      <c r="T525" t="s">
        <v>6128</v>
      </c>
      <c r="U525" t="s">
        <v>6129</v>
      </c>
      <c r="Y525" t="s">
        <v>6105</v>
      </c>
      <c r="AA525" s="15"/>
      <c r="AC525">
        <v>43.081209000000001</v>
      </c>
      <c r="AD525">
        <v>-73.296002000000001</v>
      </c>
      <c r="AE525" t="s">
        <v>6130</v>
      </c>
      <c r="AH525" t="s">
        <v>1715</v>
      </c>
      <c r="AI525" t="s">
        <v>63</v>
      </c>
      <c r="AJ525" t="s">
        <v>6131</v>
      </c>
      <c r="AK525">
        <v>193693</v>
      </c>
      <c r="AM525" t="s">
        <v>6132</v>
      </c>
      <c r="AN525" t="s">
        <v>6133</v>
      </c>
      <c r="AO525" t="s">
        <v>6134</v>
      </c>
      <c r="AP525" t="s">
        <v>68</v>
      </c>
      <c r="AR525" t="s">
        <v>6135</v>
      </c>
      <c r="AS525" t="s">
        <v>6136</v>
      </c>
      <c r="AT525" t="s">
        <v>6137</v>
      </c>
      <c r="AW525" s="14" t="s">
        <v>72</v>
      </c>
      <c r="AX525" s="14" t="s">
        <v>73</v>
      </c>
      <c r="AY525" s="14" t="s">
        <v>1723</v>
      </c>
    </row>
    <row r="526" spans="1:51" ht="15" customHeight="1" x14ac:dyDescent="0.4">
      <c r="A526" s="12">
        <v>3856</v>
      </c>
      <c r="B526" s="21" t="s">
        <v>6138</v>
      </c>
      <c r="C526" s="13" t="s">
        <v>6139</v>
      </c>
      <c r="D526" s="25" t="s">
        <v>6139</v>
      </c>
      <c r="E526" s="13"/>
      <c r="F526" s="41"/>
      <c r="G526" s="41"/>
      <c r="H526" s="41"/>
      <c r="I526" s="14" t="s">
        <v>6100</v>
      </c>
      <c r="J526" s="15">
        <v>44791</v>
      </c>
      <c r="K526" t="s">
        <v>2719</v>
      </c>
      <c r="L526" t="s">
        <v>51</v>
      </c>
      <c r="M526" t="s">
        <v>52</v>
      </c>
      <c r="N526" t="s">
        <v>53</v>
      </c>
      <c r="O526" t="s">
        <v>5591</v>
      </c>
      <c r="P526" t="s">
        <v>6101</v>
      </c>
      <c r="Q526" t="s">
        <v>56</v>
      </c>
      <c r="R526" s="21" t="s">
        <v>6102</v>
      </c>
      <c r="S526" s="21"/>
      <c r="T526" t="s">
        <v>6140</v>
      </c>
      <c r="U526" t="s">
        <v>6141</v>
      </c>
      <c r="Y526" t="s">
        <v>6105</v>
      </c>
      <c r="AA526" s="15"/>
      <c r="AC526">
        <v>43.081346000000003</v>
      </c>
      <c r="AD526">
        <v>-73.294872999999995</v>
      </c>
      <c r="AE526" t="s">
        <v>6142</v>
      </c>
      <c r="AH526" t="s">
        <v>1715</v>
      </c>
      <c r="AI526" t="s">
        <v>63</v>
      </c>
      <c r="AJ526" t="s">
        <v>6143</v>
      </c>
      <c r="AK526">
        <v>193767</v>
      </c>
      <c r="AM526" t="s">
        <v>6144</v>
      </c>
      <c r="AN526" t="s">
        <v>6145</v>
      </c>
      <c r="AO526" t="s">
        <v>6146</v>
      </c>
      <c r="AP526" t="s">
        <v>68</v>
      </c>
      <c r="AR526" t="s">
        <v>6147</v>
      </c>
      <c r="AS526" t="s">
        <v>6148</v>
      </c>
      <c r="AT526" t="s">
        <v>6149</v>
      </c>
      <c r="AW526" s="14" t="s">
        <v>72</v>
      </c>
      <c r="AX526" s="14" t="s">
        <v>73</v>
      </c>
      <c r="AY526" s="14" t="s">
        <v>1723</v>
      </c>
    </row>
    <row r="527" spans="1:51" ht="15" customHeight="1" x14ac:dyDescent="0.4">
      <c r="A527" s="12">
        <v>3857</v>
      </c>
      <c r="B527" s="21" t="s">
        <v>6150</v>
      </c>
      <c r="C527" s="13" t="s">
        <v>6151</v>
      </c>
      <c r="D527" s="25" t="s">
        <v>6151</v>
      </c>
      <c r="E527" s="13"/>
      <c r="F527" s="41"/>
      <c r="G527" s="41"/>
      <c r="H527" s="41"/>
      <c r="I527" s="14" t="s">
        <v>6100</v>
      </c>
      <c r="J527" s="15">
        <v>44791</v>
      </c>
      <c r="K527" t="s">
        <v>2719</v>
      </c>
      <c r="L527" t="s">
        <v>51</v>
      </c>
      <c r="M527" t="s">
        <v>52</v>
      </c>
      <c r="N527" t="s">
        <v>53</v>
      </c>
      <c r="O527" t="s">
        <v>5591</v>
      </c>
      <c r="P527" t="s">
        <v>6101</v>
      </c>
      <c r="Q527" t="s">
        <v>56</v>
      </c>
      <c r="R527" s="21" t="s">
        <v>6102</v>
      </c>
      <c r="S527" s="21"/>
      <c r="T527" t="s">
        <v>6152</v>
      </c>
      <c r="U527" t="s">
        <v>6153</v>
      </c>
      <c r="Y527" t="s">
        <v>6105</v>
      </c>
      <c r="AA527" s="15"/>
      <c r="AC527">
        <v>43.081440000000001</v>
      </c>
      <c r="AD527">
        <v>-73.293407999999999</v>
      </c>
      <c r="AE527" t="s">
        <v>6154</v>
      </c>
      <c r="AH527" t="s">
        <v>1715</v>
      </c>
      <c r="AI527" t="s">
        <v>63</v>
      </c>
      <c r="AJ527" t="s">
        <v>6155</v>
      </c>
      <c r="AK527">
        <v>193768</v>
      </c>
      <c r="AM527" t="s">
        <v>6156</v>
      </c>
      <c r="AN527" t="s">
        <v>6157</v>
      </c>
      <c r="AO527" t="s">
        <v>6158</v>
      </c>
      <c r="AP527" t="s">
        <v>68</v>
      </c>
      <c r="AR527" t="s">
        <v>6159</v>
      </c>
      <c r="AS527" t="s">
        <v>6160</v>
      </c>
      <c r="AT527" t="s">
        <v>6161</v>
      </c>
      <c r="AW527" s="14" t="s">
        <v>72</v>
      </c>
      <c r="AX527" s="14" t="s">
        <v>73</v>
      </c>
      <c r="AY527" s="14" t="s">
        <v>1723</v>
      </c>
    </row>
    <row r="528" spans="1:51" ht="15" customHeight="1" x14ac:dyDescent="0.4">
      <c r="A528" s="12">
        <v>3858</v>
      </c>
      <c r="B528" s="21" t="s">
        <v>6162</v>
      </c>
      <c r="C528" s="13" t="s">
        <v>6163</v>
      </c>
      <c r="D528" s="25" t="s">
        <v>6163</v>
      </c>
      <c r="E528" s="13"/>
      <c r="F528" s="41"/>
      <c r="G528" s="41"/>
      <c r="H528" s="41"/>
      <c r="I528" s="14" t="s">
        <v>6100</v>
      </c>
      <c r="J528" s="15">
        <v>44791</v>
      </c>
      <c r="K528" t="s">
        <v>2719</v>
      </c>
      <c r="L528" t="s">
        <v>51</v>
      </c>
      <c r="M528" t="s">
        <v>52</v>
      </c>
      <c r="N528" t="s">
        <v>53</v>
      </c>
      <c r="O528" t="s">
        <v>5591</v>
      </c>
      <c r="P528" t="s">
        <v>6101</v>
      </c>
      <c r="Q528" t="s">
        <v>56</v>
      </c>
      <c r="R528" s="21" t="s">
        <v>6102</v>
      </c>
      <c r="S528" s="21"/>
      <c r="T528" t="s">
        <v>6164</v>
      </c>
      <c r="U528" t="s">
        <v>6165</v>
      </c>
      <c r="Y528" t="s">
        <v>6105</v>
      </c>
      <c r="AA528" s="15"/>
      <c r="AC528">
        <v>43.081873999999999</v>
      </c>
      <c r="AD528">
        <v>-73.292845</v>
      </c>
      <c r="AE528" t="s">
        <v>6166</v>
      </c>
      <c r="AH528" t="s">
        <v>1715</v>
      </c>
      <c r="AI528" t="s">
        <v>63</v>
      </c>
      <c r="AJ528" t="s">
        <v>6167</v>
      </c>
      <c r="AK528">
        <v>193694</v>
      </c>
      <c r="AM528" t="s">
        <v>6168</v>
      </c>
      <c r="AN528" t="s">
        <v>6169</v>
      </c>
      <c r="AO528" t="s">
        <v>6170</v>
      </c>
      <c r="AP528" t="s">
        <v>68</v>
      </c>
      <c r="AR528" t="s">
        <v>6171</v>
      </c>
      <c r="AS528" t="s">
        <v>6172</v>
      </c>
      <c r="AT528" t="s">
        <v>6173</v>
      </c>
      <c r="AW528" s="14" t="s">
        <v>72</v>
      </c>
      <c r="AX528" s="14" t="s">
        <v>73</v>
      </c>
      <c r="AY528" s="14" t="s">
        <v>1723</v>
      </c>
    </row>
    <row r="529" spans="1:51" ht="15" customHeight="1" x14ac:dyDescent="0.4">
      <c r="A529" s="12">
        <v>3859</v>
      </c>
      <c r="B529" s="21" t="s">
        <v>6174</v>
      </c>
      <c r="C529" s="13" t="s">
        <v>6175</v>
      </c>
      <c r="D529" s="25" t="s">
        <v>6175</v>
      </c>
      <c r="E529" s="13"/>
      <c r="F529" s="41"/>
      <c r="G529" s="41"/>
      <c r="H529" s="41"/>
      <c r="I529" s="14" t="s">
        <v>3090</v>
      </c>
      <c r="J529" s="15">
        <v>44792</v>
      </c>
      <c r="K529" t="s">
        <v>2719</v>
      </c>
      <c r="L529" t="s">
        <v>51</v>
      </c>
      <c r="M529" t="s">
        <v>52</v>
      </c>
      <c r="N529" t="s">
        <v>53</v>
      </c>
      <c r="O529" t="s">
        <v>5591</v>
      </c>
      <c r="P529" t="s">
        <v>6176</v>
      </c>
      <c r="Q529" t="s">
        <v>56</v>
      </c>
      <c r="R529" s="21" t="s">
        <v>6177</v>
      </c>
      <c r="S529" s="21"/>
      <c r="T529" t="s">
        <v>6178</v>
      </c>
      <c r="U529" t="s">
        <v>6179</v>
      </c>
      <c r="Y529" t="s">
        <v>3096</v>
      </c>
      <c r="AA529" s="15"/>
      <c r="AC529">
        <v>42.719489000000003</v>
      </c>
      <c r="AD529">
        <v>-73.860055000000003</v>
      </c>
      <c r="AE529" t="s">
        <v>6180</v>
      </c>
      <c r="AH529" t="s">
        <v>1715</v>
      </c>
      <c r="AI529" t="s">
        <v>63</v>
      </c>
      <c r="AJ529" t="s">
        <v>6181</v>
      </c>
      <c r="AK529">
        <v>194552</v>
      </c>
      <c r="AM529" t="s">
        <v>6182</v>
      </c>
      <c r="AN529" t="s">
        <v>6183</v>
      </c>
      <c r="AO529" t="s">
        <v>6184</v>
      </c>
      <c r="AP529" t="s">
        <v>68</v>
      </c>
      <c r="AR529" t="s">
        <v>6185</v>
      </c>
      <c r="AS529" t="s">
        <v>6186</v>
      </c>
      <c r="AT529" t="s">
        <v>6187</v>
      </c>
      <c r="AW529" s="14" t="s">
        <v>72</v>
      </c>
      <c r="AX529" s="14" t="s">
        <v>73</v>
      </c>
      <c r="AY529" s="14" t="s">
        <v>74</v>
      </c>
    </row>
    <row r="530" spans="1:51" ht="15" customHeight="1" x14ac:dyDescent="0.4">
      <c r="A530" s="12">
        <v>3860</v>
      </c>
      <c r="B530" s="21" t="s">
        <v>6188</v>
      </c>
      <c r="C530" s="13" t="s">
        <v>6189</v>
      </c>
      <c r="D530" s="25" t="s">
        <v>6189</v>
      </c>
      <c r="E530" s="13"/>
      <c r="F530" s="41"/>
      <c r="G530" s="41"/>
      <c r="H530" s="41"/>
      <c r="I530" s="14" t="s">
        <v>1878</v>
      </c>
      <c r="J530" s="15">
        <v>44792</v>
      </c>
      <c r="K530" t="s">
        <v>2719</v>
      </c>
      <c r="L530" t="s">
        <v>51</v>
      </c>
      <c r="M530" t="s">
        <v>52</v>
      </c>
      <c r="N530" t="s">
        <v>53</v>
      </c>
      <c r="O530" t="s">
        <v>5591</v>
      </c>
      <c r="P530" t="s">
        <v>6176</v>
      </c>
      <c r="Q530" t="s">
        <v>56</v>
      </c>
      <c r="R530" s="21" t="s">
        <v>6177</v>
      </c>
      <c r="S530" s="21"/>
      <c r="T530" t="s">
        <v>6190</v>
      </c>
      <c r="U530" t="s">
        <v>6191</v>
      </c>
      <c r="Y530" t="s">
        <v>1881</v>
      </c>
      <c r="AA530" s="15"/>
      <c r="AC530">
        <v>42.720314000000002</v>
      </c>
      <c r="AD530">
        <v>-73.858947999999998</v>
      </c>
      <c r="AE530" t="s">
        <v>6192</v>
      </c>
      <c r="AH530" t="s">
        <v>1715</v>
      </c>
      <c r="AI530" t="s">
        <v>63</v>
      </c>
      <c r="AJ530" t="s">
        <v>6193</v>
      </c>
      <c r="AK530">
        <v>193949</v>
      </c>
      <c r="AM530" t="s">
        <v>6194</v>
      </c>
      <c r="AN530" t="s">
        <v>6195</v>
      </c>
      <c r="AO530" t="s">
        <v>6196</v>
      </c>
      <c r="AP530" t="s">
        <v>68</v>
      </c>
      <c r="AR530" t="s">
        <v>6197</v>
      </c>
      <c r="AS530" t="s">
        <v>6198</v>
      </c>
      <c r="AT530" t="s">
        <v>6199</v>
      </c>
      <c r="AW530" s="14" t="s">
        <v>72</v>
      </c>
      <c r="AX530" s="14" t="s">
        <v>73</v>
      </c>
      <c r="AY530" s="14" t="s">
        <v>1723</v>
      </c>
    </row>
    <row r="531" spans="1:51" ht="15" customHeight="1" x14ac:dyDescent="0.4">
      <c r="A531" s="12">
        <v>3861</v>
      </c>
      <c r="B531" s="21" t="s">
        <v>6200</v>
      </c>
      <c r="C531" s="13" t="s">
        <v>6201</v>
      </c>
      <c r="D531" s="25" t="s">
        <v>6201</v>
      </c>
      <c r="E531" s="13"/>
      <c r="F531" s="41"/>
      <c r="G531" s="41"/>
      <c r="H531" s="41"/>
      <c r="I531" s="14" t="s">
        <v>3090</v>
      </c>
      <c r="J531" s="15">
        <v>44792</v>
      </c>
      <c r="K531" t="s">
        <v>2719</v>
      </c>
      <c r="L531" t="s">
        <v>51</v>
      </c>
      <c r="M531" t="s">
        <v>52</v>
      </c>
      <c r="N531" t="s">
        <v>53</v>
      </c>
      <c r="O531" t="s">
        <v>5591</v>
      </c>
      <c r="P531" t="s">
        <v>6176</v>
      </c>
      <c r="Q531" t="s">
        <v>56</v>
      </c>
      <c r="R531" s="21" t="s">
        <v>6177</v>
      </c>
      <c r="S531" s="21"/>
      <c r="T531" t="s">
        <v>6202</v>
      </c>
      <c r="U531" t="s">
        <v>6203</v>
      </c>
      <c r="X531" t="s">
        <v>1758</v>
      </c>
      <c r="Y531" t="s">
        <v>3096</v>
      </c>
      <c r="AA531" s="15"/>
      <c r="AC531">
        <v>42.720207000000002</v>
      </c>
      <c r="AD531">
        <v>-73.858750999999998</v>
      </c>
      <c r="AE531" t="s">
        <v>6192</v>
      </c>
      <c r="AH531" t="s">
        <v>1715</v>
      </c>
      <c r="AI531" t="s">
        <v>63</v>
      </c>
      <c r="AJ531" t="s">
        <v>6204</v>
      </c>
      <c r="AK531">
        <v>194551</v>
      </c>
      <c r="AM531" t="s">
        <v>6205</v>
      </c>
      <c r="AN531" t="s">
        <v>6206</v>
      </c>
      <c r="AO531" t="s">
        <v>6207</v>
      </c>
      <c r="AP531" t="s">
        <v>68</v>
      </c>
      <c r="AR531" t="s">
        <v>6208</v>
      </c>
      <c r="AS531" t="s">
        <v>6209</v>
      </c>
      <c r="AT531" t="s">
        <v>6210</v>
      </c>
      <c r="AW531" s="14" t="s">
        <v>72</v>
      </c>
      <c r="AX531" s="14" t="s">
        <v>73</v>
      </c>
      <c r="AY531" s="14" t="s">
        <v>74</v>
      </c>
    </row>
    <row r="532" spans="1:51" ht="15" customHeight="1" x14ac:dyDescent="0.4">
      <c r="A532" s="12">
        <v>3862</v>
      </c>
      <c r="B532" s="21" t="s">
        <v>6211</v>
      </c>
      <c r="C532" s="13" t="s">
        <v>6212</v>
      </c>
      <c r="D532" s="25" t="s">
        <v>6212</v>
      </c>
      <c r="E532" s="13"/>
      <c r="F532" s="41"/>
      <c r="G532" s="41"/>
      <c r="H532" s="41"/>
      <c r="I532" s="14" t="s">
        <v>3090</v>
      </c>
      <c r="J532" s="15">
        <v>44792</v>
      </c>
      <c r="K532" t="s">
        <v>2719</v>
      </c>
      <c r="L532" t="s">
        <v>51</v>
      </c>
      <c r="M532" t="s">
        <v>52</v>
      </c>
      <c r="N532" t="s">
        <v>53</v>
      </c>
      <c r="O532" t="s">
        <v>5591</v>
      </c>
      <c r="P532" t="s">
        <v>6176</v>
      </c>
      <c r="Q532" t="s">
        <v>56</v>
      </c>
      <c r="R532" s="21" t="s">
        <v>6177</v>
      </c>
      <c r="S532" s="21"/>
      <c r="T532" t="s">
        <v>6213</v>
      </c>
      <c r="U532" t="s">
        <v>6214</v>
      </c>
      <c r="X532" t="s">
        <v>1758</v>
      </c>
      <c r="Y532" t="s">
        <v>3096</v>
      </c>
      <c r="AA532" s="15"/>
      <c r="AC532">
        <v>42.718048000000003</v>
      </c>
      <c r="AD532">
        <v>-73.855642000000003</v>
      </c>
      <c r="AE532" t="s">
        <v>6215</v>
      </c>
      <c r="AH532" t="s">
        <v>1715</v>
      </c>
      <c r="AI532" t="s">
        <v>63</v>
      </c>
      <c r="AJ532" t="s">
        <v>6216</v>
      </c>
      <c r="AK532">
        <v>194550</v>
      </c>
      <c r="AM532" t="s">
        <v>6217</v>
      </c>
      <c r="AN532" t="s">
        <v>6218</v>
      </c>
      <c r="AO532" t="s">
        <v>6219</v>
      </c>
      <c r="AP532" t="s">
        <v>68</v>
      </c>
      <c r="AR532" t="s">
        <v>6220</v>
      </c>
      <c r="AS532" t="s">
        <v>6221</v>
      </c>
      <c r="AT532" t="s">
        <v>6222</v>
      </c>
      <c r="AW532" s="14" t="s">
        <v>72</v>
      </c>
      <c r="AX532" s="14" t="s">
        <v>73</v>
      </c>
      <c r="AY532" s="14" t="s">
        <v>74</v>
      </c>
    </row>
    <row r="533" spans="1:51" ht="15" customHeight="1" x14ac:dyDescent="0.4">
      <c r="A533" s="12">
        <v>3863</v>
      </c>
      <c r="B533" s="21" t="s">
        <v>6223</v>
      </c>
      <c r="C533" s="13" t="s">
        <v>6224</v>
      </c>
      <c r="D533" s="25" t="s">
        <v>6224</v>
      </c>
      <c r="E533" s="13"/>
      <c r="F533" s="41"/>
      <c r="G533" s="41"/>
      <c r="H533" s="41"/>
      <c r="I533" s="14" t="s">
        <v>3090</v>
      </c>
      <c r="J533" s="15">
        <v>44792</v>
      </c>
      <c r="K533" t="s">
        <v>2719</v>
      </c>
      <c r="L533" t="s">
        <v>51</v>
      </c>
      <c r="M533" t="s">
        <v>52</v>
      </c>
      <c r="N533" t="s">
        <v>53</v>
      </c>
      <c r="O533" t="s">
        <v>5591</v>
      </c>
      <c r="P533" t="s">
        <v>6176</v>
      </c>
      <c r="Q533" t="s">
        <v>56</v>
      </c>
      <c r="R533" s="21" t="s">
        <v>6177</v>
      </c>
      <c r="S533" s="21"/>
      <c r="T533" t="s">
        <v>6225</v>
      </c>
      <c r="U533" t="s">
        <v>6226</v>
      </c>
      <c r="X533" t="s">
        <v>1758</v>
      </c>
      <c r="Y533" t="s">
        <v>3096</v>
      </c>
      <c r="AA533" s="15"/>
      <c r="AC533">
        <v>42.717212000000004</v>
      </c>
      <c r="AD533">
        <v>-73.855942999999996</v>
      </c>
      <c r="AE533" t="s">
        <v>6192</v>
      </c>
      <c r="AH533" t="s">
        <v>1715</v>
      </c>
      <c r="AI533" t="s">
        <v>63</v>
      </c>
      <c r="AJ533" t="s">
        <v>6227</v>
      </c>
      <c r="AK533">
        <v>194549</v>
      </c>
      <c r="AM533" t="s">
        <v>6228</v>
      </c>
      <c r="AN533" t="s">
        <v>6229</v>
      </c>
      <c r="AO533" t="s">
        <v>6230</v>
      </c>
      <c r="AP533" t="s">
        <v>68</v>
      </c>
      <c r="AR533" t="s">
        <v>6231</v>
      </c>
      <c r="AS533" t="s">
        <v>6232</v>
      </c>
      <c r="AT533" t="s">
        <v>6233</v>
      </c>
      <c r="AW533" s="14" t="s">
        <v>72</v>
      </c>
      <c r="AX533" s="14" t="s">
        <v>73</v>
      </c>
      <c r="AY533" s="14" t="s">
        <v>74</v>
      </c>
    </row>
    <row r="534" spans="1:51" ht="15" customHeight="1" x14ac:dyDescent="0.4">
      <c r="A534" s="12">
        <v>3864</v>
      </c>
      <c r="B534" s="21" t="s">
        <v>6234</v>
      </c>
      <c r="C534" s="13" t="s">
        <v>6235</v>
      </c>
      <c r="D534" s="25" t="s">
        <v>6235</v>
      </c>
      <c r="E534" s="13"/>
      <c r="F534" s="41"/>
      <c r="G534" s="41"/>
      <c r="H534" s="41"/>
      <c r="I534" s="14" t="s">
        <v>1878</v>
      </c>
      <c r="J534" s="15">
        <v>44792</v>
      </c>
      <c r="K534" t="s">
        <v>2719</v>
      </c>
      <c r="L534" t="s">
        <v>51</v>
      </c>
      <c r="M534" t="s">
        <v>52</v>
      </c>
      <c r="N534" t="s">
        <v>53</v>
      </c>
      <c r="O534" t="s">
        <v>5591</v>
      </c>
      <c r="P534" t="s">
        <v>6176</v>
      </c>
      <c r="Q534" t="s">
        <v>56</v>
      </c>
      <c r="R534" s="21" t="s">
        <v>6177</v>
      </c>
      <c r="S534" s="21"/>
      <c r="T534" t="s">
        <v>6236</v>
      </c>
      <c r="U534" t="s">
        <v>6237</v>
      </c>
      <c r="X534" t="s">
        <v>1758</v>
      </c>
      <c r="Y534" t="s">
        <v>1881</v>
      </c>
      <c r="AA534" s="15"/>
      <c r="AC534">
        <v>42.717061999999999</v>
      </c>
      <c r="AD534">
        <v>-73.855643999999998</v>
      </c>
      <c r="AE534" t="s">
        <v>6238</v>
      </c>
      <c r="AH534" t="s">
        <v>1715</v>
      </c>
      <c r="AI534" t="s">
        <v>63</v>
      </c>
      <c r="AJ534" t="s">
        <v>6239</v>
      </c>
      <c r="AK534">
        <v>193950</v>
      </c>
      <c r="AM534" t="s">
        <v>6240</v>
      </c>
      <c r="AN534" t="s">
        <v>6241</v>
      </c>
      <c r="AO534" t="s">
        <v>6242</v>
      </c>
      <c r="AP534" t="s">
        <v>68</v>
      </c>
      <c r="AR534" t="s">
        <v>6243</v>
      </c>
      <c r="AS534" t="s">
        <v>6244</v>
      </c>
      <c r="AT534" t="s">
        <v>6245</v>
      </c>
      <c r="AW534" s="14" t="s">
        <v>72</v>
      </c>
      <c r="AX534" s="14" t="s">
        <v>73</v>
      </c>
      <c r="AY534" s="14" t="s">
        <v>1723</v>
      </c>
    </row>
    <row r="535" spans="1:51" ht="15" customHeight="1" x14ac:dyDescent="0.4">
      <c r="A535" s="12">
        <v>3865</v>
      </c>
      <c r="B535" s="21" t="s">
        <v>6246</v>
      </c>
      <c r="C535" s="13" t="s">
        <v>6247</v>
      </c>
      <c r="D535" s="25" t="s">
        <v>6247</v>
      </c>
      <c r="E535" s="13"/>
      <c r="F535" s="41"/>
      <c r="G535" s="41"/>
      <c r="H535" s="41"/>
      <c r="I535" s="14" t="s">
        <v>1878</v>
      </c>
      <c r="J535" s="15">
        <v>44792</v>
      </c>
      <c r="K535" t="s">
        <v>2719</v>
      </c>
      <c r="L535" t="s">
        <v>51</v>
      </c>
      <c r="M535" t="s">
        <v>52</v>
      </c>
      <c r="N535" t="s">
        <v>53</v>
      </c>
      <c r="O535" t="s">
        <v>5591</v>
      </c>
      <c r="P535" t="s">
        <v>6176</v>
      </c>
      <c r="Q535" t="s">
        <v>56</v>
      </c>
      <c r="R535" s="21" t="s">
        <v>6177</v>
      </c>
      <c r="S535" s="21"/>
      <c r="T535" t="s">
        <v>6248</v>
      </c>
      <c r="U535" t="s">
        <v>6249</v>
      </c>
      <c r="Y535" t="s">
        <v>1881</v>
      </c>
      <c r="AA535" s="15"/>
      <c r="AC535">
        <v>42.716617999999997</v>
      </c>
      <c r="AD535">
        <v>-73.854881000000006</v>
      </c>
      <c r="AE535" t="s">
        <v>6250</v>
      </c>
      <c r="AH535" t="s">
        <v>1715</v>
      </c>
      <c r="AI535" t="s">
        <v>63</v>
      </c>
      <c r="AJ535" t="s">
        <v>6251</v>
      </c>
      <c r="AK535">
        <v>193951</v>
      </c>
      <c r="AM535" t="s">
        <v>6252</v>
      </c>
      <c r="AN535" t="s">
        <v>6253</v>
      </c>
      <c r="AO535" t="s">
        <v>6254</v>
      </c>
      <c r="AP535" t="s">
        <v>68</v>
      </c>
      <c r="AR535" t="s">
        <v>6255</v>
      </c>
      <c r="AS535" t="s">
        <v>6256</v>
      </c>
      <c r="AT535" t="s">
        <v>6257</v>
      </c>
      <c r="AW535" s="14" t="s">
        <v>72</v>
      </c>
      <c r="AX535" s="14" t="s">
        <v>73</v>
      </c>
      <c r="AY535" s="14" t="s">
        <v>1723</v>
      </c>
    </row>
    <row r="536" spans="1:51" ht="15" customHeight="1" x14ac:dyDescent="0.4">
      <c r="A536" s="12">
        <v>3866</v>
      </c>
      <c r="B536" s="21" t="s">
        <v>6258</v>
      </c>
      <c r="C536" s="13" t="s">
        <v>6259</v>
      </c>
      <c r="D536" s="25" t="s">
        <v>6259</v>
      </c>
      <c r="E536" s="13"/>
      <c r="F536" s="41"/>
      <c r="G536" s="41"/>
      <c r="H536" s="41"/>
      <c r="I536" s="14" t="s">
        <v>1878</v>
      </c>
      <c r="J536" s="15">
        <v>44792</v>
      </c>
      <c r="K536" t="s">
        <v>2719</v>
      </c>
      <c r="L536" t="s">
        <v>51</v>
      </c>
      <c r="M536" t="s">
        <v>52</v>
      </c>
      <c r="N536" t="s">
        <v>53</v>
      </c>
      <c r="O536" t="s">
        <v>5591</v>
      </c>
      <c r="P536" t="s">
        <v>6176</v>
      </c>
      <c r="Q536" t="s">
        <v>56</v>
      </c>
      <c r="R536" s="21" t="s">
        <v>6177</v>
      </c>
      <c r="S536" s="21"/>
      <c r="T536" t="s">
        <v>6260</v>
      </c>
      <c r="U536" t="s">
        <v>6261</v>
      </c>
      <c r="X536" t="s">
        <v>1758</v>
      </c>
      <c r="Y536" t="s">
        <v>1881</v>
      </c>
      <c r="AA536" s="15"/>
      <c r="AC536">
        <v>42.715933999999997</v>
      </c>
      <c r="AD536">
        <v>-73.853837999999996</v>
      </c>
      <c r="AE536" t="s">
        <v>6262</v>
      </c>
      <c r="AH536" t="s">
        <v>1715</v>
      </c>
      <c r="AI536" t="s">
        <v>63</v>
      </c>
      <c r="AJ536" t="s">
        <v>6263</v>
      </c>
      <c r="AK536">
        <v>193952</v>
      </c>
      <c r="AM536" t="s">
        <v>6264</v>
      </c>
      <c r="AN536" t="s">
        <v>6265</v>
      </c>
      <c r="AO536" t="s">
        <v>6266</v>
      </c>
      <c r="AP536" t="s">
        <v>68</v>
      </c>
      <c r="AR536" t="s">
        <v>6267</v>
      </c>
      <c r="AS536" t="s">
        <v>6268</v>
      </c>
      <c r="AT536" t="s">
        <v>6269</v>
      </c>
      <c r="AW536" s="14" t="s">
        <v>72</v>
      </c>
      <c r="AX536" s="14" t="s">
        <v>73</v>
      </c>
      <c r="AY536" s="14" t="s">
        <v>1723</v>
      </c>
    </row>
    <row r="537" spans="1:51" ht="15" customHeight="1" x14ac:dyDescent="0.4">
      <c r="A537" s="12">
        <v>3867</v>
      </c>
      <c r="B537" s="21" t="s">
        <v>6270</v>
      </c>
      <c r="C537" s="13" t="s">
        <v>6271</v>
      </c>
      <c r="D537" s="25" t="s">
        <v>6271</v>
      </c>
      <c r="E537" s="13"/>
      <c r="F537" s="41"/>
      <c r="G537" s="41"/>
      <c r="H537" s="41"/>
      <c r="I537" s="14" t="s">
        <v>3090</v>
      </c>
      <c r="J537" s="15">
        <v>44792</v>
      </c>
      <c r="K537" t="s">
        <v>2719</v>
      </c>
      <c r="L537" t="s">
        <v>51</v>
      </c>
      <c r="M537" t="s">
        <v>52</v>
      </c>
      <c r="N537" t="s">
        <v>53</v>
      </c>
      <c r="O537" t="s">
        <v>5591</v>
      </c>
      <c r="P537" t="s">
        <v>6176</v>
      </c>
      <c r="Q537" t="s">
        <v>56</v>
      </c>
      <c r="R537" s="21" t="s">
        <v>6177</v>
      </c>
      <c r="S537" s="21"/>
      <c r="T537" t="s">
        <v>6272</v>
      </c>
      <c r="U537" t="s">
        <v>6273</v>
      </c>
      <c r="X537" t="s">
        <v>1758</v>
      </c>
      <c r="Y537" t="s">
        <v>3096</v>
      </c>
      <c r="AA537" s="15"/>
      <c r="AC537">
        <v>42.716000999999999</v>
      </c>
      <c r="AD537">
        <v>-73.853819000000001</v>
      </c>
      <c r="AE537" t="s">
        <v>6274</v>
      </c>
      <c r="AH537" t="s">
        <v>1715</v>
      </c>
      <c r="AI537" t="s">
        <v>63</v>
      </c>
      <c r="AJ537" t="s">
        <v>6275</v>
      </c>
      <c r="AK537">
        <v>194548</v>
      </c>
      <c r="AM537" t="s">
        <v>6276</v>
      </c>
      <c r="AN537" t="s">
        <v>6277</v>
      </c>
      <c r="AO537" t="s">
        <v>6278</v>
      </c>
      <c r="AP537" t="s">
        <v>68</v>
      </c>
      <c r="AR537" t="s">
        <v>6279</v>
      </c>
      <c r="AS537" t="s">
        <v>6280</v>
      </c>
      <c r="AT537" t="s">
        <v>6281</v>
      </c>
      <c r="AW537" s="14" t="s">
        <v>72</v>
      </c>
      <c r="AX537" s="14" t="s">
        <v>73</v>
      </c>
      <c r="AY537" s="14" t="s">
        <v>74</v>
      </c>
    </row>
    <row r="538" spans="1:51" ht="15" customHeight="1" x14ac:dyDescent="0.4">
      <c r="A538" s="12">
        <v>3868</v>
      </c>
      <c r="B538" s="21" t="s">
        <v>6282</v>
      </c>
      <c r="C538" s="13" t="s">
        <v>6283</v>
      </c>
      <c r="D538" s="25" t="s">
        <v>6283</v>
      </c>
      <c r="E538" s="13"/>
      <c r="F538" s="41"/>
      <c r="G538" s="41"/>
      <c r="H538" s="41"/>
      <c r="I538" s="14" t="s">
        <v>1878</v>
      </c>
      <c r="J538" s="15">
        <v>44792</v>
      </c>
      <c r="K538" t="s">
        <v>2719</v>
      </c>
      <c r="L538" t="s">
        <v>51</v>
      </c>
      <c r="M538" t="s">
        <v>52</v>
      </c>
      <c r="N538" t="s">
        <v>53</v>
      </c>
      <c r="O538" t="s">
        <v>5591</v>
      </c>
      <c r="P538" t="s">
        <v>6101</v>
      </c>
      <c r="Q538" t="s">
        <v>56</v>
      </c>
      <c r="R538" s="21" t="s">
        <v>6102</v>
      </c>
      <c r="S538" s="21"/>
      <c r="T538" t="s">
        <v>6284</v>
      </c>
      <c r="U538" t="s">
        <v>6285</v>
      </c>
      <c r="Y538" t="s">
        <v>1881</v>
      </c>
      <c r="AA538" s="15"/>
      <c r="AC538">
        <v>43.075901999999999</v>
      </c>
      <c r="AD538">
        <v>-73.295101000000003</v>
      </c>
      <c r="AE538" t="s">
        <v>6286</v>
      </c>
      <c r="AH538" t="s">
        <v>1715</v>
      </c>
      <c r="AI538" t="s">
        <v>63</v>
      </c>
      <c r="AJ538" t="s">
        <v>6287</v>
      </c>
      <c r="AK538">
        <v>194159</v>
      </c>
      <c r="AM538" t="s">
        <v>6288</v>
      </c>
      <c r="AN538" t="s">
        <v>6289</v>
      </c>
      <c r="AO538" t="s">
        <v>6290</v>
      </c>
      <c r="AP538" t="s">
        <v>68</v>
      </c>
      <c r="AR538" t="s">
        <v>6291</v>
      </c>
      <c r="AS538" t="s">
        <v>6292</v>
      </c>
      <c r="AT538" t="s">
        <v>6293</v>
      </c>
      <c r="AW538" s="14" t="s">
        <v>72</v>
      </c>
      <c r="AX538" s="14" t="s">
        <v>73</v>
      </c>
      <c r="AY538" s="14" t="s">
        <v>1723</v>
      </c>
    </row>
    <row r="539" spans="1:51" ht="15" customHeight="1" x14ac:dyDescent="0.4">
      <c r="A539" s="12">
        <v>3869</v>
      </c>
      <c r="B539" s="21" t="s">
        <v>6294</v>
      </c>
      <c r="C539" s="13" t="s">
        <v>6295</v>
      </c>
      <c r="D539" s="25" t="s">
        <v>6295</v>
      </c>
      <c r="E539" s="13"/>
      <c r="F539" s="41"/>
      <c r="G539" s="41"/>
      <c r="H539" s="41"/>
      <c r="I539" s="14" t="s">
        <v>1829</v>
      </c>
      <c r="J539" s="15">
        <v>44794</v>
      </c>
      <c r="K539" t="s">
        <v>2719</v>
      </c>
      <c r="L539" t="s">
        <v>51</v>
      </c>
      <c r="M539" t="s">
        <v>52</v>
      </c>
      <c r="N539" t="s">
        <v>53</v>
      </c>
      <c r="O539" t="s">
        <v>6296</v>
      </c>
      <c r="P539" t="s">
        <v>6297</v>
      </c>
      <c r="Q539" t="s">
        <v>56</v>
      </c>
      <c r="R539" s="21" t="s">
        <v>6298</v>
      </c>
      <c r="S539" s="21"/>
      <c r="T539" t="s">
        <v>6299</v>
      </c>
      <c r="U539" t="s">
        <v>6300</v>
      </c>
      <c r="Y539" t="s">
        <v>1832</v>
      </c>
      <c r="AA539" s="15"/>
      <c r="AC539">
        <v>42.056111999999999</v>
      </c>
      <c r="AD539">
        <v>-73.350116</v>
      </c>
      <c r="AH539" t="s">
        <v>1715</v>
      </c>
      <c r="AI539" t="s">
        <v>63</v>
      </c>
      <c r="AJ539" t="s">
        <v>6301</v>
      </c>
      <c r="AK539">
        <v>194493</v>
      </c>
      <c r="AM539" t="s">
        <v>6302</v>
      </c>
      <c r="AN539" t="s">
        <v>6303</v>
      </c>
      <c r="AO539" t="s">
        <v>6304</v>
      </c>
      <c r="AP539" t="s">
        <v>68</v>
      </c>
      <c r="AR539" t="s">
        <v>6305</v>
      </c>
      <c r="AS539" t="s">
        <v>6306</v>
      </c>
      <c r="AT539" t="s">
        <v>6307</v>
      </c>
      <c r="AW539" s="14" t="s">
        <v>72</v>
      </c>
      <c r="AX539" s="14" t="s">
        <v>73</v>
      </c>
      <c r="AY539" s="14" t="s">
        <v>74</v>
      </c>
    </row>
    <row r="540" spans="1:51" ht="15" customHeight="1" x14ac:dyDescent="0.4">
      <c r="A540" s="12">
        <v>3870</v>
      </c>
      <c r="B540" s="21" t="s">
        <v>6308</v>
      </c>
      <c r="C540" s="13" t="s">
        <v>6309</v>
      </c>
      <c r="D540" s="25" t="s">
        <v>6309</v>
      </c>
      <c r="E540" s="13"/>
      <c r="F540" s="41"/>
      <c r="G540" s="41"/>
      <c r="H540" s="41"/>
      <c r="I540" s="14" t="s">
        <v>1829</v>
      </c>
      <c r="J540" s="15">
        <v>44794</v>
      </c>
      <c r="K540" t="s">
        <v>2719</v>
      </c>
      <c r="L540" t="s">
        <v>51</v>
      </c>
      <c r="M540" t="s">
        <v>52</v>
      </c>
      <c r="N540" t="s">
        <v>53</v>
      </c>
      <c r="O540" t="s">
        <v>6296</v>
      </c>
      <c r="P540" t="s">
        <v>6297</v>
      </c>
      <c r="Q540" t="s">
        <v>56</v>
      </c>
      <c r="R540" s="21" t="s">
        <v>6298</v>
      </c>
      <c r="S540" s="21"/>
      <c r="T540" t="s">
        <v>6310</v>
      </c>
      <c r="U540" t="s">
        <v>6311</v>
      </c>
      <c r="Y540" t="s">
        <v>1832</v>
      </c>
      <c r="AA540" s="15"/>
      <c r="AC540">
        <v>42.056035000000001</v>
      </c>
      <c r="AD540">
        <v>-73.350217000000001</v>
      </c>
      <c r="AH540" t="s">
        <v>1715</v>
      </c>
      <c r="AI540" t="s">
        <v>63</v>
      </c>
      <c r="AJ540" t="s">
        <v>6312</v>
      </c>
      <c r="AK540">
        <v>194494</v>
      </c>
      <c r="AM540" t="s">
        <v>6313</v>
      </c>
      <c r="AN540" t="s">
        <v>6314</v>
      </c>
      <c r="AO540" t="s">
        <v>6315</v>
      </c>
      <c r="AP540" t="s">
        <v>68</v>
      </c>
      <c r="AR540" t="s">
        <v>6316</v>
      </c>
      <c r="AS540" t="s">
        <v>6317</v>
      </c>
      <c r="AT540" t="s">
        <v>6318</v>
      </c>
      <c r="AW540" s="14" t="s">
        <v>72</v>
      </c>
      <c r="AX540" s="14" t="s">
        <v>73</v>
      </c>
      <c r="AY540" s="14" t="s">
        <v>74</v>
      </c>
    </row>
    <row r="541" spans="1:51" ht="15" customHeight="1" x14ac:dyDescent="0.4">
      <c r="A541" s="12">
        <v>3871</v>
      </c>
      <c r="B541" s="21" t="s">
        <v>6319</v>
      </c>
      <c r="C541" s="13" t="s">
        <v>6320</v>
      </c>
      <c r="D541" s="25" t="s">
        <v>6320</v>
      </c>
      <c r="E541" s="13"/>
      <c r="F541" s="41"/>
      <c r="G541" s="41"/>
      <c r="H541" s="41"/>
      <c r="I541" s="14" t="s">
        <v>1829</v>
      </c>
      <c r="J541" s="15">
        <v>44794</v>
      </c>
      <c r="K541" t="s">
        <v>2719</v>
      </c>
      <c r="L541" t="s">
        <v>51</v>
      </c>
      <c r="M541" t="s">
        <v>52</v>
      </c>
      <c r="N541" t="s">
        <v>53</v>
      </c>
      <c r="O541" t="s">
        <v>6296</v>
      </c>
      <c r="P541" t="s">
        <v>6297</v>
      </c>
      <c r="Q541" t="s">
        <v>56</v>
      </c>
      <c r="R541" s="21" t="s">
        <v>6298</v>
      </c>
      <c r="S541" s="21"/>
      <c r="T541" t="s">
        <v>6321</v>
      </c>
      <c r="U541" t="s">
        <v>6322</v>
      </c>
      <c r="Y541" t="s">
        <v>1832</v>
      </c>
      <c r="AA541" s="15"/>
      <c r="AC541">
        <v>42.055942999999999</v>
      </c>
      <c r="AD541">
        <v>-73.350234</v>
      </c>
      <c r="AH541" t="s">
        <v>1715</v>
      </c>
      <c r="AI541" t="s">
        <v>63</v>
      </c>
      <c r="AJ541" t="s">
        <v>6323</v>
      </c>
      <c r="AK541">
        <v>194495</v>
      </c>
      <c r="AM541" t="s">
        <v>6324</v>
      </c>
      <c r="AN541" t="s">
        <v>6325</v>
      </c>
      <c r="AO541" t="s">
        <v>6326</v>
      </c>
      <c r="AP541" t="s">
        <v>68</v>
      </c>
      <c r="AR541" t="s">
        <v>6327</v>
      </c>
      <c r="AS541" t="s">
        <v>6328</v>
      </c>
      <c r="AT541" t="s">
        <v>6329</v>
      </c>
      <c r="AW541" s="14" t="s">
        <v>72</v>
      </c>
      <c r="AX541" s="14" t="s">
        <v>73</v>
      </c>
      <c r="AY541" s="14" t="s">
        <v>74</v>
      </c>
    </row>
    <row r="542" spans="1:51" ht="15" customHeight="1" x14ac:dyDescent="0.4">
      <c r="A542" s="12">
        <v>3872</v>
      </c>
      <c r="B542" s="21" t="s">
        <v>6330</v>
      </c>
      <c r="C542" s="13" t="s">
        <v>6331</v>
      </c>
      <c r="D542" s="25" t="s">
        <v>6331</v>
      </c>
      <c r="E542" s="13"/>
      <c r="F542" s="41"/>
      <c r="G542" s="41"/>
      <c r="H542" s="41"/>
      <c r="I542" s="14" t="s">
        <v>1878</v>
      </c>
      <c r="J542" s="15">
        <v>44794</v>
      </c>
      <c r="K542" t="s">
        <v>2719</v>
      </c>
      <c r="L542" t="s">
        <v>51</v>
      </c>
      <c r="M542" t="s">
        <v>52</v>
      </c>
      <c r="N542" t="s">
        <v>53</v>
      </c>
      <c r="O542" t="s">
        <v>6296</v>
      </c>
      <c r="P542" t="s">
        <v>6297</v>
      </c>
      <c r="Q542" t="s">
        <v>56</v>
      </c>
      <c r="R542" s="21" t="s">
        <v>6298</v>
      </c>
      <c r="S542" s="21"/>
      <c r="T542" t="s">
        <v>6332</v>
      </c>
      <c r="U542" t="s">
        <v>6333</v>
      </c>
      <c r="Y542" t="s">
        <v>1881</v>
      </c>
      <c r="AA542" s="15"/>
      <c r="AC542">
        <v>42.055847</v>
      </c>
      <c r="AD542">
        <v>-73.350441000000004</v>
      </c>
      <c r="AH542" t="s">
        <v>1715</v>
      </c>
      <c r="AI542" t="s">
        <v>63</v>
      </c>
      <c r="AJ542" t="s">
        <v>6334</v>
      </c>
      <c r="AK542">
        <v>194160</v>
      </c>
      <c r="AM542" t="s">
        <v>6335</v>
      </c>
      <c r="AN542" t="s">
        <v>6336</v>
      </c>
      <c r="AO542" t="s">
        <v>6337</v>
      </c>
      <c r="AP542" t="s">
        <v>68</v>
      </c>
      <c r="AR542" t="s">
        <v>6338</v>
      </c>
      <c r="AS542" t="s">
        <v>6339</v>
      </c>
      <c r="AT542" t="s">
        <v>6340</v>
      </c>
      <c r="AW542" s="14" t="s">
        <v>72</v>
      </c>
      <c r="AX542" s="14" t="s">
        <v>73</v>
      </c>
      <c r="AY542" s="14" t="s">
        <v>1723</v>
      </c>
    </row>
    <row r="543" spans="1:51" ht="15" customHeight="1" x14ac:dyDescent="0.4">
      <c r="A543" s="12">
        <v>3873</v>
      </c>
      <c r="B543" s="21" t="s">
        <v>6341</v>
      </c>
      <c r="C543" s="13" t="s">
        <v>6342</v>
      </c>
      <c r="D543" s="25" t="s">
        <v>6342</v>
      </c>
      <c r="E543" s="13"/>
      <c r="F543" s="41"/>
      <c r="G543" s="41"/>
      <c r="H543" s="41"/>
      <c r="I543" s="14" t="s">
        <v>1829</v>
      </c>
      <c r="J543" s="15">
        <v>44794</v>
      </c>
      <c r="K543" t="s">
        <v>2719</v>
      </c>
      <c r="L543" t="s">
        <v>51</v>
      </c>
      <c r="M543" t="s">
        <v>52</v>
      </c>
      <c r="N543" t="s">
        <v>53</v>
      </c>
      <c r="O543" t="s">
        <v>6296</v>
      </c>
      <c r="P543" t="s">
        <v>6297</v>
      </c>
      <c r="Q543" t="s">
        <v>56</v>
      </c>
      <c r="R543" s="21" t="s">
        <v>6298</v>
      </c>
      <c r="S543" s="21"/>
      <c r="T543" t="s">
        <v>6343</v>
      </c>
      <c r="U543" t="s">
        <v>6344</v>
      </c>
      <c r="Y543" t="s">
        <v>1832</v>
      </c>
      <c r="AA543" s="15"/>
      <c r="AC543">
        <v>42.055816999999998</v>
      </c>
      <c r="AD543">
        <v>-73.350211000000002</v>
      </c>
      <c r="AH543" t="s">
        <v>1715</v>
      </c>
      <c r="AI543" t="s">
        <v>63</v>
      </c>
      <c r="AJ543" t="s">
        <v>6345</v>
      </c>
      <c r="AK543">
        <v>194496</v>
      </c>
      <c r="AM543" t="s">
        <v>6346</v>
      </c>
      <c r="AN543" t="s">
        <v>6347</v>
      </c>
      <c r="AO543" t="s">
        <v>6348</v>
      </c>
      <c r="AP543" t="s">
        <v>68</v>
      </c>
      <c r="AR543" t="s">
        <v>6349</v>
      </c>
      <c r="AS543" t="s">
        <v>6350</v>
      </c>
      <c r="AT543" t="s">
        <v>6351</v>
      </c>
      <c r="AW543" s="14" t="s">
        <v>72</v>
      </c>
      <c r="AX543" s="14" t="s">
        <v>73</v>
      </c>
      <c r="AY543" s="14" t="s">
        <v>74</v>
      </c>
    </row>
    <row r="544" spans="1:51" ht="15" customHeight="1" x14ac:dyDescent="0.4">
      <c r="A544" s="12">
        <v>3874</v>
      </c>
      <c r="B544" s="21" t="s">
        <v>6352</v>
      </c>
      <c r="C544" s="13" t="s">
        <v>6353</v>
      </c>
      <c r="D544" s="25" t="s">
        <v>6353</v>
      </c>
      <c r="E544" s="13"/>
      <c r="F544" s="43" t="s">
        <v>49</v>
      </c>
      <c r="G544" s="43" t="s">
        <v>8097</v>
      </c>
      <c r="H544" s="43"/>
      <c r="I544" s="14" t="s">
        <v>1829</v>
      </c>
      <c r="J544" s="15">
        <v>44794</v>
      </c>
      <c r="K544" t="s">
        <v>2719</v>
      </c>
      <c r="L544" t="s">
        <v>51</v>
      </c>
      <c r="M544" t="s">
        <v>52</v>
      </c>
      <c r="N544" t="s">
        <v>53</v>
      </c>
      <c r="O544" t="s">
        <v>6296</v>
      </c>
      <c r="P544" t="s">
        <v>6297</v>
      </c>
      <c r="Q544" t="s">
        <v>56</v>
      </c>
      <c r="R544" s="21" t="s">
        <v>6298</v>
      </c>
      <c r="S544" s="21"/>
      <c r="T544" t="s">
        <v>6299</v>
      </c>
      <c r="U544" t="s">
        <v>6354</v>
      </c>
      <c r="Y544" t="s">
        <v>1832</v>
      </c>
      <c r="AA544" s="15"/>
      <c r="AC544">
        <v>42.056041999999998</v>
      </c>
      <c r="AD544">
        <v>-73.350956999999994</v>
      </c>
      <c r="AH544" t="s">
        <v>1715</v>
      </c>
      <c r="AI544" t="s">
        <v>63</v>
      </c>
      <c r="AJ544" t="s">
        <v>6355</v>
      </c>
      <c r="AK544">
        <v>194497</v>
      </c>
      <c r="AM544" t="s">
        <v>6356</v>
      </c>
      <c r="AN544" t="s">
        <v>6357</v>
      </c>
      <c r="AO544" t="s">
        <v>6358</v>
      </c>
      <c r="AP544" t="s">
        <v>68</v>
      </c>
      <c r="AR544" t="s">
        <v>6359</v>
      </c>
      <c r="AS544" t="s">
        <v>6360</v>
      </c>
      <c r="AT544" t="s">
        <v>6361</v>
      </c>
      <c r="AW544" s="14" t="s">
        <v>72</v>
      </c>
      <c r="AX544" s="14" t="s">
        <v>73</v>
      </c>
      <c r="AY544" s="14" t="s">
        <v>74</v>
      </c>
    </row>
    <row r="545" spans="1:51" ht="15" customHeight="1" x14ac:dyDescent="0.4">
      <c r="A545" s="12">
        <v>3875</v>
      </c>
      <c r="B545" s="21" t="s">
        <v>6362</v>
      </c>
      <c r="C545" s="13" t="s">
        <v>6363</v>
      </c>
      <c r="D545" s="25" t="s">
        <v>6363</v>
      </c>
      <c r="E545" s="13"/>
      <c r="F545" s="41"/>
      <c r="G545" s="41"/>
      <c r="H545" s="41"/>
      <c r="I545" s="14" t="s">
        <v>49</v>
      </c>
      <c r="J545" s="15">
        <v>44794</v>
      </c>
      <c r="K545" t="s">
        <v>2719</v>
      </c>
      <c r="L545" t="s">
        <v>51</v>
      </c>
      <c r="M545" t="s">
        <v>52</v>
      </c>
      <c r="N545" t="s">
        <v>53</v>
      </c>
      <c r="O545" t="s">
        <v>6296</v>
      </c>
      <c r="P545" t="s">
        <v>6297</v>
      </c>
      <c r="Q545" t="s">
        <v>56</v>
      </c>
      <c r="R545" s="21" t="s">
        <v>6298</v>
      </c>
      <c r="S545" s="21"/>
      <c r="T545" t="s">
        <v>6364</v>
      </c>
      <c r="U545" t="s">
        <v>6365</v>
      </c>
      <c r="Y545" t="s">
        <v>60</v>
      </c>
      <c r="AA545" s="15"/>
      <c r="AC545">
        <v>42.057929999999999</v>
      </c>
      <c r="AD545">
        <v>-73.350320999999994</v>
      </c>
      <c r="AH545" t="s">
        <v>1715</v>
      </c>
      <c r="AI545" t="s">
        <v>63</v>
      </c>
      <c r="AJ545" t="s">
        <v>6366</v>
      </c>
      <c r="AK545">
        <v>194450</v>
      </c>
      <c r="AM545" t="s">
        <v>6367</v>
      </c>
      <c r="AN545" t="s">
        <v>6368</v>
      </c>
      <c r="AO545" t="s">
        <v>6369</v>
      </c>
      <c r="AP545" t="s">
        <v>68</v>
      </c>
      <c r="AR545" t="s">
        <v>6370</v>
      </c>
      <c r="AS545" t="s">
        <v>6371</v>
      </c>
      <c r="AT545" t="s">
        <v>6372</v>
      </c>
      <c r="AW545" s="14" t="s">
        <v>72</v>
      </c>
      <c r="AX545" s="14" t="s">
        <v>73</v>
      </c>
      <c r="AY545" s="14" t="s">
        <v>74</v>
      </c>
    </row>
    <row r="546" spans="1:51" ht="15" customHeight="1" x14ac:dyDescent="0.4">
      <c r="A546" s="12">
        <v>3876</v>
      </c>
      <c r="B546" s="21" t="s">
        <v>6373</v>
      </c>
      <c r="C546" s="13" t="s">
        <v>6374</v>
      </c>
      <c r="D546" s="25" t="s">
        <v>6374</v>
      </c>
      <c r="E546" s="13"/>
      <c r="F546" s="41"/>
      <c r="G546" s="41"/>
      <c r="H546" s="41"/>
      <c r="I546" s="14" t="s">
        <v>1878</v>
      </c>
      <c r="J546" s="15">
        <v>44794</v>
      </c>
      <c r="K546" t="s">
        <v>2719</v>
      </c>
      <c r="L546" t="s">
        <v>51</v>
      </c>
      <c r="M546" t="s">
        <v>52</v>
      </c>
      <c r="N546" t="s">
        <v>53</v>
      </c>
      <c r="O546" t="s">
        <v>6296</v>
      </c>
      <c r="P546" t="s">
        <v>6297</v>
      </c>
      <c r="Q546" t="s">
        <v>56</v>
      </c>
      <c r="R546" s="21" t="s">
        <v>6298</v>
      </c>
      <c r="S546" s="21"/>
      <c r="T546" t="s">
        <v>6375</v>
      </c>
      <c r="U546" t="s">
        <v>6376</v>
      </c>
      <c r="Y546" t="s">
        <v>1881</v>
      </c>
      <c r="AA546" s="15"/>
      <c r="AC546">
        <v>42.057557000000003</v>
      </c>
      <c r="AD546">
        <v>-73.350425999999999</v>
      </c>
      <c r="AH546" t="s">
        <v>1715</v>
      </c>
      <c r="AI546" t="s">
        <v>63</v>
      </c>
      <c r="AJ546" t="s">
        <v>6377</v>
      </c>
      <c r="AK546">
        <v>194161</v>
      </c>
      <c r="AM546" t="s">
        <v>6378</v>
      </c>
      <c r="AN546" t="s">
        <v>6379</v>
      </c>
      <c r="AO546" t="s">
        <v>6380</v>
      </c>
      <c r="AP546" t="s">
        <v>68</v>
      </c>
      <c r="AR546" t="s">
        <v>6381</v>
      </c>
      <c r="AS546" t="s">
        <v>6382</v>
      </c>
      <c r="AT546" t="s">
        <v>6383</v>
      </c>
      <c r="AW546" s="14" t="s">
        <v>72</v>
      </c>
      <c r="AX546" s="14" t="s">
        <v>73</v>
      </c>
      <c r="AY546" s="14" t="s">
        <v>1723</v>
      </c>
    </row>
    <row r="547" spans="1:51" ht="15" customHeight="1" x14ac:dyDescent="0.4">
      <c r="A547" s="12">
        <v>3877</v>
      </c>
      <c r="B547" s="21" t="s">
        <v>6384</v>
      </c>
      <c r="C547" s="13" t="s">
        <v>6385</v>
      </c>
      <c r="D547" s="25" t="s">
        <v>6385</v>
      </c>
      <c r="E547" s="13"/>
      <c r="F547" s="41"/>
      <c r="G547" s="41"/>
      <c r="H547" s="41"/>
      <c r="I547" s="14" t="s">
        <v>49</v>
      </c>
      <c r="J547" s="15">
        <v>44794</v>
      </c>
      <c r="K547" t="s">
        <v>2719</v>
      </c>
      <c r="L547" t="s">
        <v>51</v>
      </c>
      <c r="M547" t="s">
        <v>52</v>
      </c>
      <c r="N547" t="s">
        <v>53</v>
      </c>
      <c r="O547" t="s">
        <v>6296</v>
      </c>
      <c r="P547" t="s">
        <v>6297</v>
      </c>
      <c r="Q547" t="s">
        <v>56</v>
      </c>
      <c r="R547" s="21" t="s">
        <v>6386</v>
      </c>
      <c r="S547" s="21"/>
      <c r="T547" t="s">
        <v>6387</v>
      </c>
      <c r="U547" t="s">
        <v>6388</v>
      </c>
      <c r="Y547" t="s">
        <v>60</v>
      </c>
      <c r="AA547" s="15"/>
      <c r="AC547">
        <v>42.287503000000001</v>
      </c>
      <c r="AD547">
        <v>-73.315911999999997</v>
      </c>
      <c r="AH547" t="s">
        <v>1715</v>
      </c>
      <c r="AI547" t="s">
        <v>63</v>
      </c>
      <c r="AJ547" t="s">
        <v>6389</v>
      </c>
      <c r="AK547">
        <v>194583</v>
      </c>
      <c r="AM547" t="s">
        <v>6390</v>
      </c>
      <c r="AN547" t="s">
        <v>6391</v>
      </c>
      <c r="AO547" t="s">
        <v>6392</v>
      </c>
      <c r="AP547" t="s">
        <v>68</v>
      </c>
      <c r="AR547" t="s">
        <v>6393</v>
      </c>
      <c r="AS547" t="s">
        <v>6394</v>
      </c>
      <c r="AT547" t="s">
        <v>6395</v>
      </c>
      <c r="AW547" s="14" t="s">
        <v>72</v>
      </c>
      <c r="AX547" s="14" t="s">
        <v>73</v>
      </c>
      <c r="AY547" s="14" t="s">
        <v>74</v>
      </c>
    </row>
    <row r="548" spans="1:51" ht="15" customHeight="1" x14ac:dyDescent="0.4">
      <c r="A548" s="12">
        <v>3878</v>
      </c>
      <c r="B548" s="21" t="s">
        <v>6396</v>
      </c>
      <c r="C548" s="13" t="s">
        <v>6397</v>
      </c>
      <c r="D548" s="25" t="s">
        <v>6397</v>
      </c>
      <c r="E548" s="13"/>
      <c r="F548" s="41"/>
      <c r="G548" s="41"/>
      <c r="H548" s="41"/>
      <c r="I548" s="14" t="s">
        <v>49</v>
      </c>
      <c r="J548" s="15">
        <v>44794</v>
      </c>
      <c r="K548" t="s">
        <v>2719</v>
      </c>
      <c r="L548" t="s">
        <v>51</v>
      </c>
      <c r="M548" t="s">
        <v>52</v>
      </c>
      <c r="N548" t="s">
        <v>53</v>
      </c>
      <c r="O548" t="s">
        <v>6296</v>
      </c>
      <c r="P548" t="s">
        <v>6297</v>
      </c>
      <c r="Q548" t="s">
        <v>56</v>
      </c>
      <c r="R548" s="21" t="s">
        <v>6386</v>
      </c>
      <c r="S548" s="21"/>
      <c r="T548" t="s">
        <v>6398</v>
      </c>
      <c r="U548" t="s">
        <v>6399</v>
      </c>
      <c r="Y548" t="s">
        <v>60</v>
      </c>
      <c r="AA548" s="15"/>
      <c r="AC548">
        <v>42.286952999999997</v>
      </c>
      <c r="AD548">
        <v>-73.315492000000006</v>
      </c>
      <c r="AH548" t="s">
        <v>1715</v>
      </c>
      <c r="AI548" t="s">
        <v>63</v>
      </c>
      <c r="AJ548" t="s">
        <v>6400</v>
      </c>
      <c r="AK548">
        <v>194582</v>
      </c>
      <c r="AM548" t="s">
        <v>6401</v>
      </c>
      <c r="AN548" t="s">
        <v>6402</v>
      </c>
      <c r="AO548" t="s">
        <v>6403</v>
      </c>
      <c r="AP548" t="s">
        <v>68</v>
      </c>
      <c r="AR548" t="s">
        <v>6404</v>
      </c>
      <c r="AS548" t="s">
        <v>6405</v>
      </c>
      <c r="AT548" t="s">
        <v>6406</v>
      </c>
      <c r="AW548" s="14" t="s">
        <v>72</v>
      </c>
      <c r="AX548" s="14" t="s">
        <v>73</v>
      </c>
      <c r="AY548" s="14" t="s">
        <v>74</v>
      </c>
    </row>
    <row r="549" spans="1:51" ht="15" customHeight="1" x14ac:dyDescent="0.4">
      <c r="A549" s="12">
        <v>3879</v>
      </c>
      <c r="B549" s="21" t="s">
        <v>6407</v>
      </c>
      <c r="C549" s="13" t="s">
        <v>6408</v>
      </c>
      <c r="D549" s="25" t="s">
        <v>6408</v>
      </c>
      <c r="E549" s="13"/>
      <c r="F549" s="41"/>
      <c r="G549" s="41"/>
      <c r="H549" s="41"/>
      <c r="I549" s="14" t="s">
        <v>49</v>
      </c>
      <c r="J549" s="15">
        <v>44794</v>
      </c>
      <c r="K549" t="s">
        <v>2719</v>
      </c>
      <c r="L549" t="s">
        <v>51</v>
      </c>
      <c r="M549" t="s">
        <v>52</v>
      </c>
      <c r="N549" t="s">
        <v>53</v>
      </c>
      <c r="O549" t="s">
        <v>6296</v>
      </c>
      <c r="P549" t="s">
        <v>6297</v>
      </c>
      <c r="Q549" t="s">
        <v>56</v>
      </c>
      <c r="R549" s="21" t="s">
        <v>6386</v>
      </c>
      <c r="S549" s="21"/>
      <c r="T549" t="s">
        <v>6409</v>
      </c>
      <c r="U549" t="s">
        <v>6410</v>
      </c>
      <c r="Y549" t="s">
        <v>60</v>
      </c>
      <c r="AA549" s="15"/>
      <c r="AC549">
        <v>42.286675000000002</v>
      </c>
      <c r="AD549">
        <v>-73.317187000000004</v>
      </c>
      <c r="AH549" t="s">
        <v>1715</v>
      </c>
      <c r="AI549" t="s">
        <v>63</v>
      </c>
      <c r="AJ549" t="s">
        <v>6411</v>
      </c>
      <c r="AK549">
        <v>194581</v>
      </c>
      <c r="AM549" t="s">
        <v>6412</v>
      </c>
      <c r="AN549" t="s">
        <v>6413</v>
      </c>
      <c r="AO549" t="s">
        <v>6414</v>
      </c>
      <c r="AP549" t="s">
        <v>68</v>
      </c>
      <c r="AR549" t="s">
        <v>6415</v>
      </c>
      <c r="AS549" t="s">
        <v>6416</v>
      </c>
      <c r="AT549" t="s">
        <v>6417</v>
      </c>
      <c r="AW549" s="14" t="s">
        <v>72</v>
      </c>
      <c r="AX549" s="14" t="s">
        <v>73</v>
      </c>
      <c r="AY549" s="14" t="s">
        <v>74</v>
      </c>
    </row>
    <row r="550" spans="1:51" ht="15" customHeight="1" x14ac:dyDescent="0.4">
      <c r="A550" s="12">
        <v>3880</v>
      </c>
      <c r="B550" s="21" t="s">
        <v>6418</v>
      </c>
      <c r="C550" s="13" t="s">
        <v>6419</v>
      </c>
      <c r="D550" s="25" t="s">
        <v>6419</v>
      </c>
      <c r="E550" s="13"/>
      <c r="F550" s="41"/>
      <c r="G550" s="41"/>
      <c r="H550" s="41"/>
      <c r="I550" s="14" t="s">
        <v>49</v>
      </c>
      <c r="J550" s="15">
        <v>44794</v>
      </c>
      <c r="K550" t="s">
        <v>2719</v>
      </c>
      <c r="L550" t="s">
        <v>51</v>
      </c>
      <c r="M550" t="s">
        <v>52</v>
      </c>
      <c r="N550" t="s">
        <v>53</v>
      </c>
      <c r="O550" t="s">
        <v>6296</v>
      </c>
      <c r="P550" t="s">
        <v>6297</v>
      </c>
      <c r="Q550" t="s">
        <v>56</v>
      </c>
      <c r="R550" s="21" t="s">
        <v>6386</v>
      </c>
      <c r="S550" s="21"/>
      <c r="T550" t="s">
        <v>6387</v>
      </c>
      <c r="U550" t="s">
        <v>6420</v>
      </c>
      <c r="Y550" t="s">
        <v>60</v>
      </c>
      <c r="AA550" s="15"/>
      <c r="AC550">
        <v>42.289945000000003</v>
      </c>
      <c r="AD550">
        <v>-73.317931000000002</v>
      </c>
      <c r="AH550" t="s">
        <v>1715</v>
      </c>
      <c r="AI550" t="s">
        <v>63</v>
      </c>
      <c r="AJ550" t="s">
        <v>6421</v>
      </c>
      <c r="AK550">
        <v>194580</v>
      </c>
      <c r="AM550" t="s">
        <v>6422</v>
      </c>
      <c r="AN550" t="s">
        <v>6423</v>
      </c>
      <c r="AO550" t="s">
        <v>6424</v>
      </c>
      <c r="AP550" t="s">
        <v>68</v>
      </c>
      <c r="AR550" t="s">
        <v>6425</v>
      </c>
      <c r="AS550" t="s">
        <v>6426</v>
      </c>
      <c r="AT550" t="s">
        <v>6427</v>
      </c>
      <c r="AW550" s="14" t="s">
        <v>72</v>
      </c>
      <c r="AX550" s="14" t="s">
        <v>73</v>
      </c>
      <c r="AY550" s="14" t="s">
        <v>74</v>
      </c>
    </row>
    <row r="551" spans="1:51" ht="15" customHeight="1" x14ac:dyDescent="0.4">
      <c r="A551" s="12">
        <v>3881</v>
      </c>
      <c r="B551" s="21" t="s">
        <v>6428</v>
      </c>
      <c r="C551" s="13" t="s">
        <v>6429</v>
      </c>
      <c r="D551" s="25" t="s">
        <v>6429</v>
      </c>
      <c r="E551" s="13"/>
      <c r="F551" s="41"/>
      <c r="G551" s="41"/>
      <c r="H551" s="41"/>
      <c r="I551" s="14" t="s">
        <v>49</v>
      </c>
      <c r="J551" s="15">
        <v>44794</v>
      </c>
      <c r="K551" t="s">
        <v>2719</v>
      </c>
      <c r="L551" t="s">
        <v>51</v>
      </c>
      <c r="M551" t="s">
        <v>52</v>
      </c>
      <c r="N551" t="s">
        <v>53</v>
      </c>
      <c r="O551" t="s">
        <v>6296</v>
      </c>
      <c r="P551" t="s">
        <v>6297</v>
      </c>
      <c r="Q551" t="s">
        <v>56</v>
      </c>
      <c r="R551" s="21" t="s">
        <v>6386</v>
      </c>
      <c r="S551" s="21"/>
      <c r="T551" t="s">
        <v>6430</v>
      </c>
      <c r="U551" t="s">
        <v>6431</v>
      </c>
      <c r="Y551" t="s">
        <v>60</v>
      </c>
      <c r="AA551" s="15"/>
      <c r="AC551">
        <v>42.290072000000002</v>
      </c>
      <c r="AD551">
        <v>-73.319390999999996</v>
      </c>
      <c r="AH551" t="s">
        <v>1715</v>
      </c>
      <c r="AI551" t="s">
        <v>63</v>
      </c>
      <c r="AJ551" t="s">
        <v>6432</v>
      </c>
      <c r="AK551">
        <v>194579</v>
      </c>
      <c r="AM551" t="s">
        <v>6433</v>
      </c>
      <c r="AN551" t="s">
        <v>6434</v>
      </c>
      <c r="AO551" t="s">
        <v>6435</v>
      </c>
      <c r="AP551" t="s">
        <v>68</v>
      </c>
      <c r="AR551" t="s">
        <v>6436</v>
      </c>
      <c r="AS551" t="s">
        <v>6437</v>
      </c>
      <c r="AT551" t="s">
        <v>6438</v>
      </c>
      <c r="AW551" s="14" t="s">
        <v>72</v>
      </c>
      <c r="AX551" s="14" t="s">
        <v>73</v>
      </c>
      <c r="AY551" s="14" t="s">
        <v>74</v>
      </c>
    </row>
    <row r="552" spans="1:51" ht="15" customHeight="1" x14ac:dyDescent="0.4">
      <c r="A552" s="12">
        <v>3882</v>
      </c>
      <c r="B552" s="21" t="s">
        <v>6439</v>
      </c>
      <c r="C552" s="13" t="s">
        <v>6440</v>
      </c>
      <c r="D552" s="25" t="s">
        <v>6440</v>
      </c>
      <c r="E552" s="13"/>
      <c r="F552" s="43" t="s">
        <v>49</v>
      </c>
      <c r="G552" s="43" t="s">
        <v>8095</v>
      </c>
      <c r="H552" s="43"/>
      <c r="I552" s="14" t="s">
        <v>49</v>
      </c>
      <c r="J552" s="15">
        <v>44794</v>
      </c>
      <c r="K552" t="s">
        <v>2719</v>
      </c>
      <c r="L552" t="s">
        <v>51</v>
      </c>
      <c r="M552" t="s">
        <v>52</v>
      </c>
      <c r="N552" t="s">
        <v>53</v>
      </c>
      <c r="O552" t="s">
        <v>6296</v>
      </c>
      <c r="P552" t="s">
        <v>6297</v>
      </c>
      <c r="Q552" t="s">
        <v>56</v>
      </c>
      <c r="R552" s="21" t="s">
        <v>6441</v>
      </c>
      <c r="S552" s="21"/>
      <c r="T552" t="s">
        <v>6442</v>
      </c>
      <c r="U552" t="s">
        <v>6443</v>
      </c>
      <c r="Y552" t="s">
        <v>60</v>
      </c>
      <c r="AA552" s="15"/>
      <c r="AC552">
        <v>42.084119999999999</v>
      </c>
      <c r="AD552">
        <v>-73.367427000000006</v>
      </c>
      <c r="AE552" t="s">
        <v>6444</v>
      </c>
      <c r="AH552" t="s">
        <v>1715</v>
      </c>
      <c r="AI552" t="s">
        <v>63</v>
      </c>
      <c r="AJ552" t="s">
        <v>6445</v>
      </c>
      <c r="AK552">
        <v>192611</v>
      </c>
      <c r="AM552" t="s">
        <v>6446</v>
      </c>
      <c r="AN552" t="s">
        <v>6447</v>
      </c>
      <c r="AO552" t="s">
        <v>6448</v>
      </c>
      <c r="AP552" t="s">
        <v>68</v>
      </c>
      <c r="AR552" t="s">
        <v>6449</v>
      </c>
      <c r="AS552" t="s">
        <v>6450</v>
      </c>
      <c r="AT552" t="s">
        <v>6451</v>
      </c>
      <c r="AW552" s="14" t="s">
        <v>72</v>
      </c>
      <c r="AX552" s="14" t="s">
        <v>73</v>
      </c>
      <c r="AY552" s="14" t="s">
        <v>74</v>
      </c>
    </row>
    <row r="553" spans="1:51" ht="15" customHeight="1" x14ac:dyDescent="0.4">
      <c r="A553" s="12">
        <v>3883</v>
      </c>
      <c r="B553" s="21" t="s">
        <v>6452</v>
      </c>
      <c r="C553" s="13" t="s">
        <v>6453</v>
      </c>
      <c r="D553" s="25" t="s">
        <v>6453</v>
      </c>
      <c r="E553" s="13"/>
      <c r="F553" s="41"/>
      <c r="G553" s="41"/>
      <c r="H553" s="41"/>
      <c r="I553" s="14" t="s">
        <v>1878</v>
      </c>
      <c r="J553" s="15">
        <v>44794</v>
      </c>
      <c r="K553" t="s">
        <v>2719</v>
      </c>
      <c r="L553" t="s">
        <v>51</v>
      </c>
      <c r="M553" t="s">
        <v>52</v>
      </c>
      <c r="N553" t="s">
        <v>53</v>
      </c>
      <c r="O553" t="s">
        <v>6296</v>
      </c>
      <c r="P553" t="s">
        <v>6297</v>
      </c>
      <c r="Q553" t="s">
        <v>56</v>
      </c>
      <c r="R553" s="21" t="s">
        <v>6441</v>
      </c>
      <c r="S553" s="21"/>
      <c r="T553" t="s">
        <v>5900</v>
      </c>
      <c r="U553" t="s">
        <v>6454</v>
      </c>
      <c r="Y553" t="s">
        <v>1881</v>
      </c>
      <c r="AA553" s="15"/>
      <c r="AC553">
        <v>42.083770999999999</v>
      </c>
      <c r="AD553">
        <v>-73.368753999999996</v>
      </c>
      <c r="AE553" t="s">
        <v>6455</v>
      </c>
      <c r="AH553" t="s">
        <v>1715</v>
      </c>
      <c r="AI553" t="s">
        <v>63</v>
      </c>
      <c r="AJ553" t="s">
        <v>6456</v>
      </c>
      <c r="AK553">
        <v>194162</v>
      </c>
      <c r="AM553" t="s">
        <v>6457</v>
      </c>
      <c r="AN553" t="s">
        <v>6458</v>
      </c>
      <c r="AO553" t="s">
        <v>6459</v>
      </c>
      <c r="AP553" t="s">
        <v>68</v>
      </c>
      <c r="AR553" t="s">
        <v>6460</v>
      </c>
      <c r="AS553" t="s">
        <v>6461</v>
      </c>
      <c r="AT553" t="s">
        <v>6462</v>
      </c>
      <c r="AW553" s="14" t="s">
        <v>72</v>
      </c>
      <c r="AX553" s="14" t="s">
        <v>73</v>
      </c>
      <c r="AY553" s="14" t="s">
        <v>1723</v>
      </c>
    </row>
    <row r="554" spans="1:51" ht="15" customHeight="1" x14ac:dyDescent="0.4">
      <c r="A554" s="12">
        <v>3884</v>
      </c>
      <c r="B554" s="21" t="s">
        <v>6463</v>
      </c>
      <c r="C554" s="13" t="s">
        <v>6464</v>
      </c>
      <c r="D554" s="25" t="s">
        <v>6464</v>
      </c>
      <c r="E554" s="13"/>
      <c r="F554" s="41"/>
      <c r="G554" s="41"/>
      <c r="H554" s="41"/>
      <c r="I554" s="14" t="s">
        <v>1878</v>
      </c>
      <c r="J554" s="15">
        <v>44794</v>
      </c>
      <c r="K554" t="s">
        <v>2719</v>
      </c>
      <c r="L554" t="s">
        <v>51</v>
      </c>
      <c r="M554" t="s">
        <v>52</v>
      </c>
      <c r="N554" t="s">
        <v>53</v>
      </c>
      <c r="O554" t="s">
        <v>6296</v>
      </c>
      <c r="P554" t="s">
        <v>6297</v>
      </c>
      <c r="Q554" t="s">
        <v>56</v>
      </c>
      <c r="R554" s="21" t="s">
        <v>6441</v>
      </c>
      <c r="S554" s="21"/>
      <c r="T554" t="s">
        <v>5900</v>
      </c>
      <c r="U554" t="s">
        <v>6465</v>
      </c>
      <c r="Y554" t="s">
        <v>1881</v>
      </c>
      <c r="AA554" s="15"/>
      <c r="AC554">
        <v>42.080843999999999</v>
      </c>
      <c r="AD554">
        <v>-73.370311999999998</v>
      </c>
      <c r="AE554" t="s">
        <v>3984</v>
      </c>
      <c r="AH554" t="s">
        <v>1715</v>
      </c>
      <c r="AI554" t="s">
        <v>63</v>
      </c>
      <c r="AJ554" t="s">
        <v>6466</v>
      </c>
      <c r="AK554">
        <v>194163</v>
      </c>
      <c r="AM554" t="s">
        <v>6467</v>
      </c>
      <c r="AN554" t="s">
        <v>6468</v>
      </c>
      <c r="AO554" t="s">
        <v>6469</v>
      </c>
      <c r="AP554" t="s">
        <v>68</v>
      </c>
      <c r="AR554" t="s">
        <v>6470</v>
      </c>
      <c r="AS554" t="s">
        <v>6471</v>
      </c>
      <c r="AT554" t="s">
        <v>6472</v>
      </c>
      <c r="AW554" s="14" t="s">
        <v>72</v>
      </c>
      <c r="AX554" s="14" t="s">
        <v>73</v>
      </c>
      <c r="AY554" s="14" t="s">
        <v>1723</v>
      </c>
    </row>
    <row r="555" spans="1:51" ht="15" customHeight="1" x14ac:dyDescent="0.4">
      <c r="A555" s="12">
        <v>3885</v>
      </c>
      <c r="B555" s="21" t="s">
        <v>6473</v>
      </c>
      <c r="C555" s="13" t="s">
        <v>6474</v>
      </c>
      <c r="D555" s="25" t="s">
        <v>6474</v>
      </c>
      <c r="E555" s="13"/>
      <c r="F555" s="41"/>
      <c r="G555" s="41"/>
      <c r="H555" s="41"/>
      <c r="I555" s="14" t="s">
        <v>1878</v>
      </c>
      <c r="J555" s="15">
        <v>44794</v>
      </c>
      <c r="K555" t="s">
        <v>2719</v>
      </c>
      <c r="L555" t="s">
        <v>51</v>
      </c>
      <c r="M555" t="s">
        <v>52</v>
      </c>
      <c r="N555" t="s">
        <v>53</v>
      </c>
      <c r="O555" t="s">
        <v>6296</v>
      </c>
      <c r="P555" t="s">
        <v>6297</v>
      </c>
      <c r="Q555" t="s">
        <v>56</v>
      </c>
      <c r="R555" s="21" t="s">
        <v>6441</v>
      </c>
      <c r="S555" s="21"/>
      <c r="T555" t="s">
        <v>6475</v>
      </c>
      <c r="U555" t="s">
        <v>6476</v>
      </c>
      <c r="Y555" t="s">
        <v>1881</v>
      </c>
      <c r="AA555" s="15"/>
      <c r="AC555">
        <v>42.079132000000001</v>
      </c>
      <c r="AD555">
        <v>-73.371131000000005</v>
      </c>
      <c r="AE555" t="s">
        <v>5185</v>
      </c>
      <c r="AH555" t="s">
        <v>1715</v>
      </c>
      <c r="AI555" t="s">
        <v>63</v>
      </c>
      <c r="AJ555" t="s">
        <v>6477</v>
      </c>
      <c r="AK555">
        <v>192581</v>
      </c>
      <c r="AM555" t="s">
        <v>6478</v>
      </c>
      <c r="AN555" t="s">
        <v>6479</v>
      </c>
      <c r="AO555" t="s">
        <v>6480</v>
      </c>
      <c r="AP555" t="s">
        <v>68</v>
      </c>
      <c r="AR555" t="s">
        <v>6481</v>
      </c>
      <c r="AS555" t="s">
        <v>6482</v>
      </c>
      <c r="AT555" t="s">
        <v>6483</v>
      </c>
      <c r="AW555" s="14" t="s">
        <v>72</v>
      </c>
      <c r="AX555" s="14" t="s">
        <v>73</v>
      </c>
      <c r="AY555" s="14" t="s">
        <v>1723</v>
      </c>
    </row>
    <row r="556" spans="1:51" ht="15" customHeight="1" x14ac:dyDescent="0.4">
      <c r="A556" s="12">
        <v>3886</v>
      </c>
      <c r="B556" s="21" t="s">
        <v>6484</v>
      </c>
      <c r="C556" s="13" t="s">
        <v>6485</v>
      </c>
      <c r="D556" s="25" t="s">
        <v>6485</v>
      </c>
      <c r="E556" s="13"/>
      <c r="F556" s="41"/>
      <c r="G556" s="41"/>
      <c r="H556" s="41"/>
      <c r="I556" s="14" t="s">
        <v>49</v>
      </c>
      <c r="J556" s="15">
        <v>44795</v>
      </c>
      <c r="K556" t="s">
        <v>2719</v>
      </c>
      <c r="L556" t="s">
        <v>51</v>
      </c>
      <c r="M556" t="s">
        <v>52</v>
      </c>
      <c r="N556" t="s">
        <v>53</v>
      </c>
      <c r="O556" t="s">
        <v>6296</v>
      </c>
      <c r="P556" t="s">
        <v>6297</v>
      </c>
      <c r="Q556" t="s">
        <v>56</v>
      </c>
      <c r="R556" s="21" t="s">
        <v>6486</v>
      </c>
      <c r="S556" s="21"/>
      <c r="T556" t="s">
        <v>6487</v>
      </c>
      <c r="U556" t="s">
        <v>6488</v>
      </c>
      <c r="Y556" t="s">
        <v>60</v>
      </c>
      <c r="AA556" s="15"/>
      <c r="AC556">
        <v>42.084547999999998</v>
      </c>
      <c r="AD556">
        <v>-73.385045000000005</v>
      </c>
      <c r="AE556" t="s">
        <v>225</v>
      </c>
      <c r="AH556" t="s">
        <v>1715</v>
      </c>
      <c r="AI556" t="s">
        <v>63</v>
      </c>
      <c r="AJ556" t="s">
        <v>6489</v>
      </c>
      <c r="AK556">
        <v>194578</v>
      </c>
      <c r="AM556" t="s">
        <v>6490</v>
      </c>
      <c r="AN556" t="s">
        <v>6491</v>
      </c>
      <c r="AO556" t="s">
        <v>6492</v>
      </c>
      <c r="AP556" t="s">
        <v>68</v>
      </c>
      <c r="AR556" t="s">
        <v>6493</v>
      </c>
      <c r="AS556" t="s">
        <v>6494</v>
      </c>
      <c r="AT556" t="s">
        <v>6495</v>
      </c>
      <c r="AW556" s="14" t="s">
        <v>72</v>
      </c>
      <c r="AX556" s="14" t="s">
        <v>73</v>
      </c>
      <c r="AY556" s="14" t="s">
        <v>74</v>
      </c>
    </row>
    <row r="557" spans="1:51" ht="15" customHeight="1" x14ac:dyDescent="0.4">
      <c r="A557" s="12">
        <v>3887</v>
      </c>
      <c r="B557" s="21" t="s">
        <v>6496</v>
      </c>
      <c r="C557" s="13" t="s">
        <v>6497</v>
      </c>
      <c r="D557" s="25" t="s">
        <v>6497</v>
      </c>
      <c r="E557" s="13"/>
      <c r="F557" s="45" t="s">
        <v>49</v>
      </c>
      <c r="G557" s="45" t="s">
        <v>8115</v>
      </c>
      <c r="H557" s="45"/>
      <c r="I557" s="14" t="s">
        <v>49</v>
      </c>
      <c r="J557" s="15">
        <v>44795</v>
      </c>
      <c r="K557" t="s">
        <v>2719</v>
      </c>
      <c r="L557" t="s">
        <v>51</v>
      </c>
      <c r="M557" t="s">
        <v>52</v>
      </c>
      <c r="N557" t="s">
        <v>53</v>
      </c>
      <c r="O557" t="s">
        <v>6296</v>
      </c>
      <c r="P557" t="s">
        <v>6297</v>
      </c>
      <c r="Q557" t="s">
        <v>56</v>
      </c>
      <c r="R557" s="21" t="s">
        <v>6486</v>
      </c>
      <c r="S557" s="21"/>
      <c r="T557" t="s">
        <v>6498</v>
      </c>
      <c r="U557" t="s">
        <v>6499</v>
      </c>
      <c r="X557" t="s">
        <v>2440</v>
      </c>
      <c r="Y557" t="s">
        <v>60</v>
      </c>
      <c r="AA557" s="15"/>
      <c r="AC557">
        <v>42.084218</v>
      </c>
      <c r="AD557">
        <v>-73.385463999999999</v>
      </c>
      <c r="AE557" t="s">
        <v>2808</v>
      </c>
      <c r="AH557" t="s">
        <v>1715</v>
      </c>
      <c r="AI557" t="s">
        <v>63</v>
      </c>
      <c r="AJ557" t="s">
        <v>6500</v>
      </c>
      <c r="AK557">
        <v>192610</v>
      </c>
      <c r="AM557" t="s">
        <v>6501</v>
      </c>
      <c r="AN557" t="s">
        <v>6502</v>
      </c>
      <c r="AO557" t="s">
        <v>6503</v>
      </c>
      <c r="AP557" t="s">
        <v>68</v>
      </c>
      <c r="AR557" t="s">
        <v>6504</v>
      </c>
      <c r="AS557" t="s">
        <v>6505</v>
      </c>
      <c r="AT557" t="s">
        <v>6506</v>
      </c>
      <c r="AW557" s="14" t="s">
        <v>72</v>
      </c>
      <c r="AX557" s="14" t="s">
        <v>73</v>
      </c>
      <c r="AY557" s="14" t="s">
        <v>74</v>
      </c>
    </row>
    <row r="558" spans="1:51" ht="15" customHeight="1" x14ac:dyDescent="0.4">
      <c r="A558" s="12">
        <v>3888</v>
      </c>
      <c r="B558" s="21" t="s">
        <v>6507</v>
      </c>
      <c r="C558" s="13" t="s">
        <v>6508</v>
      </c>
      <c r="D558" s="25" t="s">
        <v>6508</v>
      </c>
      <c r="E558" s="13"/>
      <c r="F558" s="41" t="s">
        <v>1878</v>
      </c>
      <c r="G558" s="41"/>
      <c r="H558" s="41"/>
      <c r="I558" s="14" t="s">
        <v>49</v>
      </c>
      <c r="J558" s="15">
        <v>44795</v>
      </c>
      <c r="K558" t="s">
        <v>2719</v>
      </c>
      <c r="L558" t="s">
        <v>51</v>
      </c>
      <c r="M558" t="s">
        <v>52</v>
      </c>
      <c r="N558" t="s">
        <v>53</v>
      </c>
      <c r="O558" t="s">
        <v>6296</v>
      </c>
      <c r="P558" t="s">
        <v>6297</v>
      </c>
      <c r="Q558" t="s">
        <v>56</v>
      </c>
      <c r="R558" s="21" t="s">
        <v>6486</v>
      </c>
      <c r="S558" s="21"/>
      <c r="T558" t="s">
        <v>6509</v>
      </c>
      <c r="U558" t="s">
        <v>6510</v>
      </c>
      <c r="Y558" t="s">
        <v>60</v>
      </c>
      <c r="AA558" s="15"/>
      <c r="AC558">
        <v>42.084738000000002</v>
      </c>
      <c r="AD558">
        <v>-73.385193000000001</v>
      </c>
      <c r="AE558" t="s">
        <v>2285</v>
      </c>
      <c r="AH558" t="s">
        <v>1715</v>
      </c>
      <c r="AI558" t="s">
        <v>63</v>
      </c>
      <c r="AJ558" t="s">
        <v>6511</v>
      </c>
      <c r="AK558">
        <v>192607</v>
      </c>
      <c r="AM558" t="s">
        <v>6512</v>
      </c>
      <c r="AN558" t="s">
        <v>6513</v>
      </c>
      <c r="AO558" t="s">
        <v>6514</v>
      </c>
      <c r="AP558" t="s">
        <v>68</v>
      </c>
      <c r="AR558" t="s">
        <v>6515</v>
      </c>
      <c r="AS558" t="s">
        <v>6516</v>
      </c>
      <c r="AT558" t="s">
        <v>6517</v>
      </c>
      <c r="AW558" s="14" t="s">
        <v>72</v>
      </c>
      <c r="AX558" s="14" t="s">
        <v>73</v>
      </c>
      <c r="AY558" s="14" t="s">
        <v>74</v>
      </c>
    </row>
    <row r="559" spans="1:51" ht="15" customHeight="1" x14ac:dyDescent="0.4">
      <c r="A559" s="12">
        <v>3889</v>
      </c>
      <c r="B559" s="21" t="s">
        <v>6518</v>
      </c>
      <c r="C559" s="13" t="s">
        <v>6519</v>
      </c>
      <c r="D559" s="25" t="s">
        <v>6519</v>
      </c>
      <c r="E559" s="13"/>
      <c r="F559" s="41"/>
      <c r="G559" s="41"/>
      <c r="H559" s="41"/>
      <c r="I559" s="14" t="s">
        <v>49</v>
      </c>
      <c r="J559" s="15">
        <v>44795</v>
      </c>
      <c r="K559" t="s">
        <v>2719</v>
      </c>
      <c r="L559" t="s">
        <v>51</v>
      </c>
      <c r="M559" t="s">
        <v>52</v>
      </c>
      <c r="N559" t="s">
        <v>53</v>
      </c>
      <c r="O559" t="s">
        <v>6296</v>
      </c>
      <c r="P559" t="s">
        <v>6297</v>
      </c>
      <c r="Q559" t="s">
        <v>56</v>
      </c>
      <c r="R559" s="21" t="s">
        <v>6486</v>
      </c>
      <c r="S559" s="21"/>
      <c r="T559" t="s">
        <v>6520</v>
      </c>
      <c r="U559" t="s">
        <v>6521</v>
      </c>
      <c r="Y559" t="s">
        <v>60</v>
      </c>
      <c r="AA559" s="15"/>
      <c r="AC559">
        <v>42.084744999999998</v>
      </c>
      <c r="AD559">
        <v>-73.385532999999995</v>
      </c>
      <c r="AE559" t="s">
        <v>4820</v>
      </c>
      <c r="AH559" t="s">
        <v>1715</v>
      </c>
      <c r="AI559" t="s">
        <v>63</v>
      </c>
      <c r="AJ559" t="s">
        <v>6522</v>
      </c>
      <c r="AK559">
        <v>194577</v>
      </c>
      <c r="AM559" t="s">
        <v>6523</v>
      </c>
      <c r="AN559" t="s">
        <v>6524</v>
      </c>
      <c r="AO559" t="s">
        <v>6525</v>
      </c>
      <c r="AP559" t="s">
        <v>68</v>
      </c>
      <c r="AR559" t="s">
        <v>6526</v>
      </c>
      <c r="AS559" t="s">
        <v>6527</v>
      </c>
      <c r="AT559" t="s">
        <v>6528</v>
      </c>
      <c r="AW559" s="14" t="s">
        <v>72</v>
      </c>
      <c r="AX559" s="14" t="s">
        <v>73</v>
      </c>
      <c r="AY559" s="14" t="s">
        <v>74</v>
      </c>
    </row>
    <row r="560" spans="1:51" ht="15" customHeight="1" x14ac:dyDescent="0.4">
      <c r="A560" s="12">
        <v>3890</v>
      </c>
      <c r="B560" s="21" t="s">
        <v>6529</v>
      </c>
      <c r="C560" s="13" t="s">
        <v>6530</v>
      </c>
      <c r="D560" s="25" t="s">
        <v>6530</v>
      </c>
      <c r="E560" s="13"/>
      <c r="F560" s="43" t="s">
        <v>49</v>
      </c>
      <c r="G560" s="43" t="s">
        <v>8101</v>
      </c>
      <c r="H560" s="43"/>
      <c r="I560" s="14" t="s">
        <v>49</v>
      </c>
      <c r="J560" s="15">
        <v>44795</v>
      </c>
      <c r="K560" t="s">
        <v>2719</v>
      </c>
      <c r="L560" t="s">
        <v>51</v>
      </c>
      <c r="M560" t="s">
        <v>52</v>
      </c>
      <c r="N560" t="s">
        <v>53</v>
      </c>
      <c r="O560" t="s">
        <v>6296</v>
      </c>
      <c r="P560" t="s">
        <v>6297</v>
      </c>
      <c r="Q560" t="s">
        <v>56</v>
      </c>
      <c r="R560" s="21" t="s">
        <v>6486</v>
      </c>
      <c r="S560" s="21"/>
      <c r="T560" t="s">
        <v>6531</v>
      </c>
      <c r="U560" t="s">
        <v>6532</v>
      </c>
      <c r="Y560" t="s">
        <v>60</v>
      </c>
      <c r="AA560" s="15"/>
      <c r="AC560">
        <v>42.084995999999997</v>
      </c>
      <c r="AD560">
        <v>-73.385541000000003</v>
      </c>
      <c r="AE560" t="s">
        <v>6533</v>
      </c>
      <c r="AH560" t="s">
        <v>1715</v>
      </c>
      <c r="AI560" t="s">
        <v>63</v>
      </c>
      <c r="AJ560" t="s">
        <v>6534</v>
      </c>
      <c r="AK560">
        <v>193364</v>
      </c>
      <c r="AM560" t="s">
        <v>6535</v>
      </c>
      <c r="AN560" t="s">
        <v>6536</v>
      </c>
      <c r="AO560" t="s">
        <v>6537</v>
      </c>
      <c r="AP560" t="s">
        <v>68</v>
      </c>
      <c r="AR560" t="s">
        <v>6538</v>
      </c>
      <c r="AS560" t="s">
        <v>6539</v>
      </c>
      <c r="AT560" t="s">
        <v>6540</v>
      </c>
      <c r="AW560" s="14" t="s">
        <v>72</v>
      </c>
      <c r="AX560" s="14" t="s">
        <v>73</v>
      </c>
      <c r="AY560" s="14" t="s">
        <v>74</v>
      </c>
    </row>
    <row r="561" spans="1:51" ht="15" customHeight="1" x14ac:dyDescent="0.4">
      <c r="A561" s="12">
        <v>3891</v>
      </c>
      <c r="B561" s="21" t="s">
        <v>6541</v>
      </c>
      <c r="C561" s="13" t="s">
        <v>6542</v>
      </c>
      <c r="D561" s="25" t="s">
        <v>6542</v>
      </c>
      <c r="E561" s="13"/>
      <c r="F561" s="41"/>
      <c r="G561" s="41"/>
      <c r="H561" s="41"/>
      <c r="I561" s="14" t="s">
        <v>1878</v>
      </c>
      <c r="J561" s="15">
        <v>44795</v>
      </c>
      <c r="K561" t="s">
        <v>2719</v>
      </c>
      <c r="L561" t="s">
        <v>51</v>
      </c>
      <c r="M561" t="s">
        <v>52</v>
      </c>
      <c r="N561" t="s">
        <v>53</v>
      </c>
      <c r="O561" t="s">
        <v>6296</v>
      </c>
      <c r="P561" t="s">
        <v>6297</v>
      </c>
      <c r="Q561" t="s">
        <v>56</v>
      </c>
      <c r="R561" s="21" t="s">
        <v>6486</v>
      </c>
      <c r="S561" s="21"/>
      <c r="T561" t="s">
        <v>6543</v>
      </c>
      <c r="U561" t="s">
        <v>6544</v>
      </c>
      <c r="Y561" t="s">
        <v>1881</v>
      </c>
      <c r="AA561" s="15"/>
      <c r="AC561">
        <v>42.082520000000002</v>
      </c>
      <c r="AD561">
        <v>-73.384530999999996</v>
      </c>
      <c r="AE561" t="s">
        <v>2337</v>
      </c>
      <c r="AH561" t="s">
        <v>1715</v>
      </c>
      <c r="AI561" t="s">
        <v>63</v>
      </c>
      <c r="AJ561" t="s">
        <v>6545</v>
      </c>
      <c r="AK561">
        <v>194164</v>
      </c>
      <c r="AM561" t="s">
        <v>6546</v>
      </c>
      <c r="AN561" t="s">
        <v>6547</v>
      </c>
      <c r="AO561" t="s">
        <v>6548</v>
      </c>
      <c r="AP561" t="s">
        <v>68</v>
      </c>
      <c r="AR561" t="s">
        <v>6549</v>
      </c>
      <c r="AS561" t="s">
        <v>6550</v>
      </c>
      <c r="AT561" t="s">
        <v>6551</v>
      </c>
      <c r="AW561" s="14" t="s">
        <v>72</v>
      </c>
      <c r="AX561" s="14" t="s">
        <v>73</v>
      </c>
      <c r="AY561" s="14" t="s">
        <v>1723</v>
      </c>
    </row>
    <row r="562" spans="1:51" ht="15" customHeight="1" x14ac:dyDescent="0.4">
      <c r="A562" s="12">
        <v>3892</v>
      </c>
      <c r="B562" s="21" t="s">
        <v>6552</v>
      </c>
      <c r="C562" s="13" t="s">
        <v>6553</v>
      </c>
      <c r="D562" s="25" t="s">
        <v>6553</v>
      </c>
      <c r="E562" s="13"/>
      <c r="F562" s="41"/>
      <c r="G562" s="41"/>
      <c r="H562" s="41"/>
      <c r="I562" s="14" t="s">
        <v>2006</v>
      </c>
      <c r="J562" s="15">
        <v>44803</v>
      </c>
      <c r="K562" t="s">
        <v>2719</v>
      </c>
      <c r="L562" t="s">
        <v>51</v>
      </c>
      <c r="M562" t="s">
        <v>52</v>
      </c>
      <c r="N562" t="s">
        <v>53</v>
      </c>
      <c r="O562" t="s">
        <v>6554</v>
      </c>
      <c r="P562" t="s">
        <v>6555</v>
      </c>
      <c r="Q562" t="s">
        <v>56</v>
      </c>
      <c r="R562" t="s">
        <v>6556</v>
      </c>
      <c r="S562" s="21" t="s">
        <v>6557</v>
      </c>
      <c r="T562" t="s">
        <v>6558</v>
      </c>
      <c r="U562" t="s">
        <v>6559</v>
      </c>
      <c r="X562" t="s">
        <v>1758</v>
      </c>
      <c r="Y562" t="s">
        <v>2009</v>
      </c>
      <c r="AA562" s="15"/>
      <c r="AC562">
        <v>34.804527999999998</v>
      </c>
      <c r="AD562">
        <v>-92.326498000000001</v>
      </c>
      <c r="AE562" t="s">
        <v>6560</v>
      </c>
      <c r="AH562" t="s">
        <v>1715</v>
      </c>
      <c r="AI562" t="s">
        <v>63</v>
      </c>
      <c r="AJ562" t="s">
        <v>6561</v>
      </c>
      <c r="AK562">
        <v>194234</v>
      </c>
      <c r="AM562" t="s">
        <v>6562</v>
      </c>
      <c r="AN562" t="s">
        <v>6563</v>
      </c>
      <c r="AO562" t="s">
        <v>6564</v>
      </c>
      <c r="AP562" t="s">
        <v>68</v>
      </c>
      <c r="AR562" t="s">
        <v>6565</v>
      </c>
      <c r="AS562" t="s">
        <v>6566</v>
      </c>
      <c r="AT562" t="s">
        <v>6567</v>
      </c>
      <c r="AW562" s="14" t="s">
        <v>72</v>
      </c>
      <c r="AX562" s="14" t="s">
        <v>73</v>
      </c>
      <c r="AY562" s="14" t="s">
        <v>74</v>
      </c>
    </row>
    <row r="563" spans="1:51" ht="15" customHeight="1" x14ac:dyDescent="0.4">
      <c r="A563" s="12">
        <v>3893</v>
      </c>
      <c r="B563" s="21" t="s">
        <v>6568</v>
      </c>
      <c r="C563" s="13" t="s">
        <v>6569</v>
      </c>
      <c r="D563" s="25" t="s">
        <v>6569</v>
      </c>
      <c r="E563" s="13"/>
      <c r="F563" s="41"/>
      <c r="G563" s="41"/>
      <c r="H563" s="41"/>
      <c r="I563" s="14" t="s">
        <v>49</v>
      </c>
      <c r="J563" s="15">
        <v>44803</v>
      </c>
      <c r="K563" t="s">
        <v>2719</v>
      </c>
      <c r="L563" t="s">
        <v>51</v>
      </c>
      <c r="M563" t="s">
        <v>52</v>
      </c>
      <c r="N563" t="s">
        <v>53</v>
      </c>
      <c r="O563" t="s">
        <v>6554</v>
      </c>
      <c r="P563" t="s">
        <v>6555</v>
      </c>
      <c r="Q563" t="s">
        <v>56</v>
      </c>
      <c r="R563" t="s">
        <v>6556</v>
      </c>
      <c r="S563" s="21" t="s">
        <v>6557</v>
      </c>
      <c r="T563" t="s">
        <v>6570</v>
      </c>
      <c r="U563" t="s">
        <v>6571</v>
      </c>
      <c r="X563" t="s">
        <v>2336</v>
      </c>
      <c r="Y563" t="s">
        <v>60</v>
      </c>
      <c r="AA563" s="15"/>
      <c r="AC563">
        <v>34.804341999999998</v>
      </c>
      <c r="AD563">
        <v>-92.326644999999999</v>
      </c>
      <c r="AE563" t="s">
        <v>6572</v>
      </c>
      <c r="AH563" t="s">
        <v>1715</v>
      </c>
      <c r="AI563" t="s">
        <v>63</v>
      </c>
      <c r="AJ563" t="s">
        <v>6573</v>
      </c>
      <c r="AK563">
        <v>194576</v>
      </c>
      <c r="AM563" t="s">
        <v>6574</v>
      </c>
      <c r="AN563" t="s">
        <v>6575</v>
      </c>
      <c r="AO563" t="s">
        <v>6576</v>
      </c>
      <c r="AP563" t="s">
        <v>68</v>
      </c>
      <c r="AR563" t="s">
        <v>6577</v>
      </c>
      <c r="AS563" t="s">
        <v>6578</v>
      </c>
      <c r="AT563" t="s">
        <v>6579</v>
      </c>
      <c r="AW563" s="14" t="s">
        <v>72</v>
      </c>
      <c r="AX563" s="14" t="s">
        <v>73</v>
      </c>
      <c r="AY563" s="14" t="s">
        <v>74</v>
      </c>
    </row>
    <row r="564" spans="1:51" ht="15" customHeight="1" x14ac:dyDescent="0.4">
      <c r="A564" s="12">
        <v>3894</v>
      </c>
      <c r="B564" s="21" t="s">
        <v>6580</v>
      </c>
      <c r="C564" s="13" t="s">
        <v>6581</v>
      </c>
      <c r="D564" s="25" t="s">
        <v>6581</v>
      </c>
      <c r="E564" s="13"/>
      <c r="F564" s="41"/>
      <c r="G564" s="41"/>
      <c r="H564" s="41"/>
      <c r="I564" s="14" t="s">
        <v>1752</v>
      </c>
      <c r="J564" s="15">
        <v>44803</v>
      </c>
      <c r="K564" t="s">
        <v>2719</v>
      </c>
      <c r="L564" t="s">
        <v>51</v>
      </c>
      <c r="M564" t="s">
        <v>52</v>
      </c>
      <c r="N564" t="s">
        <v>53</v>
      </c>
      <c r="O564" t="s">
        <v>6554</v>
      </c>
      <c r="P564" t="s">
        <v>6555</v>
      </c>
      <c r="Q564" t="s">
        <v>56</v>
      </c>
      <c r="R564" t="s">
        <v>6556</v>
      </c>
      <c r="S564" s="21" t="s">
        <v>6557</v>
      </c>
      <c r="T564" t="s">
        <v>6582</v>
      </c>
      <c r="U564" t="s">
        <v>6583</v>
      </c>
      <c r="X564" t="s">
        <v>1758</v>
      </c>
      <c r="Y564" t="s">
        <v>1759</v>
      </c>
      <c r="AA564" s="15"/>
      <c r="AC564">
        <v>34.804412999999997</v>
      </c>
      <c r="AD564">
        <v>-92.326312000000001</v>
      </c>
      <c r="AE564" t="s">
        <v>6584</v>
      </c>
      <c r="AH564" t="s">
        <v>1715</v>
      </c>
      <c r="AI564" t="s">
        <v>63</v>
      </c>
      <c r="AJ564" t="s">
        <v>6585</v>
      </c>
      <c r="AK564">
        <v>193548</v>
      </c>
      <c r="AM564" t="s">
        <v>6586</v>
      </c>
      <c r="AN564" t="s">
        <v>6587</v>
      </c>
      <c r="AO564" t="s">
        <v>6588</v>
      </c>
      <c r="AP564" t="s">
        <v>68</v>
      </c>
      <c r="AR564" t="s">
        <v>6589</v>
      </c>
      <c r="AS564" t="s">
        <v>6590</v>
      </c>
      <c r="AT564" t="s">
        <v>6591</v>
      </c>
      <c r="AW564" s="14" t="s">
        <v>72</v>
      </c>
      <c r="AX564" s="14" t="s">
        <v>73</v>
      </c>
      <c r="AY564" s="14" t="s">
        <v>1768</v>
      </c>
    </row>
    <row r="565" spans="1:51" ht="15" customHeight="1" x14ac:dyDescent="0.4">
      <c r="A565" s="12">
        <v>3895</v>
      </c>
      <c r="B565" s="21" t="s">
        <v>6592</v>
      </c>
      <c r="C565" s="13" t="s">
        <v>6593</v>
      </c>
      <c r="D565" s="25" t="s">
        <v>6593</v>
      </c>
      <c r="E565" s="13"/>
      <c r="F565" s="41"/>
      <c r="G565" s="41"/>
      <c r="H565" s="41"/>
      <c r="I565" s="14" t="s">
        <v>49</v>
      </c>
      <c r="J565" s="15">
        <v>44803</v>
      </c>
      <c r="K565" t="s">
        <v>2719</v>
      </c>
      <c r="L565" t="s">
        <v>51</v>
      </c>
      <c r="M565" t="s">
        <v>52</v>
      </c>
      <c r="N565" t="s">
        <v>53</v>
      </c>
      <c r="O565" t="s">
        <v>6554</v>
      </c>
      <c r="P565" t="s">
        <v>6555</v>
      </c>
      <c r="Q565" t="s">
        <v>56</v>
      </c>
      <c r="R565" t="s">
        <v>6556</v>
      </c>
      <c r="S565" s="21" t="s">
        <v>6557</v>
      </c>
      <c r="T565" t="s">
        <v>6594</v>
      </c>
      <c r="U565" t="s">
        <v>6595</v>
      </c>
      <c r="Y565" t="s">
        <v>60</v>
      </c>
      <c r="AA565" s="15"/>
      <c r="AC565">
        <v>34.805005999999999</v>
      </c>
      <c r="AD565">
        <v>-92.327102999999994</v>
      </c>
      <c r="AE565" t="s">
        <v>6596</v>
      </c>
      <c r="AH565" t="s">
        <v>1715</v>
      </c>
      <c r="AI565" t="s">
        <v>63</v>
      </c>
      <c r="AJ565" t="s">
        <v>6597</v>
      </c>
      <c r="AK565">
        <v>194575</v>
      </c>
      <c r="AM565" t="s">
        <v>6598</v>
      </c>
      <c r="AN565" t="s">
        <v>6599</v>
      </c>
      <c r="AO565" t="s">
        <v>6600</v>
      </c>
      <c r="AP565" t="s">
        <v>68</v>
      </c>
      <c r="AR565" t="s">
        <v>6601</v>
      </c>
      <c r="AS565" t="s">
        <v>6602</v>
      </c>
      <c r="AT565" t="s">
        <v>6603</v>
      </c>
      <c r="AW565" s="14" t="s">
        <v>72</v>
      </c>
      <c r="AX565" s="14" t="s">
        <v>73</v>
      </c>
      <c r="AY565" s="14" t="s">
        <v>74</v>
      </c>
    </row>
    <row r="566" spans="1:51" ht="15" customHeight="1" x14ac:dyDescent="0.4">
      <c r="A566" s="12">
        <v>3896</v>
      </c>
      <c r="B566" s="21" t="s">
        <v>6604</v>
      </c>
      <c r="C566" s="13" t="s">
        <v>6605</v>
      </c>
      <c r="D566" s="25" t="s">
        <v>6605</v>
      </c>
      <c r="E566" s="13"/>
      <c r="F566" s="41"/>
      <c r="G566" s="41"/>
      <c r="H566" s="41"/>
      <c r="I566" s="14" t="s">
        <v>1752</v>
      </c>
      <c r="J566" s="15">
        <v>44803</v>
      </c>
      <c r="K566" t="s">
        <v>2719</v>
      </c>
      <c r="L566" t="s">
        <v>51</v>
      </c>
      <c r="M566" t="s">
        <v>52</v>
      </c>
      <c r="N566" t="s">
        <v>53</v>
      </c>
      <c r="O566" t="s">
        <v>6554</v>
      </c>
      <c r="P566" t="s">
        <v>6555</v>
      </c>
      <c r="Q566" t="s">
        <v>56</v>
      </c>
      <c r="R566" t="s">
        <v>6556</v>
      </c>
      <c r="S566" s="21" t="s">
        <v>6557</v>
      </c>
      <c r="T566" t="s">
        <v>6606</v>
      </c>
      <c r="U566" t="s">
        <v>6607</v>
      </c>
      <c r="Y566" t="s">
        <v>1759</v>
      </c>
      <c r="AA566" s="15"/>
      <c r="AC566">
        <v>34.805382000000002</v>
      </c>
      <c r="AD566">
        <v>-92.327056999999996</v>
      </c>
      <c r="AE566" t="s">
        <v>6608</v>
      </c>
      <c r="AH566" t="s">
        <v>1715</v>
      </c>
      <c r="AI566" t="s">
        <v>63</v>
      </c>
      <c r="AJ566" t="s">
        <v>6609</v>
      </c>
      <c r="AK566">
        <v>193549</v>
      </c>
      <c r="AM566" t="s">
        <v>6610</v>
      </c>
      <c r="AN566" t="s">
        <v>6611</v>
      </c>
      <c r="AO566" t="s">
        <v>6612</v>
      </c>
      <c r="AP566" t="s">
        <v>68</v>
      </c>
      <c r="AR566" t="s">
        <v>6613</v>
      </c>
      <c r="AS566" t="s">
        <v>6614</v>
      </c>
      <c r="AT566" t="s">
        <v>6615</v>
      </c>
      <c r="AW566" s="14" t="s">
        <v>72</v>
      </c>
      <c r="AX566" s="14" t="s">
        <v>73</v>
      </c>
      <c r="AY566" s="14" t="s">
        <v>1768</v>
      </c>
    </row>
    <row r="567" spans="1:51" ht="15" customHeight="1" x14ac:dyDescent="0.4">
      <c r="A567" s="12">
        <v>3897</v>
      </c>
      <c r="B567" s="21" t="s">
        <v>6616</v>
      </c>
      <c r="C567" s="13" t="s">
        <v>6617</v>
      </c>
      <c r="D567" s="25" t="s">
        <v>6617</v>
      </c>
      <c r="E567" s="13"/>
      <c r="F567" s="41"/>
      <c r="G567" s="41"/>
      <c r="H567" s="41"/>
      <c r="I567" s="14" t="s">
        <v>2006</v>
      </c>
      <c r="J567" s="15">
        <v>44803</v>
      </c>
      <c r="K567" t="s">
        <v>2719</v>
      </c>
      <c r="L567" t="s">
        <v>51</v>
      </c>
      <c r="M567" t="s">
        <v>52</v>
      </c>
      <c r="N567" t="s">
        <v>53</v>
      </c>
      <c r="O567" t="s">
        <v>6554</v>
      </c>
      <c r="P567" t="s">
        <v>6555</v>
      </c>
      <c r="Q567" t="s">
        <v>56</v>
      </c>
      <c r="R567" t="s">
        <v>6556</v>
      </c>
      <c r="S567" s="21" t="s">
        <v>6557</v>
      </c>
      <c r="T567" t="s">
        <v>6618</v>
      </c>
      <c r="U567" t="s">
        <v>6619</v>
      </c>
      <c r="Y567" t="s">
        <v>2009</v>
      </c>
      <c r="AA567" s="15"/>
      <c r="AC567">
        <v>34.805731000000002</v>
      </c>
      <c r="AD567">
        <v>-92.327413000000007</v>
      </c>
      <c r="AE567" t="s">
        <v>2103</v>
      </c>
      <c r="AH567" t="s">
        <v>1715</v>
      </c>
      <c r="AI567" t="s">
        <v>63</v>
      </c>
      <c r="AJ567" t="s">
        <v>6620</v>
      </c>
      <c r="AK567">
        <v>194235</v>
      </c>
      <c r="AM567" t="s">
        <v>6621</v>
      </c>
      <c r="AN567" t="s">
        <v>6622</v>
      </c>
      <c r="AO567" t="s">
        <v>6623</v>
      </c>
      <c r="AP567" t="s">
        <v>68</v>
      </c>
      <c r="AR567" t="s">
        <v>6624</v>
      </c>
      <c r="AS567" t="s">
        <v>6625</v>
      </c>
      <c r="AT567" t="s">
        <v>6626</v>
      </c>
      <c r="AW567" s="14" t="s">
        <v>72</v>
      </c>
      <c r="AX567" s="14" t="s">
        <v>73</v>
      </c>
      <c r="AY567" s="14" t="s">
        <v>74</v>
      </c>
    </row>
    <row r="568" spans="1:51" ht="15" customHeight="1" x14ac:dyDescent="0.4">
      <c r="A568" s="12">
        <v>3898</v>
      </c>
      <c r="B568" s="21" t="s">
        <v>6627</v>
      </c>
      <c r="C568" s="13" t="s">
        <v>6628</v>
      </c>
      <c r="D568" s="25" t="s">
        <v>6628</v>
      </c>
      <c r="E568" s="13"/>
      <c r="F568" s="41"/>
      <c r="G568" s="41"/>
      <c r="H568" s="41"/>
      <c r="I568" s="14" t="s">
        <v>1878</v>
      </c>
      <c r="J568" s="15">
        <v>44803</v>
      </c>
      <c r="K568" t="s">
        <v>2719</v>
      </c>
      <c r="L568" t="s">
        <v>51</v>
      </c>
      <c r="M568" t="s">
        <v>52</v>
      </c>
      <c r="N568" t="s">
        <v>53</v>
      </c>
      <c r="O568" t="s">
        <v>6554</v>
      </c>
      <c r="P568" t="s">
        <v>6555</v>
      </c>
      <c r="Q568" t="s">
        <v>56</v>
      </c>
      <c r="R568" t="s">
        <v>6556</v>
      </c>
      <c r="S568" s="21" t="s">
        <v>6557</v>
      </c>
      <c r="T568" t="s">
        <v>6629</v>
      </c>
      <c r="U568" t="s">
        <v>6630</v>
      </c>
      <c r="Y568" t="s">
        <v>1881</v>
      </c>
      <c r="AA568" s="15"/>
      <c r="AC568">
        <v>34.805909999999997</v>
      </c>
      <c r="AD568">
        <v>-92.327567999999999</v>
      </c>
      <c r="AE568" t="s">
        <v>6631</v>
      </c>
      <c r="AH568" t="s">
        <v>1715</v>
      </c>
      <c r="AI568" t="s">
        <v>63</v>
      </c>
      <c r="AJ568" t="s">
        <v>6632</v>
      </c>
      <c r="AK568">
        <v>194165</v>
      </c>
      <c r="AM568" t="s">
        <v>6633</v>
      </c>
      <c r="AN568" t="s">
        <v>6634</v>
      </c>
      <c r="AO568" t="s">
        <v>6635</v>
      </c>
      <c r="AP568" t="s">
        <v>68</v>
      </c>
      <c r="AR568" t="s">
        <v>6636</v>
      </c>
      <c r="AS568" t="s">
        <v>6637</v>
      </c>
      <c r="AT568" t="s">
        <v>6638</v>
      </c>
      <c r="AW568" s="14" t="s">
        <v>72</v>
      </c>
      <c r="AX568" s="14" t="s">
        <v>73</v>
      </c>
      <c r="AY568" s="14" t="s">
        <v>1723</v>
      </c>
    </row>
    <row r="569" spans="1:51" ht="15" customHeight="1" x14ac:dyDescent="0.4">
      <c r="A569" s="12">
        <v>3899</v>
      </c>
      <c r="B569" s="21" t="s">
        <v>6639</v>
      </c>
      <c r="C569" s="13" t="s">
        <v>6640</v>
      </c>
      <c r="D569" s="25" t="s">
        <v>6640</v>
      </c>
      <c r="E569" s="13"/>
      <c r="F569" s="41"/>
      <c r="G569" s="41"/>
      <c r="H569" s="41"/>
      <c r="I569" s="14" t="s">
        <v>1752</v>
      </c>
      <c r="J569" s="15">
        <v>44803</v>
      </c>
      <c r="K569" t="s">
        <v>2719</v>
      </c>
      <c r="L569" t="s">
        <v>51</v>
      </c>
      <c r="M569" t="s">
        <v>52</v>
      </c>
      <c r="N569" t="s">
        <v>53</v>
      </c>
      <c r="O569" t="s">
        <v>6554</v>
      </c>
      <c r="P569" t="s">
        <v>6555</v>
      </c>
      <c r="Q569" t="s">
        <v>56</v>
      </c>
      <c r="R569" t="s">
        <v>6556</v>
      </c>
      <c r="S569" s="21" t="s">
        <v>6557</v>
      </c>
      <c r="T569" t="s">
        <v>6641</v>
      </c>
      <c r="U569" t="s">
        <v>6642</v>
      </c>
      <c r="Y569" t="s">
        <v>1759</v>
      </c>
      <c r="AA569" s="15"/>
      <c r="AC569">
        <v>34.806736999999998</v>
      </c>
      <c r="AD569">
        <v>-92.328942999999995</v>
      </c>
      <c r="AE569" t="s">
        <v>6643</v>
      </c>
      <c r="AH569" t="s">
        <v>1715</v>
      </c>
      <c r="AI569" t="s">
        <v>63</v>
      </c>
      <c r="AJ569" t="s">
        <v>6644</v>
      </c>
      <c r="AK569">
        <v>193550</v>
      </c>
      <c r="AM569" t="s">
        <v>6645</v>
      </c>
      <c r="AN569" t="s">
        <v>6646</v>
      </c>
      <c r="AO569" t="s">
        <v>6647</v>
      </c>
      <c r="AP569" t="s">
        <v>68</v>
      </c>
      <c r="AR569" t="s">
        <v>6648</v>
      </c>
      <c r="AS569" t="s">
        <v>6649</v>
      </c>
      <c r="AT569" t="s">
        <v>6650</v>
      </c>
      <c r="AW569" s="14" t="s">
        <v>72</v>
      </c>
      <c r="AX569" s="14" t="s">
        <v>73</v>
      </c>
      <c r="AY569" s="14" t="s">
        <v>1768</v>
      </c>
    </row>
    <row r="570" spans="1:51" ht="15" customHeight="1" x14ac:dyDescent="0.4">
      <c r="A570" s="12">
        <v>3900</v>
      </c>
      <c r="B570" s="21" t="s">
        <v>6651</v>
      </c>
      <c r="C570" s="13" t="s">
        <v>6652</v>
      </c>
      <c r="D570" s="25" t="s">
        <v>6652</v>
      </c>
      <c r="E570" s="13"/>
      <c r="F570" s="41"/>
      <c r="G570" s="41"/>
      <c r="H570" s="41"/>
      <c r="I570" s="14" t="s">
        <v>49</v>
      </c>
      <c r="J570" s="15">
        <v>44803</v>
      </c>
      <c r="K570" t="s">
        <v>2719</v>
      </c>
      <c r="L570" t="s">
        <v>51</v>
      </c>
      <c r="M570" t="s">
        <v>52</v>
      </c>
      <c r="N570" t="s">
        <v>53</v>
      </c>
      <c r="O570" t="s">
        <v>6554</v>
      </c>
      <c r="P570" t="s">
        <v>6555</v>
      </c>
      <c r="Q570" t="s">
        <v>56</v>
      </c>
      <c r="R570" t="s">
        <v>6556</v>
      </c>
      <c r="S570" s="21" t="s">
        <v>6557</v>
      </c>
      <c r="T570" t="s">
        <v>6653</v>
      </c>
      <c r="U570" t="s">
        <v>6654</v>
      </c>
      <c r="Y570" t="s">
        <v>60</v>
      </c>
      <c r="AA570" s="15"/>
      <c r="AC570">
        <v>34.806243000000002</v>
      </c>
      <c r="AD570">
        <v>-92.330089999999998</v>
      </c>
      <c r="AE570" t="s">
        <v>6655</v>
      </c>
      <c r="AH570" t="s">
        <v>1715</v>
      </c>
      <c r="AI570" t="s">
        <v>63</v>
      </c>
      <c r="AJ570" t="s">
        <v>6656</v>
      </c>
      <c r="AK570">
        <v>194574</v>
      </c>
      <c r="AM570" t="s">
        <v>6657</v>
      </c>
      <c r="AN570" t="s">
        <v>6658</v>
      </c>
      <c r="AO570" t="s">
        <v>6659</v>
      </c>
      <c r="AP570" t="s">
        <v>68</v>
      </c>
      <c r="AR570" t="s">
        <v>6660</v>
      </c>
      <c r="AS570" t="s">
        <v>6661</v>
      </c>
      <c r="AT570" t="s">
        <v>6662</v>
      </c>
      <c r="AW570" s="14" t="s">
        <v>72</v>
      </c>
      <c r="AX570" s="14" t="s">
        <v>73</v>
      </c>
      <c r="AY570" s="14" t="s">
        <v>74</v>
      </c>
    </row>
    <row r="571" spans="1:51" ht="15" customHeight="1" x14ac:dyDescent="0.4">
      <c r="A571" s="12">
        <v>3901</v>
      </c>
      <c r="B571" s="21" t="s">
        <v>6663</v>
      </c>
      <c r="C571" s="13" t="s">
        <v>6664</v>
      </c>
      <c r="D571" s="25" t="s">
        <v>6664</v>
      </c>
      <c r="E571" s="13"/>
      <c r="F571" s="41"/>
      <c r="G571" s="41"/>
      <c r="H571" s="41"/>
      <c r="I571" s="14" t="s">
        <v>2006</v>
      </c>
      <c r="J571" s="15">
        <v>44803</v>
      </c>
      <c r="K571" t="s">
        <v>2719</v>
      </c>
      <c r="L571" t="s">
        <v>51</v>
      </c>
      <c r="M571" t="s">
        <v>52</v>
      </c>
      <c r="N571" t="s">
        <v>53</v>
      </c>
      <c r="O571" t="s">
        <v>6554</v>
      </c>
      <c r="P571" t="s">
        <v>6555</v>
      </c>
      <c r="Q571" t="s">
        <v>56</v>
      </c>
      <c r="R571" t="s">
        <v>6556</v>
      </c>
      <c r="S571" s="21" t="s">
        <v>6557</v>
      </c>
      <c r="T571" t="s">
        <v>6665</v>
      </c>
      <c r="U571" t="s">
        <v>6666</v>
      </c>
      <c r="X571" t="s">
        <v>2336</v>
      </c>
      <c r="Y571" t="s">
        <v>2009</v>
      </c>
      <c r="AA571" s="15"/>
      <c r="AC571">
        <v>34.806528</v>
      </c>
      <c r="AD571">
        <v>-92.330323000000007</v>
      </c>
      <c r="AE571" t="s">
        <v>6572</v>
      </c>
      <c r="AH571" t="s">
        <v>1715</v>
      </c>
      <c r="AI571" t="s">
        <v>63</v>
      </c>
      <c r="AJ571" t="s">
        <v>6667</v>
      </c>
      <c r="AK571">
        <v>194236</v>
      </c>
      <c r="AM571" t="s">
        <v>6668</v>
      </c>
      <c r="AN571" t="s">
        <v>6669</v>
      </c>
      <c r="AO571" t="s">
        <v>6670</v>
      </c>
      <c r="AP571" t="s">
        <v>68</v>
      </c>
      <c r="AR571" t="s">
        <v>6671</v>
      </c>
      <c r="AS571" t="s">
        <v>6672</v>
      </c>
      <c r="AT571" t="s">
        <v>6673</v>
      </c>
      <c r="AW571" s="14" t="s">
        <v>72</v>
      </c>
      <c r="AX571" s="14" t="s">
        <v>73</v>
      </c>
      <c r="AY571" s="14" t="s">
        <v>74</v>
      </c>
    </row>
    <row r="572" spans="1:51" ht="15" customHeight="1" x14ac:dyDescent="0.4">
      <c r="A572" s="12">
        <v>3902</v>
      </c>
      <c r="B572" s="21" t="s">
        <v>6674</v>
      </c>
      <c r="C572" s="13" t="s">
        <v>6675</v>
      </c>
      <c r="D572" s="25" t="s">
        <v>6675</v>
      </c>
      <c r="E572" s="13"/>
      <c r="F572" s="41"/>
      <c r="G572" s="41"/>
      <c r="H572" s="41"/>
      <c r="I572" s="14" t="s">
        <v>1752</v>
      </c>
      <c r="J572" s="15">
        <v>44803</v>
      </c>
      <c r="K572" t="s">
        <v>2719</v>
      </c>
      <c r="L572" t="s">
        <v>51</v>
      </c>
      <c r="M572" t="s">
        <v>52</v>
      </c>
      <c r="N572" t="s">
        <v>53</v>
      </c>
      <c r="O572" t="s">
        <v>6554</v>
      </c>
      <c r="P572" t="s">
        <v>6555</v>
      </c>
      <c r="Q572" t="s">
        <v>56</v>
      </c>
      <c r="R572" t="s">
        <v>6556</v>
      </c>
      <c r="S572" s="21" t="s">
        <v>6557</v>
      </c>
      <c r="T572" t="s">
        <v>6676</v>
      </c>
      <c r="U572" t="s">
        <v>6677</v>
      </c>
      <c r="Y572" t="s">
        <v>1759</v>
      </c>
      <c r="AA572" s="15"/>
      <c r="AC572">
        <v>34.806536000000001</v>
      </c>
      <c r="AD572">
        <v>-92.330337999999998</v>
      </c>
      <c r="AE572" t="s">
        <v>6678</v>
      </c>
      <c r="AH572" t="s">
        <v>1715</v>
      </c>
      <c r="AI572" t="s">
        <v>63</v>
      </c>
      <c r="AJ572" t="s">
        <v>6679</v>
      </c>
      <c r="AK572">
        <v>193551</v>
      </c>
      <c r="AM572" t="s">
        <v>6680</v>
      </c>
      <c r="AN572" t="s">
        <v>6681</v>
      </c>
      <c r="AO572" t="s">
        <v>6682</v>
      </c>
      <c r="AP572" t="s">
        <v>68</v>
      </c>
      <c r="AR572" t="s">
        <v>6683</v>
      </c>
      <c r="AS572" t="s">
        <v>6684</v>
      </c>
      <c r="AT572" t="s">
        <v>6685</v>
      </c>
      <c r="AW572" s="14" t="s">
        <v>72</v>
      </c>
      <c r="AX572" s="14" t="s">
        <v>73</v>
      </c>
      <c r="AY572" s="14" t="s">
        <v>1768</v>
      </c>
    </row>
    <row r="573" spans="1:51" ht="15" customHeight="1" x14ac:dyDescent="0.4">
      <c r="A573" s="12">
        <v>3903</v>
      </c>
      <c r="B573" s="21" t="s">
        <v>6686</v>
      </c>
      <c r="C573" s="13" t="s">
        <v>6687</v>
      </c>
      <c r="D573" s="25" t="s">
        <v>6687</v>
      </c>
      <c r="E573" s="13"/>
      <c r="F573" s="41"/>
      <c r="G573" s="41"/>
      <c r="H573" s="41"/>
      <c r="I573" s="14" t="s">
        <v>1878</v>
      </c>
      <c r="J573" s="15">
        <v>44803</v>
      </c>
      <c r="K573" t="s">
        <v>2719</v>
      </c>
      <c r="L573" t="s">
        <v>51</v>
      </c>
      <c r="M573" t="s">
        <v>52</v>
      </c>
      <c r="N573" t="s">
        <v>53</v>
      </c>
      <c r="O573" t="s">
        <v>6554</v>
      </c>
      <c r="P573" t="s">
        <v>6555</v>
      </c>
      <c r="Q573" t="s">
        <v>56</v>
      </c>
      <c r="R573" t="s">
        <v>6556</v>
      </c>
      <c r="S573" s="21" t="s">
        <v>6557</v>
      </c>
      <c r="T573" t="s">
        <v>6688</v>
      </c>
      <c r="U573" t="s">
        <v>6689</v>
      </c>
      <c r="Y573" t="s">
        <v>1881</v>
      </c>
      <c r="AA573" s="15"/>
      <c r="AC573">
        <v>34.803472999999997</v>
      </c>
      <c r="AD573">
        <v>-92.329470999999998</v>
      </c>
      <c r="AE573" t="s">
        <v>6690</v>
      </c>
      <c r="AH573" t="s">
        <v>1715</v>
      </c>
      <c r="AI573" t="s">
        <v>63</v>
      </c>
      <c r="AJ573" t="s">
        <v>6691</v>
      </c>
      <c r="AK573">
        <v>194166</v>
      </c>
      <c r="AM573" t="s">
        <v>6692</v>
      </c>
      <c r="AN573" t="s">
        <v>6693</v>
      </c>
      <c r="AO573" t="s">
        <v>6694</v>
      </c>
      <c r="AP573" t="s">
        <v>68</v>
      </c>
      <c r="AR573" t="s">
        <v>6695</v>
      </c>
      <c r="AS573" t="s">
        <v>6696</v>
      </c>
      <c r="AT573" t="s">
        <v>6697</v>
      </c>
      <c r="AW573" s="14" t="s">
        <v>72</v>
      </c>
      <c r="AX573" s="14" t="s">
        <v>73</v>
      </c>
      <c r="AY573" s="14" t="s">
        <v>1723</v>
      </c>
    </row>
    <row r="574" spans="1:51" ht="15" customHeight="1" x14ac:dyDescent="0.4">
      <c r="A574" s="12">
        <v>3904</v>
      </c>
      <c r="B574" s="21" t="s">
        <v>6698</v>
      </c>
      <c r="C574" s="13" t="s">
        <v>6699</v>
      </c>
      <c r="D574" s="25" t="s">
        <v>6699</v>
      </c>
      <c r="E574" s="13"/>
      <c r="F574" s="41"/>
      <c r="G574" s="41"/>
      <c r="H574" s="41"/>
      <c r="I574" s="14" t="s">
        <v>1829</v>
      </c>
      <c r="J574" s="15">
        <v>44803</v>
      </c>
      <c r="K574" t="s">
        <v>2719</v>
      </c>
      <c r="L574" t="s">
        <v>51</v>
      </c>
      <c r="M574" t="s">
        <v>52</v>
      </c>
      <c r="N574" t="s">
        <v>53</v>
      </c>
      <c r="O574" t="s">
        <v>6554</v>
      </c>
      <c r="P574" t="s">
        <v>6555</v>
      </c>
      <c r="Q574" t="s">
        <v>56</v>
      </c>
      <c r="R574" t="s">
        <v>6556</v>
      </c>
      <c r="S574" s="21" t="s">
        <v>6557</v>
      </c>
      <c r="T574" t="s">
        <v>6700</v>
      </c>
      <c r="U574" t="s">
        <v>6701</v>
      </c>
      <c r="Y574" t="s">
        <v>1832</v>
      </c>
      <c r="AA574" s="15"/>
      <c r="AC574">
        <v>34.801994999999998</v>
      </c>
      <c r="AD574">
        <v>-92.328254999999999</v>
      </c>
      <c r="AE574" t="s">
        <v>6702</v>
      </c>
      <c r="AH574" t="s">
        <v>1715</v>
      </c>
      <c r="AI574" t="s">
        <v>63</v>
      </c>
      <c r="AJ574" t="s">
        <v>6703</v>
      </c>
      <c r="AK574">
        <v>194498</v>
      </c>
      <c r="AM574" t="s">
        <v>6704</v>
      </c>
      <c r="AN574" t="s">
        <v>6705</v>
      </c>
      <c r="AO574" t="s">
        <v>6706</v>
      </c>
      <c r="AP574" t="s">
        <v>68</v>
      </c>
      <c r="AR574" t="s">
        <v>6707</v>
      </c>
      <c r="AS574" t="s">
        <v>6708</v>
      </c>
      <c r="AT574" t="s">
        <v>6709</v>
      </c>
      <c r="AW574" s="14" t="s">
        <v>72</v>
      </c>
      <c r="AX574" s="14" t="s">
        <v>73</v>
      </c>
      <c r="AY574" s="14" t="s">
        <v>74</v>
      </c>
    </row>
    <row r="575" spans="1:51" ht="15" customHeight="1" x14ac:dyDescent="0.4">
      <c r="A575" s="12">
        <v>3905</v>
      </c>
      <c r="B575" s="21" t="s">
        <v>6710</v>
      </c>
      <c r="C575" s="13" t="s">
        <v>6711</v>
      </c>
      <c r="D575" s="25" t="s">
        <v>6711</v>
      </c>
      <c r="E575" s="13"/>
      <c r="F575" s="41"/>
      <c r="G575" s="41"/>
      <c r="H575" s="41"/>
      <c r="I575" s="14" t="s">
        <v>1829</v>
      </c>
      <c r="J575" s="15">
        <v>44803</v>
      </c>
      <c r="K575" t="s">
        <v>2719</v>
      </c>
      <c r="L575" t="s">
        <v>51</v>
      </c>
      <c r="M575" t="s">
        <v>52</v>
      </c>
      <c r="N575" t="s">
        <v>53</v>
      </c>
      <c r="O575" t="s">
        <v>6554</v>
      </c>
      <c r="P575" t="s">
        <v>6555</v>
      </c>
      <c r="Q575" t="s">
        <v>56</v>
      </c>
      <c r="R575" t="s">
        <v>6556</v>
      </c>
      <c r="S575" s="21" t="s">
        <v>6557</v>
      </c>
      <c r="T575" t="s">
        <v>6712</v>
      </c>
      <c r="U575" t="s">
        <v>6713</v>
      </c>
      <c r="Y575" t="s">
        <v>1832</v>
      </c>
      <c r="AA575" s="15"/>
      <c r="AC575">
        <v>34.801788999999999</v>
      </c>
      <c r="AD575">
        <v>-92.328063</v>
      </c>
      <c r="AE575" t="s">
        <v>6714</v>
      </c>
      <c r="AH575" t="s">
        <v>1715</v>
      </c>
      <c r="AI575" t="s">
        <v>63</v>
      </c>
      <c r="AJ575" t="s">
        <v>6715</v>
      </c>
      <c r="AK575">
        <v>194499</v>
      </c>
      <c r="AM575" t="s">
        <v>6716</v>
      </c>
      <c r="AN575" t="s">
        <v>6717</v>
      </c>
      <c r="AO575" t="s">
        <v>6718</v>
      </c>
      <c r="AP575" t="s">
        <v>68</v>
      </c>
      <c r="AR575" t="s">
        <v>6719</v>
      </c>
      <c r="AS575" t="s">
        <v>6720</v>
      </c>
      <c r="AT575" t="s">
        <v>6721</v>
      </c>
      <c r="AW575" s="14" t="s">
        <v>72</v>
      </c>
      <c r="AX575" s="14" t="s">
        <v>73</v>
      </c>
      <c r="AY575" s="14" t="s">
        <v>74</v>
      </c>
    </row>
    <row r="576" spans="1:51" ht="15" customHeight="1" x14ac:dyDescent="0.4">
      <c r="A576" s="12">
        <v>3906</v>
      </c>
      <c r="B576" s="21" t="s">
        <v>6722</v>
      </c>
      <c r="C576" s="13" t="s">
        <v>6723</v>
      </c>
      <c r="D576" s="25" t="s">
        <v>6723</v>
      </c>
      <c r="E576" s="13"/>
      <c r="F576" s="41"/>
      <c r="G576" s="41"/>
      <c r="H576" s="41"/>
      <c r="I576" s="14" t="s">
        <v>49</v>
      </c>
      <c r="J576" s="15">
        <v>44803</v>
      </c>
      <c r="K576" t="s">
        <v>2719</v>
      </c>
      <c r="L576" t="s">
        <v>51</v>
      </c>
      <c r="M576" t="s">
        <v>52</v>
      </c>
      <c r="N576" t="s">
        <v>53</v>
      </c>
      <c r="O576" t="s">
        <v>6554</v>
      </c>
      <c r="P576" t="s">
        <v>6555</v>
      </c>
      <c r="Q576" t="s">
        <v>56</v>
      </c>
      <c r="R576" t="s">
        <v>6556</v>
      </c>
      <c r="S576" s="21" t="s">
        <v>6557</v>
      </c>
      <c r="T576" t="s">
        <v>6724</v>
      </c>
      <c r="U576" t="s">
        <v>6725</v>
      </c>
      <c r="Y576" t="s">
        <v>60</v>
      </c>
      <c r="AA576" s="15"/>
      <c r="AC576">
        <v>34.802582000000001</v>
      </c>
      <c r="AD576">
        <v>-92.327239000000006</v>
      </c>
      <c r="AE576" t="s">
        <v>6643</v>
      </c>
      <c r="AH576" t="s">
        <v>1715</v>
      </c>
      <c r="AI576" t="s">
        <v>63</v>
      </c>
      <c r="AJ576" t="s">
        <v>6726</v>
      </c>
      <c r="AK576">
        <v>194573</v>
      </c>
      <c r="AM576" t="s">
        <v>6727</v>
      </c>
      <c r="AN576" t="s">
        <v>6728</v>
      </c>
      <c r="AO576" t="s">
        <v>6729</v>
      </c>
      <c r="AP576" t="s">
        <v>68</v>
      </c>
      <c r="AR576" t="s">
        <v>6730</v>
      </c>
      <c r="AS576" t="s">
        <v>6731</v>
      </c>
      <c r="AT576" t="s">
        <v>6732</v>
      </c>
      <c r="AW576" s="14" t="s">
        <v>72</v>
      </c>
      <c r="AX576" s="14" t="s">
        <v>73</v>
      </c>
      <c r="AY576" s="14" t="s">
        <v>74</v>
      </c>
    </row>
    <row r="577" spans="1:51" ht="15" customHeight="1" x14ac:dyDescent="0.4">
      <c r="A577" s="12">
        <v>3907</v>
      </c>
      <c r="B577" s="21" t="s">
        <v>6733</v>
      </c>
      <c r="C577" s="13" t="s">
        <v>6734</v>
      </c>
      <c r="D577" s="25" t="s">
        <v>6734</v>
      </c>
      <c r="E577" s="13"/>
      <c r="F577" s="41"/>
      <c r="G577" s="41"/>
      <c r="H577" s="41"/>
      <c r="I577" s="14" t="s">
        <v>1878</v>
      </c>
      <c r="J577" s="15">
        <v>44803</v>
      </c>
      <c r="K577" t="s">
        <v>2719</v>
      </c>
      <c r="L577" t="s">
        <v>51</v>
      </c>
      <c r="M577" t="s">
        <v>52</v>
      </c>
      <c r="N577" t="s">
        <v>53</v>
      </c>
      <c r="O577" t="s">
        <v>6554</v>
      </c>
      <c r="P577" t="s">
        <v>6555</v>
      </c>
      <c r="Q577" t="s">
        <v>56</v>
      </c>
      <c r="R577" t="s">
        <v>6556</v>
      </c>
      <c r="S577" s="21" t="s">
        <v>6557</v>
      </c>
      <c r="T577" t="s">
        <v>6735</v>
      </c>
      <c r="U577" t="s">
        <v>6736</v>
      </c>
      <c r="Y577" t="s">
        <v>1881</v>
      </c>
      <c r="AA577" s="15"/>
      <c r="AC577">
        <v>34.803696000000002</v>
      </c>
      <c r="AD577">
        <v>-92.327312000000006</v>
      </c>
      <c r="AE577" t="s">
        <v>6655</v>
      </c>
      <c r="AH577" t="s">
        <v>1715</v>
      </c>
      <c r="AI577" t="s">
        <v>63</v>
      </c>
      <c r="AJ577" t="s">
        <v>6737</v>
      </c>
      <c r="AK577">
        <v>194167</v>
      </c>
      <c r="AM577" t="s">
        <v>6738</v>
      </c>
      <c r="AN577" t="s">
        <v>6739</v>
      </c>
      <c r="AO577" t="s">
        <v>6740</v>
      </c>
      <c r="AP577" t="s">
        <v>68</v>
      </c>
      <c r="AR577" t="s">
        <v>6741</v>
      </c>
      <c r="AS577" t="s">
        <v>6742</v>
      </c>
      <c r="AT577" t="s">
        <v>6743</v>
      </c>
      <c r="AW577" s="14" t="s">
        <v>72</v>
      </c>
      <c r="AX577" s="14" t="s">
        <v>73</v>
      </c>
      <c r="AY577" s="14" t="s">
        <v>1723</v>
      </c>
    </row>
    <row r="578" spans="1:51" ht="15" customHeight="1" x14ac:dyDescent="0.4">
      <c r="A578" s="12">
        <v>3908</v>
      </c>
      <c r="B578" s="21" t="s">
        <v>6744</v>
      </c>
      <c r="C578" s="13" t="s">
        <v>6745</v>
      </c>
      <c r="D578" s="25" t="s">
        <v>6745</v>
      </c>
      <c r="E578" s="13"/>
      <c r="F578" s="41"/>
      <c r="G578" s="41"/>
      <c r="H578" s="41"/>
      <c r="I578" s="14" t="s">
        <v>1752</v>
      </c>
      <c r="J578" s="15">
        <v>44803</v>
      </c>
      <c r="K578" t="s">
        <v>2719</v>
      </c>
      <c r="L578" t="s">
        <v>51</v>
      </c>
      <c r="M578" t="s">
        <v>52</v>
      </c>
      <c r="N578" t="s">
        <v>53</v>
      </c>
      <c r="O578" t="s">
        <v>6554</v>
      </c>
      <c r="P578" t="s">
        <v>6555</v>
      </c>
      <c r="Q578" t="s">
        <v>56</v>
      </c>
      <c r="R578" t="s">
        <v>6556</v>
      </c>
      <c r="S578" s="21" t="s">
        <v>6557</v>
      </c>
      <c r="T578" t="s">
        <v>6746</v>
      </c>
      <c r="U578" t="s">
        <v>6747</v>
      </c>
      <c r="Y578" t="s">
        <v>1759</v>
      </c>
      <c r="AA578" s="15"/>
      <c r="AC578">
        <v>34.805413999999999</v>
      </c>
      <c r="AD578">
        <v>-92.324095999999997</v>
      </c>
      <c r="AE578" t="s">
        <v>6572</v>
      </c>
      <c r="AH578" t="s">
        <v>1715</v>
      </c>
      <c r="AI578" t="s">
        <v>63</v>
      </c>
      <c r="AJ578" t="s">
        <v>6748</v>
      </c>
      <c r="AK578">
        <v>193552</v>
      </c>
      <c r="AM578" t="s">
        <v>6749</v>
      </c>
      <c r="AN578" t="s">
        <v>6750</v>
      </c>
      <c r="AO578" t="s">
        <v>6751</v>
      </c>
      <c r="AP578" t="s">
        <v>68</v>
      </c>
      <c r="AR578" t="s">
        <v>6752</v>
      </c>
      <c r="AS578" t="s">
        <v>6753</v>
      </c>
      <c r="AT578" t="s">
        <v>6754</v>
      </c>
      <c r="AW578" s="14" t="s">
        <v>72</v>
      </c>
      <c r="AX578" s="14" t="s">
        <v>73</v>
      </c>
      <c r="AY578" s="14" t="s">
        <v>1768</v>
      </c>
    </row>
    <row r="579" spans="1:51" ht="15" customHeight="1" x14ac:dyDescent="0.4">
      <c r="A579" s="12">
        <v>3909</v>
      </c>
      <c r="B579" s="21" t="s">
        <v>6755</v>
      </c>
      <c r="C579" s="13" t="s">
        <v>6756</v>
      </c>
      <c r="D579" s="25" t="s">
        <v>6756</v>
      </c>
      <c r="E579" s="13"/>
      <c r="F579" s="41"/>
      <c r="G579" s="41"/>
      <c r="H579" s="41"/>
      <c r="I579" s="14" t="s">
        <v>49</v>
      </c>
      <c r="J579" s="15">
        <v>44803</v>
      </c>
      <c r="K579" t="s">
        <v>2719</v>
      </c>
      <c r="L579" t="s">
        <v>51</v>
      </c>
      <c r="M579" t="s">
        <v>52</v>
      </c>
      <c r="N579" t="s">
        <v>53</v>
      </c>
      <c r="O579" t="s">
        <v>6554</v>
      </c>
      <c r="P579" t="s">
        <v>6555</v>
      </c>
      <c r="Q579" t="s">
        <v>56</v>
      </c>
      <c r="R579" t="s">
        <v>6556</v>
      </c>
      <c r="S579" s="21" t="s">
        <v>6557</v>
      </c>
      <c r="T579" t="s">
        <v>6757</v>
      </c>
      <c r="U579" t="s">
        <v>6758</v>
      </c>
      <c r="X579" t="s">
        <v>1758</v>
      </c>
      <c r="Y579" t="s">
        <v>60</v>
      </c>
      <c r="AA579" s="15"/>
      <c r="AC579">
        <v>34.806089999999998</v>
      </c>
      <c r="AD579">
        <v>-92.323036000000002</v>
      </c>
      <c r="AE579" t="s">
        <v>6560</v>
      </c>
      <c r="AH579" t="s">
        <v>1715</v>
      </c>
      <c r="AI579" t="s">
        <v>63</v>
      </c>
      <c r="AJ579" t="s">
        <v>6759</v>
      </c>
      <c r="AK579">
        <v>194572</v>
      </c>
      <c r="AM579" t="s">
        <v>6760</v>
      </c>
      <c r="AN579" t="s">
        <v>6761</v>
      </c>
      <c r="AO579" t="s">
        <v>6762</v>
      </c>
      <c r="AP579" t="s">
        <v>68</v>
      </c>
      <c r="AR579" t="s">
        <v>6763</v>
      </c>
      <c r="AS579" t="s">
        <v>6764</v>
      </c>
      <c r="AT579" t="s">
        <v>6765</v>
      </c>
      <c r="AW579" s="14" t="s">
        <v>72</v>
      </c>
      <c r="AX579" s="14" t="s">
        <v>73</v>
      </c>
      <c r="AY579" s="14" t="s">
        <v>74</v>
      </c>
    </row>
    <row r="580" spans="1:51" ht="15" customHeight="1" x14ac:dyDescent="0.4">
      <c r="A580" s="12">
        <v>3910</v>
      </c>
      <c r="B580" s="21" t="s">
        <v>6766</v>
      </c>
      <c r="C580" s="13" t="s">
        <v>6767</v>
      </c>
      <c r="D580" s="25" t="s">
        <v>6767</v>
      </c>
      <c r="E580" s="13"/>
      <c r="F580" s="41"/>
      <c r="G580" s="41"/>
      <c r="H580" s="41"/>
      <c r="I580" s="14" t="s">
        <v>2006</v>
      </c>
      <c r="J580" s="15">
        <v>44803</v>
      </c>
      <c r="K580" t="s">
        <v>2719</v>
      </c>
      <c r="L580" t="s">
        <v>51</v>
      </c>
      <c r="M580" t="s">
        <v>52</v>
      </c>
      <c r="N580" t="s">
        <v>53</v>
      </c>
      <c r="O580" t="s">
        <v>6554</v>
      </c>
      <c r="P580" t="s">
        <v>6555</v>
      </c>
      <c r="Q580" t="s">
        <v>56</v>
      </c>
      <c r="R580" t="s">
        <v>6556</v>
      </c>
      <c r="S580" s="21" t="s">
        <v>6557</v>
      </c>
      <c r="T580" t="s">
        <v>6768</v>
      </c>
      <c r="U580" t="s">
        <v>6769</v>
      </c>
      <c r="X580" t="s">
        <v>1758</v>
      </c>
      <c r="Y580" t="s">
        <v>2009</v>
      </c>
      <c r="AA580" s="15"/>
      <c r="AC580">
        <v>34.806755000000003</v>
      </c>
      <c r="AD580">
        <v>-92.322327999999999</v>
      </c>
      <c r="AE580" t="s">
        <v>6770</v>
      </c>
      <c r="AH580" t="s">
        <v>1715</v>
      </c>
      <c r="AI580" t="s">
        <v>63</v>
      </c>
      <c r="AJ580" t="s">
        <v>6771</v>
      </c>
      <c r="AK580">
        <v>194237</v>
      </c>
      <c r="AM580" t="s">
        <v>6772</v>
      </c>
      <c r="AN580" t="s">
        <v>6773</v>
      </c>
      <c r="AO580" t="s">
        <v>6774</v>
      </c>
      <c r="AP580" t="s">
        <v>68</v>
      </c>
      <c r="AR580" t="s">
        <v>6775</v>
      </c>
      <c r="AS580" t="s">
        <v>6776</v>
      </c>
      <c r="AT580" t="s">
        <v>6777</v>
      </c>
      <c r="AW580" s="14" t="s">
        <v>72</v>
      </c>
      <c r="AX580" s="14" t="s">
        <v>73</v>
      </c>
      <c r="AY580" s="14" t="s">
        <v>74</v>
      </c>
    </row>
    <row r="581" spans="1:51" ht="15" customHeight="1" x14ac:dyDescent="0.4">
      <c r="A581" s="12">
        <v>3911</v>
      </c>
      <c r="B581" s="21" t="s">
        <v>6778</v>
      </c>
      <c r="C581" s="13" t="s">
        <v>6779</v>
      </c>
      <c r="D581" s="25" t="s">
        <v>6779</v>
      </c>
      <c r="E581" s="13"/>
      <c r="F581" s="41"/>
      <c r="G581" s="41"/>
      <c r="H581" s="41"/>
      <c r="I581" s="14" t="s">
        <v>1878</v>
      </c>
      <c r="J581" s="15">
        <v>44803</v>
      </c>
      <c r="K581" t="s">
        <v>2719</v>
      </c>
      <c r="L581" t="s">
        <v>51</v>
      </c>
      <c r="M581" t="s">
        <v>52</v>
      </c>
      <c r="N581" t="s">
        <v>53</v>
      </c>
      <c r="O581" t="s">
        <v>6554</v>
      </c>
      <c r="P581" t="s">
        <v>6555</v>
      </c>
      <c r="Q581" t="s">
        <v>56</v>
      </c>
      <c r="R581" t="s">
        <v>6556</v>
      </c>
      <c r="S581" s="21" t="s">
        <v>6557</v>
      </c>
      <c r="T581" t="s">
        <v>6780</v>
      </c>
      <c r="U581" t="s">
        <v>6781</v>
      </c>
      <c r="Y581" t="s">
        <v>1881</v>
      </c>
      <c r="AA581" s="15"/>
      <c r="AC581">
        <v>34.808943999999997</v>
      </c>
      <c r="AD581">
        <v>-92.326110999999997</v>
      </c>
      <c r="AE581" t="s">
        <v>6782</v>
      </c>
      <c r="AH581" t="s">
        <v>1715</v>
      </c>
      <c r="AI581" t="s">
        <v>63</v>
      </c>
      <c r="AJ581" t="s">
        <v>6783</v>
      </c>
      <c r="AK581">
        <v>194168</v>
      </c>
      <c r="AM581" t="s">
        <v>6784</v>
      </c>
      <c r="AN581" t="s">
        <v>6785</v>
      </c>
      <c r="AO581" t="s">
        <v>6786</v>
      </c>
      <c r="AP581" t="s">
        <v>68</v>
      </c>
      <c r="AR581" t="s">
        <v>6787</v>
      </c>
      <c r="AS581" t="s">
        <v>6788</v>
      </c>
      <c r="AT581" t="s">
        <v>6789</v>
      </c>
      <c r="AW581" s="14" t="s">
        <v>72</v>
      </c>
      <c r="AX581" s="14" t="s">
        <v>73</v>
      </c>
      <c r="AY581" s="14" t="s">
        <v>1723</v>
      </c>
    </row>
    <row r="582" spans="1:51" ht="15" customHeight="1" x14ac:dyDescent="0.4">
      <c r="A582" s="12">
        <v>3912</v>
      </c>
      <c r="B582" s="21" t="s">
        <v>6790</v>
      </c>
      <c r="C582" s="13" t="s">
        <v>6791</v>
      </c>
      <c r="D582" s="25" t="s">
        <v>6791</v>
      </c>
      <c r="E582" s="13"/>
      <c r="F582" s="41"/>
      <c r="G582" s="41"/>
      <c r="H582" s="41"/>
      <c r="I582" s="14" t="s">
        <v>1878</v>
      </c>
      <c r="J582" s="15">
        <v>44803</v>
      </c>
      <c r="K582" t="s">
        <v>2719</v>
      </c>
      <c r="L582" t="s">
        <v>51</v>
      </c>
      <c r="M582" t="s">
        <v>52</v>
      </c>
      <c r="N582" t="s">
        <v>53</v>
      </c>
      <c r="O582" t="s">
        <v>6554</v>
      </c>
      <c r="P582" t="s">
        <v>6555</v>
      </c>
      <c r="Q582" t="s">
        <v>56</v>
      </c>
      <c r="R582" t="s">
        <v>6556</v>
      </c>
      <c r="S582" s="21" t="s">
        <v>6557</v>
      </c>
      <c r="T582" t="s">
        <v>6792</v>
      </c>
      <c r="U582" t="s">
        <v>6793</v>
      </c>
      <c r="Y582" t="s">
        <v>1881</v>
      </c>
      <c r="AA582" s="15"/>
      <c r="AC582">
        <v>34.809268000000003</v>
      </c>
      <c r="AD582">
        <v>-92.327698999999996</v>
      </c>
      <c r="AE582" t="s">
        <v>6678</v>
      </c>
      <c r="AH582" t="s">
        <v>1715</v>
      </c>
      <c r="AI582" t="s">
        <v>63</v>
      </c>
      <c r="AJ582" t="s">
        <v>6794</v>
      </c>
      <c r="AK582">
        <v>194169</v>
      </c>
      <c r="AM582" t="s">
        <v>6795</v>
      </c>
      <c r="AN582" t="s">
        <v>6796</v>
      </c>
      <c r="AO582" t="s">
        <v>6797</v>
      </c>
      <c r="AP582" t="s">
        <v>68</v>
      </c>
      <c r="AR582" t="s">
        <v>6798</v>
      </c>
      <c r="AS582" t="s">
        <v>6799</v>
      </c>
      <c r="AT582" t="s">
        <v>6800</v>
      </c>
      <c r="AW582" s="14" t="s">
        <v>72</v>
      </c>
      <c r="AX582" s="14" t="s">
        <v>73</v>
      </c>
      <c r="AY582" s="14" t="s">
        <v>1723</v>
      </c>
    </row>
    <row r="583" spans="1:51" ht="15" customHeight="1" x14ac:dyDescent="0.4">
      <c r="A583" s="12">
        <v>3913</v>
      </c>
      <c r="B583" s="21" t="s">
        <v>6801</v>
      </c>
      <c r="C583" s="13" t="s">
        <v>6802</v>
      </c>
      <c r="D583" s="25" t="s">
        <v>6802</v>
      </c>
      <c r="E583" s="13"/>
      <c r="F583" s="41"/>
      <c r="G583" s="41"/>
      <c r="H583" s="41"/>
      <c r="I583" s="14" t="s">
        <v>49</v>
      </c>
      <c r="J583" s="15">
        <v>44805</v>
      </c>
      <c r="K583" t="s">
        <v>2719</v>
      </c>
      <c r="L583" t="s">
        <v>51</v>
      </c>
      <c r="M583" t="s">
        <v>52</v>
      </c>
      <c r="N583" t="s">
        <v>53</v>
      </c>
      <c r="O583" t="s">
        <v>6803</v>
      </c>
      <c r="P583" t="s">
        <v>6804</v>
      </c>
      <c r="Q583" t="s">
        <v>56</v>
      </c>
      <c r="R583" s="21" t="s">
        <v>6805</v>
      </c>
      <c r="S583" s="21"/>
      <c r="T583" t="s">
        <v>6806</v>
      </c>
      <c r="U583" t="s">
        <v>6807</v>
      </c>
      <c r="Y583" t="s">
        <v>60</v>
      </c>
      <c r="AA583" s="15"/>
      <c r="AC583">
        <v>29.37387</v>
      </c>
      <c r="AD583">
        <v>-95.580348999999998</v>
      </c>
      <c r="AE583" t="s">
        <v>6808</v>
      </c>
      <c r="AH583" t="s">
        <v>1715</v>
      </c>
      <c r="AI583" t="s">
        <v>63</v>
      </c>
      <c r="AJ583" t="s">
        <v>6809</v>
      </c>
      <c r="AK583">
        <v>194584</v>
      </c>
      <c r="AM583" t="s">
        <v>6810</v>
      </c>
      <c r="AN583" t="s">
        <v>6811</v>
      </c>
      <c r="AO583" t="s">
        <v>6812</v>
      </c>
      <c r="AP583" t="s">
        <v>68</v>
      </c>
      <c r="AR583" t="s">
        <v>6813</v>
      </c>
      <c r="AS583" t="s">
        <v>6814</v>
      </c>
      <c r="AT583" t="s">
        <v>6815</v>
      </c>
      <c r="AW583" s="14" t="s">
        <v>72</v>
      </c>
      <c r="AX583" s="14" t="s">
        <v>73</v>
      </c>
      <c r="AY583" s="14" t="s">
        <v>74</v>
      </c>
    </row>
    <row r="584" spans="1:51" ht="15" customHeight="1" x14ac:dyDescent="0.4">
      <c r="A584" s="12">
        <v>3914</v>
      </c>
      <c r="B584" s="21" t="s">
        <v>6816</v>
      </c>
      <c r="C584" s="13" t="s">
        <v>6817</v>
      </c>
      <c r="D584" s="25" t="s">
        <v>6817</v>
      </c>
      <c r="E584" s="13"/>
      <c r="F584" s="41"/>
      <c r="G584" s="41"/>
      <c r="H584" s="41"/>
      <c r="I584" s="14" t="s">
        <v>49</v>
      </c>
      <c r="J584" s="15">
        <v>44805</v>
      </c>
      <c r="K584" t="s">
        <v>2719</v>
      </c>
      <c r="L584" t="s">
        <v>51</v>
      </c>
      <c r="M584" t="s">
        <v>52</v>
      </c>
      <c r="N584" t="s">
        <v>53</v>
      </c>
      <c r="O584" t="s">
        <v>6803</v>
      </c>
      <c r="P584" t="s">
        <v>6804</v>
      </c>
      <c r="Q584" t="s">
        <v>56</v>
      </c>
      <c r="R584" s="21" t="s">
        <v>6805</v>
      </c>
      <c r="S584" s="21"/>
      <c r="T584" t="s">
        <v>6818</v>
      </c>
      <c r="U584" t="s">
        <v>6819</v>
      </c>
      <c r="Y584" t="s">
        <v>60</v>
      </c>
      <c r="AA584" s="15"/>
      <c r="AC584">
        <v>29.373913999999999</v>
      </c>
      <c r="AD584">
        <v>-95.579059999999998</v>
      </c>
      <c r="AE584" t="s">
        <v>6820</v>
      </c>
      <c r="AH584" t="s">
        <v>1715</v>
      </c>
      <c r="AI584" t="s">
        <v>63</v>
      </c>
      <c r="AJ584" t="s">
        <v>6821</v>
      </c>
      <c r="AK584">
        <v>194585</v>
      </c>
      <c r="AM584" t="s">
        <v>6822</v>
      </c>
      <c r="AN584" t="s">
        <v>6823</v>
      </c>
      <c r="AO584" t="s">
        <v>6824</v>
      </c>
      <c r="AP584" t="s">
        <v>68</v>
      </c>
      <c r="AR584" t="s">
        <v>6825</v>
      </c>
      <c r="AS584" t="s">
        <v>6826</v>
      </c>
      <c r="AT584" t="s">
        <v>6827</v>
      </c>
      <c r="AW584" s="14" t="s">
        <v>72</v>
      </c>
      <c r="AX584" s="14" t="s">
        <v>73</v>
      </c>
      <c r="AY584" s="14" t="s">
        <v>74</v>
      </c>
    </row>
    <row r="585" spans="1:51" ht="15" customHeight="1" x14ac:dyDescent="0.4">
      <c r="A585" s="12">
        <v>3915</v>
      </c>
      <c r="B585" s="21" t="s">
        <v>6828</v>
      </c>
      <c r="C585" s="13" t="s">
        <v>6829</v>
      </c>
      <c r="D585" s="25" t="s">
        <v>6829</v>
      </c>
      <c r="E585" s="13"/>
      <c r="F585" s="41"/>
      <c r="G585" s="41"/>
      <c r="H585" s="41"/>
      <c r="I585" s="14" t="s">
        <v>49</v>
      </c>
      <c r="J585" s="15">
        <v>44805</v>
      </c>
      <c r="K585" t="s">
        <v>2719</v>
      </c>
      <c r="L585" t="s">
        <v>51</v>
      </c>
      <c r="M585" t="s">
        <v>52</v>
      </c>
      <c r="N585" t="s">
        <v>53</v>
      </c>
      <c r="O585" t="s">
        <v>6803</v>
      </c>
      <c r="P585" t="s">
        <v>6804</v>
      </c>
      <c r="Q585" t="s">
        <v>56</v>
      </c>
      <c r="R585" s="21" t="s">
        <v>6805</v>
      </c>
      <c r="S585" s="21"/>
      <c r="T585" t="s">
        <v>6830</v>
      </c>
      <c r="U585" t="s">
        <v>6831</v>
      </c>
      <c r="Y585" t="s">
        <v>60</v>
      </c>
      <c r="AA585" s="15"/>
      <c r="AC585">
        <v>29.374410999999998</v>
      </c>
      <c r="AD585">
        <v>-95.576746999999997</v>
      </c>
      <c r="AE585" t="s">
        <v>6832</v>
      </c>
      <c r="AH585" t="s">
        <v>1715</v>
      </c>
      <c r="AI585" t="s">
        <v>63</v>
      </c>
      <c r="AJ585" t="s">
        <v>6833</v>
      </c>
      <c r="AK585">
        <v>194586</v>
      </c>
      <c r="AM585" t="s">
        <v>6834</v>
      </c>
      <c r="AN585" t="s">
        <v>6835</v>
      </c>
      <c r="AO585" t="s">
        <v>6836</v>
      </c>
      <c r="AP585" t="s">
        <v>68</v>
      </c>
      <c r="AR585" t="s">
        <v>6837</v>
      </c>
      <c r="AS585" t="s">
        <v>6838</v>
      </c>
      <c r="AT585" t="s">
        <v>6839</v>
      </c>
      <c r="AW585" s="14" t="s">
        <v>72</v>
      </c>
      <c r="AX585" s="14" t="s">
        <v>73</v>
      </c>
      <c r="AY585" s="14" t="s">
        <v>74</v>
      </c>
    </row>
    <row r="586" spans="1:51" ht="15" customHeight="1" x14ac:dyDescent="0.4">
      <c r="A586" s="12">
        <v>3916</v>
      </c>
      <c r="B586" s="21" t="s">
        <v>6840</v>
      </c>
      <c r="C586" s="13" t="s">
        <v>6841</v>
      </c>
      <c r="D586" s="25" t="s">
        <v>6841</v>
      </c>
      <c r="E586" s="13"/>
      <c r="F586" s="41"/>
      <c r="G586" s="41"/>
      <c r="H586" s="41"/>
      <c r="I586" s="14" t="s">
        <v>49</v>
      </c>
      <c r="J586" s="15">
        <v>44805</v>
      </c>
      <c r="K586" t="s">
        <v>2719</v>
      </c>
      <c r="L586" t="s">
        <v>51</v>
      </c>
      <c r="M586" t="s">
        <v>52</v>
      </c>
      <c r="N586" t="s">
        <v>53</v>
      </c>
      <c r="O586" t="s">
        <v>6803</v>
      </c>
      <c r="P586" t="s">
        <v>6804</v>
      </c>
      <c r="Q586" t="s">
        <v>56</v>
      </c>
      <c r="R586" s="21" t="s">
        <v>6805</v>
      </c>
      <c r="S586" s="21"/>
      <c r="T586" t="s">
        <v>6842</v>
      </c>
      <c r="U586" t="s">
        <v>6843</v>
      </c>
      <c r="Y586" t="s">
        <v>60</v>
      </c>
      <c r="AA586" s="15"/>
      <c r="AC586">
        <v>29.375257999999999</v>
      </c>
      <c r="AD586">
        <v>-95.576690999999997</v>
      </c>
      <c r="AE586" t="s">
        <v>6844</v>
      </c>
      <c r="AH586" t="s">
        <v>1715</v>
      </c>
      <c r="AI586" t="s">
        <v>63</v>
      </c>
      <c r="AJ586" t="s">
        <v>6845</v>
      </c>
      <c r="AK586">
        <v>192578</v>
      </c>
      <c r="AM586" t="s">
        <v>6846</v>
      </c>
      <c r="AN586" t="s">
        <v>6847</v>
      </c>
      <c r="AO586" t="s">
        <v>6848</v>
      </c>
      <c r="AP586" t="s">
        <v>68</v>
      </c>
      <c r="AQ586" t="s">
        <v>6849</v>
      </c>
      <c r="AR586" t="s">
        <v>6850</v>
      </c>
      <c r="AS586" t="s">
        <v>6851</v>
      </c>
      <c r="AT586" t="s">
        <v>6852</v>
      </c>
      <c r="AU586" s="31" t="s">
        <v>6853</v>
      </c>
      <c r="AW586" s="14" t="s">
        <v>72</v>
      </c>
      <c r="AX586" s="14" t="s">
        <v>73</v>
      </c>
      <c r="AY586" s="14" t="s">
        <v>74</v>
      </c>
    </row>
    <row r="587" spans="1:51" ht="15" customHeight="1" x14ac:dyDescent="0.4">
      <c r="A587" s="12">
        <v>3917</v>
      </c>
      <c r="B587" s="21" t="s">
        <v>6854</v>
      </c>
      <c r="C587" s="13" t="s">
        <v>6855</v>
      </c>
      <c r="D587" s="25" t="s">
        <v>6855</v>
      </c>
      <c r="E587" s="13"/>
      <c r="F587" s="41"/>
      <c r="G587" s="41"/>
      <c r="H587" s="41"/>
      <c r="I587" s="14" t="s">
        <v>1703</v>
      </c>
      <c r="J587" s="15">
        <v>44805</v>
      </c>
      <c r="K587" t="s">
        <v>2719</v>
      </c>
      <c r="L587" t="s">
        <v>51</v>
      </c>
      <c r="M587" t="s">
        <v>52</v>
      </c>
      <c r="N587" t="s">
        <v>53</v>
      </c>
      <c r="O587" t="s">
        <v>6803</v>
      </c>
      <c r="P587" t="s">
        <v>6804</v>
      </c>
      <c r="Q587" t="s">
        <v>56</v>
      </c>
      <c r="R587" s="21" t="s">
        <v>6805</v>
      </c>
      <c r="S587" s="21"/>
      <c r="T587" t="s">
        <v>6856</v>
      </c>
      <c r="U587" t="s">
        <v>6857</v>
      </c>
      <c r="Y587" t="s">
        <v>1713</v>
      </c>
      <c r="AA587" s="15"/>
      <c r="AC587">
        <v>29.375263</v>
      </c>
      <c r="AD587">
        <v>-95.585273000000001</v>
      </c>
      <c r="AE587" t="s">
        <v>6858</v>
      </c>
      <c r="AH587" t="s">
        <v>1715</v>
      </c>
      <c r="AI587" t="s">
        <v>63</v>
      </c>
      <c r="AJ587" t="s">
        <v>6859</v>
      </c>
      <c r="AK587">
        <v>193749</v>
      </c>
      <c r="AM587" t="s">
        <v>6860</v>
      </c>
      <c r="AN587" t="s">
        <v>6861</v>
      </c>
      <c r="AO587" t="s">
        <v>6862</v>
      </c>
      <c r="AP587" t="s">
        <v>68</v>
      </c>
      <c r="AR587" t="s">
        <v>6863</v>
      </c>
      <c r="AS587" t="s">
        <v>6864</v>
      </c>
      <c r="AT587" t="s">
        <v>6865</v>
      </c>
      <c r="AW587" s="14" t="s">
        <v>72</v>
      </c>
      <c r="AX587" s="14" t="s">
        <v>73</v>
      </c>
      <c r="AY587" s="14" t="s">
        <v>1723</v>
      </c>
    </row>
    <row r="588" spans="1:51" ht="15" customHeight="1" x14ac:dyDescent="0.4">
      <c r="A588" s="12">
        <v>3918</v>
      </c>
      <c r="B588" s="21" t="s">
        <v>6866</v>
      </c>
      <c r="C588" s="13" t="s">
        <v>6867</v>
      </c>
      <c r="D588" s="25" t="s">
        <v>6867</v>
      </c>
      <c r="E588" s="13"/>
      <c r="F588" s="41"/>
      <c r="G588" s="41"/>
      <c r="H588" s="41"/>
      <c r="I588" s="14" t="s">
        <v>1703</v>
      </c>
      <c r="J588" s="15">
        <v>44805</v>
      </c>
      <c r="K588" t="s">
        <v>2719</v>
      </c>
      <c r="L588" t="s">
        <v>51</v>
      </c>
      <c r="M588" t="s">
        <v>52</v>
      </c>
      <c r="N588" t="s">
        <v>53</v>
      </c>
      <c r="O588" t="s">
        <v>6803</v>
      </c>
      <c r="P588" t="s">
        <v>6804</v>
      </c>
      <c r="Q588" t="s">
        <v>56</v>
      </c>
      <c r="R588" s="21" t="s">
        <v>6805</v>
      </c>
      <c r="S588" s="21"/>
      <c r="T588" t="s">
        <v>6868</v>
      </c>
      <c r="U588" t="s">
        <v>6869</v>
      </c>
      <c r="Y588" t="s">
        <v>1713</v>
      </c>
      <c r="AA588" s="15"/>
      <c r="AC588">
        <v>29.374983</v>
      </c>
      <c r="AD588">
        <v>-95.586538000000004</v>
      </c>
      <c r="AE588" t="s">
        <v>6808</v>
      </c>
      <c r="AH588" t="s">
        <v>1715</v>
      </c>
      <c r="AI588" t="s">
        <v>63</v>
      </c>
      <c r="AJ588" t="s">
        <v>6870</v>
      </c>
      <c r="AK588">
        <v>193750</v>
      </c>
      <c r="AM588" t="s">
        <v>6871</v>
      </c>
      <c r="AN588" t="s">
        <v>6872</v>
      </c>
      <c r="AO588" t="s">
        <v>6873</v>
      </c>
      <c r="AP588" t="s">
        <v>68</v>
      </c>
      <c r="AR588" t="s">
        <v>6874</v>
      </c>
      <c r="AS588" t="s">
        <v>6875</v>
      </c>
      <c r="AT588" t="s">
        <v>6876</v>
      </c>
      <c r="AW588" s="14" t="s">
        <v>72</v>
      </c>
      <c r="AX588" s="14" t="s">
        <v>73</v>
      </c>
      <c r="AY588" s="14" t="s">
        <v>1723</v>
      </c>
    </row>
    <row r="589" spans="1:51" ht="15" customHeight="1" x14ac:dyDescent="0.4">
      <c r="A589" s="12">
        <v>3919</v>
      </c>
      <c r="B589" s="21" t="s">
        <v>6877</v>
      </c>
      <c r="C589" s="13" t="s">
        <v>6878</v>
      </c>
      <c r="D589" s="25" t="s">
        <v>6878</v>
      </c>
      <c r="E589" s="13"/>
      <c r="F589" s="41"/>
      <c r="G589" s="41"/>
      <c r="H589" s="41"/>
      <c r="I589" s="14" t="s">
        <v>49</v>
      </c>
      <c r="J589" s="15">
        <v>44805</v>
      </c>
      <c r="K589" t="s">
        <v>2719</v>
      </c>
      <c r="L589" t="s">
        <v>51</v>
      </c>
      <c r="M589" t="s">
        <v>52</v>
      </c>
      <c r="N589" t="s">
        <v>53</v>
      </c>
      <c r="O589" t="s">
        <v>6803</v>
      </c>
      <c r="P589" t="s">
        <v>6804</v>
      </c>
      <c r="Q589" t="s">
        <v>56</v>
      </c>
      <c r="R589" s="21" t="s">
        <v>6805</v>
      </c>
      <c r="S589" s="21"/>
      <c r="T589" t="s">
        <v>6879</v>
      </c>
      <c r="U589" t="s">
        <v>6880</v>
      </c>
      <c r="X589" t="s">
        <v>1758</v>
      </c>
      <c r="Y589" t="s">
        <v>60</v>
      </c>
      <c r="AA589" s="15"/>
      <c r="AC589">
        <v>29.378315000000001</v>
      </c>
      <c r="AD589">
        <v>-95.586521000000005</v>
      </c>
      <c r="AE589" t="s">
        <v>6881</v>
      </c>
      <c r="AH589" t="s">
        <v>1715</v>
      </c>
      <c r="AI589" t="s">
        <v>63</v>
      </c>
      <c r="AJ589" t="s">
        <v>6882</v>
      </c>
      <c r="AK589">
        <v>194566</v>
      </c>
      <c r="AM589" t="s">
        <v>6883</v>
      </c>
      <c r="AN589" t="s">
        <v>6884</v>
      </c>
      <c r="AO589" t="s">
        <v>6885</v>
      </c>
      <c r="AP589" t="s">
        <v>68</v>
      </c>
      <c r="AR589" t="s">
        <v>6886</v>
      </c>
      <c r="AS589" t="s">
        <v>6887</v>
      </c>
      <c r="AT589" t="s">
        <v>6888</v>
      </c>
      <c r="AW589" s="14" t="s">
        <v>72</v>
      </c>
      <c r="AX589" s="14" t="s">
        <v>73</v>
      </c>
      <c r="AY589" s="14" t="s">
        <v>74</v>
      </c>
    </row>
    <row r="590" spans="1:51" ht="15" customHeight="1" x14ac:dyDescent="0.4">
      <c r="A590" s="12">
        <v>3920</v>
      </c>
      <c r="B590" s="21" t="s">
        <v>6889</v>
      </c>
      <c r="C590" s="13" t="s">
        <v>6890</v>
      </c>
      <c r="D590" s="25" t="s">
        <v>6890</v>
      </c>
      <c r="E590" s="13"/>
      <c r="F590" s="41"/>
      <c r="G590" s="41"/>
      <c r="H590" s="41"/>
      <c r="I590" s="14" t="s">
        <v>2006</v>
      </c>
      <c r="J590" s="15">
        <v>44805</v>
      </c>
      <c r="K590" t="s">
        <v>2719</v>
      </c>
      <c r="L590" t="s">
        <v>51</v>
      </c>
      <c r="M590" t="s">
        <v>52</v>
      </c>
      <c r="N590" t="s">
        <v>53</v>
      </c>
      <c r="O590" t="s">
        <v>6803</v>
      </c>
      <c r="P590" t="s">
        <v>6804</v>
      </c>
      <c r="Q590" t="s">
        <v>56</v>
      </c>
      <c r="R590" s="21" t="s">
        <v>6805</v>
      </c>
      <c r="S590" s="21"/>
      <c r="T590" t="s">
        <v>6891</v>
      </c>
      <c r="U590" t="s">
        <v>6892</v>
      </c>
      <c r="Y590" t="s">
        <v>2009</v>
      </c>
      <c r="AA590" s="15"/>
      <c r="AC590">
        <v>29.373101999999999</v>
      </c>
      <c r="AD590">
        <v>-95.608037999999993</v>
      </c>
      <c r="AE590" t="s">
        <v>6893</v>
      </c>
      <c r="AH590" t="s">
        <v>1715</v>
      </c>
      <c r="AI590" t="s">
        <v>63</v>
      </c>
      <c r="AJ590" t="s">
        <v>6894</v>
      </c>
      <c r="AK590">
        <v>194238</v>
      </c>
      <c r="AM590" t="s">
        <v>6895</v>
      </c>
      <c r="AN590" t="s">
        <v>6896</v>
      </c>
      <c r="AO590" t="s">
        <v>6897</v>
      </c>
      <c r="AP590" t="s">
        <v>68</v>
      </c>
      <c r="AR590" t="s">
        <v>6898</v>
      </c>
      <c r="AS590" t="s">
        <v>6899</v>
      </c>
      <c r="AT590" t="s">
        <v>6900</v>
      </c>
      <c r="AW590" s="14" t="s">
        <v>72</v>
      </c>
      <c r="AX590" s="14" t="s">
        <v>73</v>
      </c>
      <c r="AY590" s="14" t="s">
        <v>74</v>
      </c>
    </row>
    <row r="591" spans="1:51" ht="15" customHeight="1" x14ac:dyDescent="0.4">
      <c r="A591" s="12">
        <v>3921</v>
      </c>
      <c r="B591" s="21" t="s">
        <v>6901</v>
      </c>
      <c r="C591" s="13" t="s">
        <v>6902</v>
      </c>
      <c r="D591" s="25" t="s">
        <v>6902</v>
      </c>
      <c r="E591" s="13"/>
      <c r="F591" s="46" t="s">
        <v>3178</v>
      </c>
      <c r="G591" s="46" t="s">
        <v>8114</v>
      </c>
      <c r="H591" s="46"/>
      <c r="I591" s="14" t="s">
        <v>3178</v>
      </c>
      <c r="J591" s="15">
        <v>44806</v>
      </c>
      <c r="K591" t="s">
        <v>2719</v>
      </c>
      <c r="L591" t="s">
        <v>51</v>
      </c>
      <c r="M591" t="s">
        <v>52</v>
      </c>
      <c r="N591" t="s">
        <v>53</v>
      </c>
      <c r="O591" t="s">
        <v>6803</v>
      </c>
      <c r="P591" t="s">
        <v>6903</v>
      </c>
      <c r="Q591" t="s">
        <v>56</v>
      </c>
      <c r="R591" s="21" t="s">
        <v>6904</v>
      </c>
      <c r="S591" s="21"/>
      <c r="T591" t="s">
        <v>6905</v>
      </c>
      <c r="U591" t="s">
        <v>6906</v>
      </c>
      <c r="Y591" t="s">
        <v>6907</v>
      </c>
      <c r="Z591" t="s">
        <v>3181</v>
      </c>
      <c r="AA591" s="15" t="s">
        <v>6908</v>
      </c>
      <c r="AB591" t="s">
        <v>3183</v>
      </c>
      <c r="AC591">
        <v>29.597151</v>
      </c>
      <c r="AD591">
        <v>-97.584878000000003</v>
      </c>
      <c r="AE591" t="s">
        <v>5914</v>
      </c>
      <c r="AH591" t="s">
        <v>1715</v>
      </c>
      <c r="AI591" t="s">
        <v>63</v>
      </c>
      <c r="AJ591" t="s">
        <v>6909</v>
      </c>
      <c r="AK591">
        <v>193691</v>
      </c>
      <c r="AM591" t="s">
        <v>6910</v>
      </c>
      <c r="AN591" t="s">
        <v>6911</v>
      </c>
      <c r="AO591" t="s">
        <v>6912</v>
      </c>
      <c r="AP591" t="s">
        <v>68</v>
      </c>
      <c r="AR591" t="s">
        <v>6913</v>
      </c>
      <c r="AS591" t="s">
        <v>6914</v>
      </c>
      <c r="AT591" t="s">
        <v>6915</v>
      </c>
      <c r="AW591" s="14" t="e">
        <v>#N/A</v>
      </c>
      <c r="AX591" s="14" t="e">
        <v>#N/A</v>
      </c>
      <c r="AY591" s="14" t="e">
        <v>#N/A</v>
      </c>
    </row>
    <row r="592" spans="1:51" ht="15" customHeight="1" x14ac:dyDescent="0.4">
      <c r="A592" s="12">
        <v>3922</v>
      </c>
      <c r="B592" s="21" t="s">
        <v>6916</v>
      </c>
      <c r="C592" s="13" t="s">
        <v>6917</v>
      </c>
      <c r="D592" s="25" t="s">
        <v>6917</v>
      </c>
      <c r="E592" s="13"/>
      <c r="F592" s="41"/>
      <c r="G592" s="41"/>
      <c r="H592" s="41"/>
      <c r="I592" s="14" t="s">
        <v>49</v>
      </c>
      <c r="J592" s="15">
        <v>44806</v>
      </c>
      <c r="K592" t="s">
        <v>2719</v>
      </c>
      <c r="L592" t="s">
        <v>51</v>
      </c>
      <c r="M592" t="s">
        <v>52</v>
      </c>
      <c r="N592" t="s">
        <v>53</v>
      </c>
      <c r="O592" t="s">
        <v>6803</v>
      </c>
      <c r="P592" t="s">
        <v>6903</v>
      </c>
      <c r="Q592" t="s">
        <v>56</v>
      </c>
      <c r="R592" s="21" t="s">
        <v>6904</v>
      </c>
      <c r="S592" s="21"/>
      <c r="T592" t="s">
        <v>6918</v>
      </c>
      <c r="U592" t="s">
        <v>6919</v>
      </c>
      <c r="Y592" t="s">
        <v>60</v>
      </c>
      <c r="AA592" s="15"/>
      <c r="AC592">
        <v>29.588172</v>
      </c>
      <c r="AD592">
        <v>-97.583331999999999</v>
      </c>
      <c r="AE592" t="s">
        <v>2103</v>
      </c>
      <c r="AH592" t="s">
        <v>1715</v>
      </c>
      <c r="AI592" t="s">
        <v>63</v>
      </c>
      <c r="AJ592" t="s">
        <v>6920</v>
      </c>
      <c r="AK592">
        <v>192650</v>
      </c>
      <c r="AM592" t="s">
        <v>6921</v>
      </c>
      <c r="AN592" t="s">
        <v>6922</v>
      </c>
      <c r="AO592" t="s">
        <v>6923</v>
      </c>
      <c r="AP592" t="s">
        <v>68</v>
      </c>
      <c r="AR592" t="s">
        <v>6924</v>
      </c>
      <c r="AS592" t="s">
        <v>6925</v>
      </c>
      <c r="AT592" t="s">
        <v>6926</v>
      </c>
      <c r="AW592" s="14" t="s">
        <v>72</v>
      </c>
      <c r="AX592" s="14" t="s">
        <v>73</v>
      </c>
      <c r="AY592" s="14" t="s">
        <v>74</v>
      </c>
    </row>
    <row r="593" spans="1:51" ht="15" customHeight="1" x14ac:dyDescent="0.4">
      <c r="A593" s="12">
        <v>3923</v>
      </c>
      <c r="B593" s="21" t="s">
        <v>6927</v>
      </c>
      <c r="C593" s="13" t="s">
        <v>6928</v>
      </c>
      <c r="D593" s="25" t="s">
        <v>6928</v>
      </c>
      <c r="E593" s="13"/>
      <c r="F593" s="41"/>
      <c r="G593" s="41"/>
      <c r="H593" s="41"/>
      <c r="I593" s="14" t="s">
        <v>6929</v>
      </c>
      <c r="J593" s="15">
        <v>44806</v>
      </c>
      <c r="K593" t="s">
        <v>2719</v>
      </c>
      <c r="L593" t="s">
        <v>51</v>
      </c>
      <c r="M593" t="s">
        <v>52</v>
      </c>
      <c r="N593" t="s">
        <v>53</v>
      </c>
      <c r="O593" t="s">
        <v>6803</v>
      </c>
      <c r="P593" t="s">
        <v>6903</v>
      </c>
      <c r="Q593" t="s">
        <v>56</v>
      </c>
      <c r="R593" s="21" t="s">
        <v>6904</v>
      </c>
      <c r="S593" s="21"/>
      <c r="T593" t="s">
        <v>6930</v>
      </c>
      <c r="U593" t="s">
        <v>6931</v>
      </c>
      <c r="Y593" t="s">
        <v>6932</v>
      </c>
      <c r="Z593" t="s">
        <v>6933</v>
      </c>
      <c r="AA593" s="15">
        <v>45258</v>
      </c>
      <c r="AB593" t="s">
        <v>6934</v>
      </c>
      <c r="AC593">
        <v>29.588159000000001</v>
      </c>
      <c r="AD593">
        <v>-97.583341000000004</v>
      </c>
      <c r="AE593" t="s">
        <v>2103</v>
      </c>
      <c r="AH593" t="s">
        <v>1715</v>
      </c>
      <c r="AI593" t="s">
        <v>63</v>
      </c>
      <c r="AJ593" t="s">
        <v>6935</v>
      </c>
      <c r="AK593">
        <v>193537</v>
      </c>
      <c r="AM593" t="s">
        <v>6936</v>
      </c>
      <c r="AN593" t="s">
        <v>6937</v>
      </c>
      <c r="AO593" t="s">
        <v>6938</v>
      </c>
      <c r="AP593" t="s">
        <v>68</v>
      </c>
      <c r="AR593" t="s">
        <v>6939</v>
      </c>
      <c r="AS593" t="s">
        <v>6940</v>
      </c>
      <c r="AT593" t="s">
        <v>6941</v>
      </c>
      <c r="AW593" s="14" t="s">
        <v>72</v>
      </c>
      <c r="AX593" s="14" t="s">
        <v>73</v>
      </c>
      <c r="AY593" s="14" t="s">
        <v>1768</v>
      </c>
    </row>
    <row r="594" spans="1:51" ht="15" customHeight="1" x14ac:dyDescent="0.4">
      <c r="A594" s="12">
        <v>3924</v>
      </c>
      <c r="B594" s="21" t="s">
        <v>6942</v>
      </c>
      <c r="C594" s="13" t="s">
        <v>6943</v>
      </c>
      <c r="D594" s="25" t="s">
        <v>6943</v>
      </c>
      <c r="E594" s="13"/>
      <c r="F594" s="41"/>
      <c r="G594" s="41"/>
      <c r="H594" s="41"/>
      <c r="I594" s="14" t="s">
        <v>49</v>
      </c>
      <c r="J594" s="15">
        <v>44806</v>
      </c>
      <c r="K594" t="s">
        <v>2719</v>
      </c>
      <c r="L594" t="s">
        <v>51</v>
      </c>
      <c r="M594" t="s">
        <v>52</v>
      </c>
      <c r="N594" t="s">
        <v>53</v>
      </c>
      <c r="O594" t="s">
        <v>6803</v>
      </c>
      <c r="P594" t="s">
        <v>6903</v>
      </c>
      <c r="Q594" t="s">
        <v>56</v>
      </c>
      <c r="R594" s="21" t="s">
        <v>6904</v>
      </c>
      <c r="S594" s="21"/>
      <c r="T594" t="s">
        <v>6944</v>
      </c>
      <c r="U594" t="s">
        <v>6945</v>
      </c>
      <c r="Y594" t="s">
        <v>60</v>
      </c>
      <c r="AA594" s="15"/>
      <c r="AC594">
        <v>29.587410999999999</v>
      </c>
      <c r="AD594">
        <v>-97.582911999999993</v>
      </c>
      <c r="AE594" t="s">
        <v>6215</v>
      </c>
      <c r="AH594" t="s">
        <v>1715</v>
      </c>
      <c r="AI594" t="s">
        <v>63</v>
      </c>
      <c r="AJ594" t="s">
        <v>6946</v>
      </c>
      <c r="AK594">
        <v>192658</v>
      </c>
      <c r="AM594" t="s">
        <v>6947</v>
      </c>
      <c r="AN594" t="s">
        <v>6948</v>
      </c>
      <c r="AO594" t="s">
        <v>6949</v>
      </c>
      <c r="AP594" t="s">
        <v>68</v>
      </c>
      <c r="AR594" t="s">
        <v>6950</v>
      </c>
      <c r="AS594" t="s">
        <v>6951</v>
      </c>
      <c r="AT594" t="s">
        <v>6952</v>
      </c>
      <c r="AW594" s="14" t="s">
        <v>72</v>
      </c>
      <c r="AX594" s="14" t="s">
        <v>73</v>
      </c>
      <c r="AY594" s="14" t="s">
        <v>74</v>
      </c>
    </row>
    <row r="595" spans="1:51" ht="15" customHeight="1" x14ac:dyDescent="0.4">
      <c r="A595" s="12">
        <v>3925</v>
      </c>
      <c r="B595" s="21" t="s">
        <v>6953</v>
      </c>
      <c r="C595" s="13" t="s">
        <v>6954</v>
      </c>
      <c r="D595" s="25" t="s">
        <v>6954</v>
      </c>
      <c r="E595" s="13"/>
      <c r="F595" s="41"/>
      <c r="G595" s="41"/>
      <c r="H595" s="41"/>
      <c r="I595" s="14" t="s">
        <v>6929</v>
      </c>
      <c r="J595" s="15">
        <v>44806</v>
      </c>
      <c r="K595" t="s">
        <v>2719</v>
      </c>
      <c r="L595" t="s">
        <v>51</v>
      </c>
      <c r="M595" t="s">
        <v>52</v>
      </c>
      <c r="N595" t="s">
        <v>53</v>
      </c>
      <c r="O595" t="s">
        <v>6803</v>
      </c>
      <c r="P595" t="s">
        <v>6903</v>
      </c>
      <c r="Q595" t="s">
        <v>56</v>
      </c>
      <c r="R595" s="21" t="s">
        <v>6904</v>
      </c>
      <c r="S595" s="21"/>
      <c r="T595" t="s">
        <v>6955</v>
      </c>
      <c r="U595" t="s">
        <v>6956</v>
      </c>
      <c r="Y595" t="s">
        <v>6932</v>
      </c>
      <c r="Z595" t="s">
        <v>6933</v>
      </c>
      <c r="AA595" s="15">
        <v>45258</v>
      </c>
      <c r="AB595" t="s">
        <v>6934</v>
      </c>
      <c r="AC595">
        <v>29.587609</v>
      </c>
      <c r="AD595">
        <v>-97.583072000000001</v>
      </c>
      <c r="AE595" t="s">
        <v>6957</v>
      </c>
      <c r="AH595" t="s">
        <v>1715</v>
      </c>
      <c r="AI595" t="s">
        <v>63</v>
      </c>
      <c r="AJ595" t="s">
        <v>6958</v>
      </c>
      <c r="AK595">
        <v>193539</v>
      </c>
      <c r="AM595" t="s">
        <v>6959</v>
      </c>
      <c r="AN595" t="s">
        <v>6960</v>
      </c>
      <c r="AO595" t="s">
        <v>6961</v>
      </c>
      <c r="AP595" t="s">
        <v>68</v>
      </c>
      <c r="AR595" t="s">
        <v>6962</v>
      </c>
      <c r="AS595" t="s">
        <v>6963</v>
      </c>
      <c r="AT595" t="s">
        <v>6964</v>
      </c>
      <c r="AW595" s="14" t="s">
        <v>72</v>
      </c>
      <c r="AX595" s="14" t="s">
        <v>73</v>
      </c>
      <c r="AY595" s="14" t="s">
        <v>1768</v>
      </c>
    </row>
    <row r="596" spans="1:51" ht="15" customHeight="1" x14ac:dyDescent="0.4">
      <c r="A596" s="12">
        <v>3926</v>
      </c>
      <c r="B596" s="21" t="s">
        <v>6965</v>
      </c>
      <c r="C596" s="13" t="s">
        <v>6966</v>
      </c>
      <c r="D596" s="25" t="s">
        <v>6966</v>
      </c>
      <c r="E596" s="13"/>
      <c r="F596" s="41"/>
      <c r="G596" s="41"/>
      <c r="H596" s="41"/>
      <c r="I596" s="14" t="s">
        <v>49</v>
      </c>
      <c r="J596" s="15">
        <v>44806</v>
      </c>
      <c r="K596" t="s">
        <v>2719</v>
      </c>
      <c r="L596" t="s">
        <v>51</v>
      </c>
      <c r="M596" t="s">
        <v>52</v>
      </c>
      <c r="N596" t="s">
        <v>53</v>
      </c>
      <c r="O596" t="s">
        <v>6803</v>
      </c>
      <c r="P596" t="s">
        <v>6903</v>
      </c>
      <c r="Q596" t="s">
        <v>56</v>
      </c>
      <c r="R596" s="21" t="s">
        <v>6904</v>
      </c>
      <c r="S596" s="21"/>
      <c r="T596" t="s">
        <v>6967</v>
      </c>
      <c r="U596" t="s">
        <v>6968</v>
      </c>
      <c r="Y596" t="s">
        <v>60</v>
      </c>
      <c r="AA596" s="15"/>
      <c r="AC596">
        <v>29.586587999999999</v>
      </c>
      <c r="AD596">
        <v>-97.584186000000003</v>
      </c>
      <c r="AE596" t="s">
        <v>6215</v>
      </c>
      <c r="AH596" t="s">
        <v>1715</v>
      </c>
      <c r="AI596" t="s">
        <v>63</v>
      </c>
      <c r="AJ596" t="s">
        <v>6969</v>
      </c>
      <c r="AK596">
        <v>192657</v>
      </c>
      <c r="AM596" t="s">
        <v>6970</v>
      </c>
      <c r="AN596" t="s">
        <v>6971</v>
      </c>
      <c r="AO596" t="s">
        <v>6972</v>
      </c>
      <c r="AP596" t="s">
        <v>68</v>
      </c>
      <c r="AR596" t="s">
        <v>6973</v>
      </c>
      <c r="AS596" t="s">
        <v>6974</v>
      </c>
      <c r="AT596" t="s">
        <v>6975</v>
      </c>
      <c r="AW596" s="14" t="s">
        <v>72</v>
      </c>
      <c r="AX596" s="14" t="s">
        <v>73</v>
      </c>
      <c r="AY596" s="14" t="s">
        <v>74</v>
      </c>
    </row>
    <row r="597" spans="1:51" ht="15" customHeight="1" x14ac:dyDescent="0.4">
      <c r="A597" s="12">
        <v>3927</v>
      </c>
      <c r="B597" s="21" t="s">
        <v>6976</v>
      </c>
      <c r="C597" s="13" t="s">
        <v>6977</v>
      </c>
      <c r="D597" s="25" t="s">
        <v>6977</v>
      </c>
      <c r="E597" s="13"/>
      <c r="F597" s="41"/>
      <c r="G597" s="41"/>
      <c r="H597" s="41"/>
      <c r="I597" s="14" t="s">
        <v>49</v>
      </c>
      <c r="J597" s="15">
        <v>44806</v>
      </c>
      <c r="K597" t="s">
        <v>2719</v>
      </c>
      <c r="L597" t="s">
        <v>51</v>
      </c>
      <c r="M597" t="s">
        <v>52</v>
      </c>
      <c r="N597" t="s">
        <v>53</v>
      </c>
      <c r="O597" t="s">
        <v>6803</v>
      </c>
      <c r="P597" t="s">
        <v>6903</v>
      </c>
      <c r="Q597" t="s">
        <v>56</v>
      </c>
      <c r="R597" s="21" t="s">
        <v>6904</v>
      </c>
      <c r="S597" s="21"/>
      <c r="T597" t="s">
        <v>6978</v>
      </c>
      <c r="U597" t="s">
        <v>6979</v>
      </c>
      <c r="Y597" t="s">
        <v>60</v>
      </c>
      <c r="AA597" s="15"/>
      <c r="AC597">
        <v>29.587539</v>
      </c>
      <c r="AD597">
        <v>-97.584160999999995</v>
      </c>
      <c r="AE597" t="s">
        <v>6957</v>
      </c>
      <c r="AH597" t="s">
        <v>1715</v>
      </c>
      <c r="AI597" t="s">
        <v>63</v>
      </c>
      <c r="AJ597" t="s">
        <v>6980</v>
      </c>
      <c r="AK597">
        <v>193373</v>
      </c>
      <c r="AM597" t="s">
        <v>6981</v>
      </c>
      <c r="AN597" t="s">
        <v>6982</v>
      </c>
      <c r="AO597" t="s">
        <v>6983</v>
      </c>
      <c r="AP597" t="s">
        <v>68</v>
      </c>
      <c r="AR597" t="s">
        <v>6984</v>
      </c>
      <c r="AS597" t="s">
        <v>6985</v>
      </c>
      <c r="AT597" t="s">
        <v>6986</v>
      </c>
      <c r="AW597" s="14" t="s">
        <v>72</v>
      </c>
      <c r="AX597" s="14" t="s">
        <v>73</v>
      </c>
      <c r="AY597" s="14" t="s">
        <v>74</v>
      </c>
    </row>
    <row r="598" spans="1:51" ht="15" customHeight="1" x14ac:dyDescent="0.4">
      <c r="A598" s="12">
        <v>3928</v>
      </c>
      <c r="B598" s="21" t="s">
        <v>6987</v>
      </c>
      <c r="C598" s="13" t="s">
        <v>6988</v>
      </c>
      <c r="D598" s="25" t="s">
        <v>6988</v>
      </c>
      <c r="E598" s="13"/>
      <c r="F598" s="41"/>
      <c r="G598" s="41"/>
      <c r="H598" s="41"/>
      <c r="I598" s="14" t="s">
        <v>6929</v>
      </c>
      <c r="J598" s="15">
        <v>44806</v>
      </c>
      <c r="K598" t="s">
        <v>2719</v>
      </c>
      <c r="L598" t="s">
        <v>51</v>
      </c>
      <c r="M598" t="s">
        <v>52</v>
      </c>
      <c r="N598" t="s">
        <v>53</v>
      </c>
      <c r="O598" t="s">
        <v>6803</v>
      </c>
      <c r="P598" t="s">
        <v>6903</v>
      </c>
      <c r="Q598" t="s">
        <v>56</v>
      </c>
      <c r="R598" s="21" t="s">
        <v>6904</v>
      </c>
      <c r="S598" s="21"/>
      <c r="T598" t="s">
        <v>6989</v>
      </c>
      <c r="U598" t="s">
        <v>6990</v>
      </c>
      <c r="Y598" t="s">
        <v>6932</v>
      </c>
      <c r="Z598" t="s">
        <v>6933</v>
      </c>
      <c r="AA598" s="15">
        <v>45258</v>
      </c>
      <c r="AB598" t="s">
        <v>6934</v>
      </c>
      <c r="AC598">
        <v>29.587637000000001</v>
      </c>
      <c r="AD598">
        <v>-97.583995999999999</v>
      </c>
      <c r="AE598" t="s">
        <v>6991</v>
      </c>
      <c r="AH598" t="s">
        <v>1715</v>
      </c>
      <c r="AI598" t="s">
        <v>63</v>
      </c>
      <c r="AJ598" t="s">
        <v>6992</v>
      </c>
      <c r="AK598">
        <v>193538</v>
      </c>
      <c r="AM598" t="s">
        <v>6993</v>
      </c>
      <c r="AN598" t="s">
        <v>6994</v>
      </c>
      <c r="AO598" t="s">
        <v>6995</v>
      </c>
      <c r="AP598" t="s">
        <v>68</v>
      </c>
      <c r="AR598" t="s">
        <v>6996</v>
      </c>
      <c r="AS598" t="s">
        <v>6997</v>
      </c>
      <c r="AT598" t="s">
        <v>6998</v>
      </c>
      <c r="AW598" s="14" t="s">
        <v>72</v>
      </c>
      <c r="AX598" s="14" t="s">
        <v>73</v>
      </c>
      <c r="AY598" s="14" t="s">
        <v>1768</v>
      </c>
    </row>
    <row r="599" spans="1:51" ht="15" customHeight="1" x14ac:dyDescent="0.4">
      <c r="A599" s="12">
        <v>3929</v>
      </c>
      <c r="B599" s="21" t="s">
        <v>6999</v>
      </c>
      <c r="C599" s="13" t="s">
        <v>7000</v>
      </c>
      <c r="D599" s="25" t="s">
        <v>7000</v>
      </c>
      <c r="E599" s="13"/>
      <c r="F599" s="41"/>
      <c r="G599" s="41"/>
      <c r="H599" s="41"/>
      <c r="I599" s="14" t="s">
        <v>6929</v>
      </c>
      <c r="J599" s="15">
        <v>44806</v>
      </c>
      <c r="K599" t="s">
        <v>2719</v>
      </c>
      <c r="L599" t="s">
        <v>51</v>
      </c>
      <c r="M599" t="s">
        <v>52</v>
      </c>
      <c r="N599" t="s">
        <v>53</v>
      </c>
      <c r="O599" t="s">
        <v>6803</v>
      </c>
      <c r="P599" t="s">
        <v>6903</v>
      </c>
      <c r="Q599" t="s">
        <v>56</v>
      </c>
      <c r="R599" s="21" t="s">
        <v>6904</v>
      </c>
      <c r="S599" s="21"/>
      <c r="T599" t="s">
        <v>7001</v>
      </c>
      <c r="U599" t="s">
        <v>7002</v>
      </c>
      <c r="Y599" t="s">
        <v>6932</v>
      </c>
      <c r="Z599" t="s">
        <v>6933</v>
      </c>
      <c r="AA599" s="15">
        <v>45258</v>
      </c>
      <c r="AB599" t="s">
        <v>6934</v>
      </c>
      <c r="AC599">
        <v>29.588522999999999</v>
      </c>
      <c r="AD599">
        <v>-97.583477000000002</v>
      </c>
      <c r="AE599" t="s">
        <v>6274</v>
      </c>
      <c r="AH599" t="s">
        <v>1715</v>
      </c>
      <c r="AI599" t="s">
        <v>63</v>
      </c>
      <c r="AJ599" t="s">
        <v>7003</v>
      </c>
      <c r="AK599">
        <v>193540</v>
      </c>
      <c r="AM599" t="s">
        <v>7004</v>
      </c>
      <c r="AN599" t="s">
        <v>7005</v>
      </c>
      <c r="AO599" t="s">
        <v>7006</v>
      </c>
      <c r="AP599" t="s">
        <v>68</v>
      </c>
      <c r="AR599" t="s">
        <v>7007</v>
      </c>
      <c r="AS599" t="s">
        <v>7008</v>
      </c>
      <c r="AT599" t="s">
        <v>7009</v>
      </c>
      <c r="AW599" s="14" t="s">
        <v>72</v>
      </c>
      <c r="AX599" s="14" t="s">
        <v>73</v>
      </c>
      <c r="AY599" s="14" t="s">
        <v>1768</v>
      </c>
    </row>
    <row r="600" spans="1:51" ht="15" customHeight="1" x14ac:dyDescent="0.4">
      <c r="A600" s="12">
        <v>3930</v>
      </c>
      <c r="B600" s="21" t="s">
        <v>7010</v>
      </c>
      <c r="C600" s="13" t="s">
        <v>7011</v>
      </c>
      <c r="D600" s="25" t="s">
        <v>7011</v>
      </c>
      <c r="E600" s="13"/>
      <c r="F600" s="41"/>
      <c r="G600" s="41"/>
      <c r="H600" s="41"/>
      <c r="I600" s="14" t="s">
        <v>6929</v>
      </c>
      <c r="J600" s="15">
        <v>44806</v>
      </c>
      <c r="K600" t="s">
        <v>2719</v>
      </c>
      <c r="L600" t="s">
        <v>51</v>
      </c>
      <c r="M600" t="s">
        <v>52</v>
      </c>
      <c r="N600" t="s">
        <v>53</v>
      </c>
      <c r="O600" t="s">
        <v>6803</v>
      </c>
      <c r="P600" t="s">
        <v>6903</v>
      </c>
      <c r="Q600" t="s">
        <v>56</v>
      </c>
      <c r="R600" s="21" t="s">
        <v>6904</v>
      </c>
      <c r="S600" s="21"/>
      <c r="T600" t="s">
        <v>7012</v>
      </c>
      <c r="U600" t="s">
        <v>7013</v>
      </c>
      <c r="Y600" t="s">
        <v>6932</v>
      </c>
      <c r="Z600" t="s">
        <v>6933</v>
      </c>
      <c r="AA600" s="15">
        <v>45258</v>
      </c>
      <c r="AB600" t="s">
        <v>6934</v>
      </c>
      <c r="AC600">
        <v>29.589383999999999</v>
      </c>
      <c r="AD600">
        <v>-97.582702999999995</v>
      </c>
      <c r="AE600" t="s">
        <v>2103</v>
      </c>
      <c r="AH600" t="s">
        <v>1715</v>
      </c>
      <c r="AI600" t="s">
        <v>63</v>
      </c>
      <c r="AJ600" t="s">
        <v>7014</v>
      </c>
      <c r="AK600">
        <v>193541</v>
      </c>
      <c r="AM600" t="s">
        <v>7015</v>
      </c>
      <c r="AN600" t="s">
        <v>7016</v>
      </c>
      <c r="AO600" t="s">
        <v>7017</v>
      </c>
      <c r="AP600" t="s">
        <v>68</v>
      </c>
      <c r="AR600" t="s">
        <v>7018</v>
      </c>
      <c r="AS600" t="s">
        <v>7019</v>
      </c>
      <c r="AT600" t="s">
        <v>7020</v>
      </c>
      <c r="AW600" s="14" t="s">
        <v>72</v>
      </c>
      <c r="AX600" s="14" t="s">
        <v>73</v>
      </c>
      <c r="AY600" s="14" t="s">
        <v>1768</v>
      </c>
    </row>
    <row r="601" spans="1:51" ht="15" customHeight="1" x14ac:dyDescent="0.4">
      <c r="A601" s="12">
        <v>3931</v>
      </c>
      <c r="B601" s="21" t="s">
        <v>7021</v>
      </c>
      <c r="C601" s="13" t="s">
        <v>7022</v>
      </c>
      <c r="D601" s="25" t="s">
        <v>7022</v>
      </c>
      <c r="E601" s="13"/>
      <c r="F601" s="41"/>
      <c r="G601" s="41"/>
      <c r="H601" s="41"/>
      <c r="I601" s="14" t="s">
        <v>49</v>
      </c>
      <c r="J601" s="15">
        <v>44806</v>
      </c>
      <c r="K601" t="s">
        <v>2719</v>
      </c>
      <c r="L601" t="s">
        <v>51</v>
      </c>
      <c r="M601" t="s">
        <v>52</v>
      </c>
      <c r="N601" t="s">
        <v>53</v>
      </c>
      <c r="O601" t="s">
        <v>6803</v>
      </c>
      <c r="P601" t="s">
        <v>6903</v>
      </c>
      <c r="Q601" t="s">
        <v>56</v>
      </c>
      <c r="R601" s="21" t="s">
        <v>6904</v>
      </c>
      <c r="S601" s="21"/>
      <c r="T601" t="s">
        <v>7023</v>
      </c>
      <c r="U601" t="s">
        <v>7024</v>
      </c>
      <c r="Y601" t="s">
        <v>60</v>
      </c>
      <c r="AA601" s="15"/>
      <c r="AC601">
        <v>29.588875999999999</v>
      </c>
      <c r="AD601">
        <v>-97.583517000000001</v>
      </c>
      <c r="AE601" t="s">
        <v>6262</v>
      </c>
      <c r="AH601" t="s">
        <v>1715</v>
      </c>
      <c r="AI601" t="s">
        <v>63</v>
      </c>
      <c r="AJ601" t="s">
        <v>7025</v>
      </c>
      <c r="AK601">
        <v>192646</v>
      </c>
      <c r="AM601" t="s">
        <v>7026</v>
      </c>
      <c r="AN601" t="s">
        <v>7027</v>
      </c>
      <c r="AO601" t="s">
        <v>7028</v>
      </c>
      <c r="AP601" t="s">
        <v>68</v>
      </c>
      <c r="AR601" t="s">
        <v>7029</v>
      </c>
      <c r="AS601" t="s">
        <v>7030</v>
      </c>
      <c r="AT601" t="s">
        <v>7031</v>
      </c>
      <c r="AW601" s="14" t="s">
        <v>72</v>
      </c>
      <c r="AX601" s="14" t="s">
        <v>73</v>
      </c>
      <c r="AY601" s="14" t="s">
        <v>74</v>
      </c>
    </row>
    <row r="602" spans="1:51" ht="15" customHeight="1" x14ac:dyDescent="0.4">
      <c r="A602" s="12">
        <v>3932</v>
      </c>
      <c r="B602" s="21" t="s">
        <v>7032</v>
      </c>
      <c r="C602" s="13" t="s">
        <v>7033</v>
      </c>
      <c r="D602" s="25" t="s">
        <v>7033</v>
      </c>
      <c r="E602" s="13"/>
      <c r="F602" s="46" t="s">
        <v>3178</v>
      </c>
      <c r="G602" s="46" t="s">
        <v>8114</v>
      </c>
      <c r="H602" s="46"/>
      <c r="I602" s="14" t="s">
        <v>1752</v>
      </c>
      <c r="J602" s="15">
        <v>44808</v>
      </c>
      <c r="K602" t="s">
        <v>7034</v>
      </c>
      <c r="L602" t="s">
        <v>51</v>
      </c>
      <c r="M602" t="s">
        <v>52</v>
      </c>
      <c r="N602" t="s">
        <v>53</v>
      </c>
      <c r="O602" t="s">
        <v>6803</v>
      </c>
      <c r="P602" t="s">
        <v>6903</v>
      </c>
      <c r="Q602" t="s">
        <v>56</v>
      </c>
      <c r="R602" s="21" t="s">
        <v>7035</v>
      </c>
      <c r="S602" s="21"/>
      <c r="T602" t="s">
        <v>7036</v>
      </c>
      <c r="U602" t="s">
        <v>7037</v>
      </c>
      <c r="Y602" t="s">
        <v>1759</v>
      </c>
      <c r="AA602" s="15"/>
      <c r="AC602">
        <v>32.637725000000003</v>
      </c>
      <c r="AD602">
        <v>-96.977413999999996</v>
      </c>
      <c r="AE602" t="s">
        <v>5854</v>
      </c>
      <c r="AH602" t="s">
        <v>1715</v>
      </c>
      <c r="AI602" t="s">
        <v>63</v>
      </c>
      <c r="AJ602" t="s">
        <v>7038</v>
      </c>
      <c r="AK602">
        <v>193543</v>
      </c>
      <c r="AM602" t="s">
        <v>7039</v>
      </c>
      <c r="AN602" t="s">
        <v>7040</v>
      </c>
      <c r="AO602" t="s">
        <v>7041</v>
      </c>
      <c r="AP602" t="s">
        <v>68</v>
      </c>
      <c r="AR602" t="s">
        <v>7042</v>
      </c>
      <c r="AS602" t="s">
        <v>7043</v>
      </c>
      <c r="AT602" t="s">
        <v>7044</v>
      </c>
      <c r="AW602" s="14" t="s">
        <v>72</v>
      </c>
      <c r="AX602" s="14" t="s">
        <v>73</v>
      </c>
      <c r="AY602" s="14" t="s">
        <v>1768</v>
      </c>
    </row>
    <row r="603" spans="1:51" ht="15" customHeight="1" x14ac:dyDescent="0.4">
      <c r="A603" s="12">
        <v>3933</v>
      </c>
      <c r="B603" s="21" t="s">
        <v>7045</v>
      </c>
      <c r="C603" s="13" t="s">
        <v>7046</v>
      </c>
      <c r="D603" s="25" t="s">
        <v>7046</v>
      </c>
      <c r="E603" s="13"/>
      <c r="F603" s="46" t="s">
        <v>3178</v>
      </c>
      <c r="G603" s="46" t="s">
        <v>8114</v>
      </c>
      <c r="H603" s="46"/>
      <c r="I603" s="14" t="s">
        <v>1752</v>
      </c>
      <c r="J603" s="15">
        <v>44808</v>
      </c>
      <c r="K603" t="s">
        <v>7034</v>
      </c>
      <c r="L603" t="s">
        <v>51</v>
      </c>
      <c r="M603" t="s">
        <v>52</v>
      </c>
      <c r="N603" t="s">
        <v>53</v>
      </c>
      <c r="O603" t="s">
        <v>6803</v>
      </c>
      <c r="P603" t="s">
        <v>6903</v>
      </c>
      <c r="Q603" t="s">
        <v>56</v>
      </c>
      <c r="R603" s="21" t="s">
        <v>7035</v>
      </c>
      <c r="S603" s="21"/>
      <c r="T603" t="s">
        <v>7047</v>
      </c>
      <c r="U603" t="s">
        <v>7048</v>
      </c>
      <c r="X603" t="s">
        <v>1758</v>
      </c>
      <c r="Y603" t="s">
        <v>1759</v>
      </c>
      <c r="AA603" s="15"/>
      <c r="AC603">
        <v>32.638171</v>
      </c>
      <c r="AD603">
        <v>-96.977670000000003</v>
      </c>
      <c r="AE603" t="s">
        <v>7049</v>
      </c>
      <c r="AH603" t="s">
        <v>1715</v>
      </c>
      <c r="AI603" t="s">
        <v>63</v>
      </c>
      <c r="AJ603" t="s">
        <v>7050</v>
      </c>
      <c r="AK603">
        <v>193544</v>
      </c>
      <c r="AM603" t="s">
        <v>7051</v>
      </c>
      <c r="AN603" t="s">
        <v>7052</v>
      </c>
      <c r="AO603" t="s">
        <v>7053</v>
      </c>
      <c r="AP603" t="s">
        <v>68</v>
      </c>
      <c r="AR603" t="s">
        <v>7054</v>
      </c>
      <c r="AS603" t="s">
        <v>7055</v>
      </c>
      <c r="AT603" t="s">
        <v>7056</v>
      </c>
      <c r="AW603" s="14" t="s">
        <v>72</v>
      </c>
      <c r="AX603" s="14" t="s">
        <v>73</v>
      </c>
      <c r="AY603" s="14" t="s">
        <v>1768</v>
      </c>
    </row>
    <row r="604" spans="1:51" ht="15" customHeight="1" x14ac:dyDescent="0.4">
      <c r="A604" s="12">
        <v>3934</v>
      </c>
      <c r="B604" s="21" t="s">
        <v>7057</v>
      </c>
      <c r="C604" s="13" t="s">
        <v>7058</v>
      </c>
      <c r="D604" s="25" t="s">
        <v>7058</v>
      </c>
      <c r="E604" s="13"/>
      <c r="F604" s="41"/>
      <c r="G604" s="41"/>
      <c r="H604" s="41"/>
      <c r="I604" s="14" t="s">
        <v>49</v>
      </c>
      <c r="J604" s="15">
        <v>44808</v>
      </c>
      <c r="K604" t="s">
        <v>7034</v>
      </c>
      <c r="L604" t="s">
        <v>51</v>
      </c>
      <c r="M604" t="s">
        <v>52</v>
      </c>
      <c r="N604" t="s">
        <v>53</v>
      </c>
      <c r="O604" t="s">
        <v>6803</v>
      </c>
      <c r="P604" t="s">
        <v>6903</v>
      </c>
      <c r="Q604" t="s">
        <v>56</v>
      </c>
      <c r="R604" s="21" t="s">
        <v>7035</v>
      </c>
      <c r="S604" s="21"/>
      <c r="T604" t="s">
        <v>7059</v>
      </c>
      <c r="U604" t="s">
        <v>7060</v>
      </c>
      <c r="Y604" t="s">
        <v>60</v>
      </c>
      <c r="AA604" s="15"/>
      <c r="AC604">
        <v>32.638187000000002</v>
      </c>
      <c r="AD604">
        <v>-96.975785999999999</v>
      </c>
      <c r="AE604" t="s">
        <v>7061</v>
      </c>
      <c r="AH604" t="s">
        <v>1715</v>
      </c>
      <c r="AI604" t="s">
        <v>63</v>
      </c>
      <c r="AJ604" t="s">
        <v>7062</v>
      </c>
      <c r="AK604">
        <v>193374</v>
      </c>
      <c r="AM604" t="s">
        <v>7063</v>
      </c>
      <c r="AN604" t="s">
        <v>7064</v>
      </c>
      <c r="AO604" t="s">
        <v>7065</v>
      </c>
      <c r="AP604" t="s">
        <v>68</v>
      </c>
      <c r="AR604" t="s">
        <v>7066</v>
      </c>
      <c r="AS604" t="s">
        <v>7067</v>
      </c>
      <c r="AT604" t="s">
        <v>7068</v>
      </c>
      <c r="AW604" s="14" t="s">
        <v>72</v>
      </c>
      <c r="AX604" s="14" t="s">
        <v>73</v>
      </c>
      <c r="AY604" s="14" t="s">
        <v>74</v>
      </c>
    </row>
    <row r="605" spans="1:51" ht="15" customHeight="1" x14ac:dyDescent="0.4">
      <c r="A605" s="12">
        <v>3935</v>
      </c>
      <c r="B605" s="21" t="s">
        <v>7069</v>
      </c>
      <c r="C605" s="13" t="s">
        <v>7070</v>
      </c>
      <c r="D605" s="25" t="s">
        <v>7070</v>
      </c>
      <c r="E605" s="13"/>
      <c r="F605" s="46" t="s">
        <v>3178</v>
      </c>
      <c r="G605" s="46" t="s">
        <v>8114</v>
      </c>
      <c r="H605" s="46"/>
      <c r="I605" s="14" t="s">
        <v>1752</v>
      </c>
      <c r="J605" s="15">
        <v>44808</v>
      </c>
      <c r="K605" t="s">
        <v>7034</v>
      </c>
      <c r="L605" t="s">
        <v>51</v>
      </c>
      <c r="M605" t="s">
        <v>52</v>
      </c>
      <c r="N605" t="s">
        <v>53</v>
      </c>
      <c r="O605" t="s">
        <v>6803</v>
      </c>
      <c r="P605" t="s">
        <v>6903</v>
      </c>
      <c r="Q605" t="s">
        <v>56</v>
      </c>
      <c r="R605" s="21" t="s">
        <v>7035</v>
      </c>
      <c r="S605" s="21"/>
      <c r="T605" t="s">
        <v>7071</v>
      </c>
      <c r="U605" t="s">
        <v>7072</v>
      </c>
      <c r="X605" t="s">
        <v>1758</v>
      </c>
      <c r="Y605" t="s">
        <v>1759</v>
      </c>
      <c r="AA605" s="15"/>
      <c r="AC605">
        <v>32.637915</v>
      </c>
      <c r="AD605">
        <v>-96.978442999999999</v>
      </c>
      <c r="AE605" t="s">
        <v>7073</v>
      </c>
      <c r="AH605" t="s">
        <v>1715</v>
      </c>
      <c r="AI605" t="s">
        <v>63</v>
      </c>
      <c r="AJ605" t="s">
        <v>7074</v>
      </c>
      <c r="AK605">
        <v>193545</v>
      </c>
      <c r="AM605" t="s">
        <v>7075</v>
      </c>
      <c r="AN605" t="s">
        <v>7076</v>
      </c>
      <c r="AO605" t="s">
        <v>7077</v>
      </c>
      <c r="AP605" t="s">
        <v>68</v>
      </c>
      <c r="AR605" t="s">
        <v>7078</v>
      </c>
      <c r="AS605" t="s">
        <v>7079</v>
      </c>
      <c r="AT605" t="s">
        <v>7080</v>
      </c>
      <c r="AW605" s="14" t="s">
        <v>72</v>
      </c>
      <c r="AX605" s="14" t="s">
        <v>73</v>
      </c>
      <c r="AY605" s="14" t="s">
        <v>1768</v>
      </c>
    </row>
    <row r="606" spans="1:51" ht="15" customHeight="1" x14ac:dyDescent="0.4">
      <c r="A606" s="12">
        <v>3936</v>
      </c>
      <c r="B606" s="21" t="s">
        <v>7081</v>
      </c>
      <c r="C606" s="13" t="s">
        <v>7082</v>
      </c>
      <c r="D606" s="25" t="s">
        <v>7082</v>
      </c>
      <c r="E606" s="13"/>
      <c r="F606" s="46" t="s">
        <v>3178</v>
      </c>
      <c r="G606" s="46" t="s">
        <v>8113</v>
      </c>
      <c r="H606" s="46"/>
      <c r="I606" s="14" t="s">
        <v>1752</v>
      </c>
      <c r="J606" s="15">
        <v>44808</v>
      </c>
      <c r="K606" t="s">
        <v>7034</v>
      </c>
      <c r="L606" t="s">
        <v>51</v>
      </c>
      <c r="M606" t="s">
        <v>52</v>
      </c>
      <c r="N606" t="s">
        <v>53</v>
      </c>
      <c r="O606" t="s">
        <v>6803</v>
      </c>
      <c r="P606" t="s">
        <v>6903</v>
      </c>
      <c r="Q606" t="s">
        <v>56</v>
      </c>
      <c r="R606" s="21" t="s">
        <v>7035</v>
      </c>
      <c r="S606" s="21"/>
      <c r="T606" t="s">
        <v>7083</v>
      </c>
      <c r="U606" t="s">
        <v>7084</v>
      </c>
      <c r="X606" t="s">
        <v>1758</v>
      </c>
      <c r="Y606" t="s">
        <v>1759</v>
      </c>
      <c r="AA606" s="15"/>
      <c r="AC606">
        <v>32.638393999999998</v>
      </c>
      <c r="AD606">
        <v>-96.979085999999995</v>
      </c>
      <c r="AE606" t="s">
        <v>7085</v>
      </c>
      <c r="AH606" t="s">
        <v>1715</v>
      </c>
      <c r="AI606" t="s">
        <v>63</v>
      </c>
      <c r="AJ606" t="s">
        <v>7086</v>
      </c>
      <c r="AK606">
        <v>193546</v>
      </c>
      <c r="AM606" t="s">
        <v>7087</v>
      </c>
      <c r="AN606" t="s">
        <v>7088</v>
      </c>
      <c r="AO606" t="s">
        <v>7089</v>
      </c>
      <c r="AP606" t="s">
        <v>68</v>
      </c>
      <c r="AR606" t="s">
        <v>7090</v>
      </c>
      <c r="AS606" t="s">
        <v>7091</v>
      </c>
      <c r="AT606" t="s">
        <v>7092</v>
      </c>
      <c r="AW606" s="14" t="s">
        <v>72</v>
      </c>
      <c r="AX606" s="14" t="s">
        <v>73</v>
      </c>
      <c r="AY606" s="14" t="s">
        <v>1768</v>
      </c>
    </row>
    <row r="607" spans="1:51" ht="15" customHeight="1" x14ac:dyDescent="0.4">
      <c r="A607" s="12">
        <v>3937</v>
      </c>
      <c r="B607" s="21" t="s">
        <v>7093</v>
      </c>
      <c r="C607" s="13" t="s">
        <v>7094</v>
      </c>
      <c r="D607" s="25" t="s">
        <v>7094</v>
      </c>
      <c r="E607" s="13"/>
      <c r="F607" s="41"/>
      <c r="G607" s="41"/>
      <c r="H607" s="41"/>
      <c r="I607" s="14" t="s">
        <v>49</v>
      </c>
      <c r="J607" s="15">
        <v>44808</v>
      </c>
      <c r="K607" t="s">
        <v>7034</v>
      </c>
      <c r="L607" t="s">
        <v>51</v>
      </c>
      <c r="M607" t="s">
        <v>52</v>
      </c>
      <c r="N607" t="s">
        <v>53</v>
      </c>
      <c r="O607" t="s">
        <v>6803</v>
      </c>
      <c r="P607" t="s">
        <v>6903</v>
      </c>
      <c r="Q607" t="s">
        <v>56</v>
      </c>
      <c r="R607" s="21" t="s">
        <v>7035</v>
      </c>
      <c r="S607" s="21"/>
      <c r="T607" t="s">
        <v>7095</v>
      </c>
      <c r="U607" t="s">
        <v>7096</v>
      </c>
      <c r="X607" t="s">
        <v>3765</v>
      </c>
      <c r="Y607" t="s">
        <v>60</v>
      </c>
      <c r="AA607" s="15"/>
      <c r="AC607">
        <v>32.635409000000003</v>
      </c>
      <c r="AD607">
        <v>-96.974027000000007</v>
      </c>
      <c r="AE607" t="s">
        <v>7097</v>
      </c>
      <c r="AH607" t="s">
        <v>1715</v>
      </c>
      <c r="AI607" t="s">
        <v>63</v>
      </c>
      <c r="AJ607" t="s">
        <v>7098</v>
      </c>
      <c r="AK607">
        <v>194587</v>
      </c>
      <c r="AM607" t="s">
        <v>7099</v>
      </c>
      <c r="AN607" t="s">
        <v>7100</v>
      </c>
      <c r="AO607" t="s">
        <v>7101</v>
      </c>
      <c r="AP607" t="s">
        <v>68</v>
      </c>
      <c r="AR607" t="s">
        <v>7102</v>
      </c>
      <c r="AS607" t="s">
        <v>7103</v>
      </c>
      <c r="AT607" t="s">
        <v>7104</v>
      </c>
      <c r="AW607" s="14" t="s">
        <v>72</v>
      </c>
      <c r="AX607" s="14" t="s">
        <v>73</v>
      </c>
      <c r="AY607" s="14" t="s">
        <v>74</v>
      </c>
    </row>
    <row r="608" spans="1:51" ht="15" customHeight="1" x14ac:dyDescent="0.4">
      <c r="A608" s="12">
        <v>3938</v>
      </c>
      <c r="B608" s="21" t="s">
        <v>7105</v>
      </c>
      <c r="C608" s="13" t="s">
        <v>7106</v>
      </c>
      <c r="D608" s="25" t="s">
        <v>7106</v>
      </c>
      <c r="E608" s="13"/>
      <c r="F608" s="46" t="s">
        <v>3178</v>
      </c>
      <c r="G608" s="46" t="s">
        <v>8112</v>
      </c>
      <c r="H608" s="46"/>
      <c r="I608" s="14" t="s">
        <v>1752</v>
      </c>
      <c r="J608" s="15">
        <v>44808</v>
      </c>
      <c r="K608" t="s">
        <v>7034</v>
      </c>
      <c r="L608" t="s">
        <v>51</v>
      </c>
      <c r="M608" t="s">
        <v>52</v>
      </c>
      <c r="N608" t="s">
        <v>53</v>
      </c>
      <c r="O608" t="s">
        <v>6803</v>
      </c>
      <c r="P608" t="s">
        <v>6903</v>
      </c>
      <c r="Q608" t="s">
        <v>56</v>
      </c>
      <c r="R608" s="21" t="s">
        <v>7035</v>
      </c>
      <c r="S608" s="21"/>
      <c r="T608" t="s">
        <v>7107</v>
      </c>
      <c r="U608" t="s">
        <v>7108</v>
      </c>
      <c r="X608" t="s">
        <v>1758</v>
      </c>
      <c r="Y608" t="s">
        <v>1759</v>
      </c>
      <c r="AA608" s="15"/>
      <c r="AC608">
        <v>32.634977999999997</v>
      </c>
      <c r="AD608">
        <v>-96.979732999999996</v>
      </c>
      <c r="AE608" t="s">
        <v>5724</v>
      </c>
      <c r="AH608" t="s">
        <v>1715</v>
      </c>
      <c r="AI608" t="s">
        <v>63</v>
      </c>
      <c r="AJ608" t="s">
        <v>7109</v>
      </c>
      <c r="AK608">
        <v>193547</v>
      </c>
      <c r="AM608" t="s">
        <v>7110</v>
      </c>
      <c r="AN608" t="s">
        <v>7111</v>
      </c>
      <c r="AO608" t="s">
        <v>7112</v>
      </c>
      <c r="AP608" t="s">
        <v>68</v>
      </c>
      <c r="AR608" t="s">
        <v>7113</v>
      </c>
      <c r="AS608" t="s">
        <v>7114</v>
      </c>
      <c r="AT608" t="s">
        <v>7115</v>
      </c>
      <c r="AW608" s="14" t="s">
        <v>72</v>
      </c>
      <c r="AX608" s="14" t="s">
        <v>73</v>
      </c>
      <c r="AY608" s="14" t="s">
        <v>1768</v>
      </c>
    </row>
    <row r="609" spans="1:51" ht="15" customHeight="1" x14ac:dyDescent="0.4">
      <c r="A609" s="12">
        <v>3939</v>
      </c>
      <c r="B609" s="21" t="s">
        <v>7116</v>
      </c>
      <c r="C609" s="13" t="s">
        <v>7117</v>
      </c>
      <c r="D609" s="25" t="s">
        <v>7117</v>
      </c>
      <c r="E609" s="13"/>
      <c r="F609" s="41"/>
      <c r="G609" s="41"/>
      <c r="H609" s="41"/>
      <c r="I609" s="14" t="s">
        <v>49</v>
      </c>
      <c r="J609" s="15">
        <v>44808</v>
      </c>
      <c r="K609" t="s">
        <v>7034</v>
      </c>
      <c r="L609" t="s">
        <v>51</v>
      </c>
      <c r="M609" t="s">
        <v>52</v>
      </c>
      <c r="N609" t="s">
        <v>53</v>
      </c>
      <c r="O609" t="s">
        <v>6803</v>
      </c>
      <c r="P609" t="s">
        <v>6903</v>
      </c>
      <c r="Q609" t="s">
        <v>56</v>
      </c>
      <c r="R609" s="21" t="s">
        <v>7035</v>
      </c>
      <c r="S609" s="21"/>
      <c r="T609" t="s">
        <v>7118</v>
      </c>
      <c r="U609" t="s">
        <v>7119</v>
      </c>
      <c r="X609" t="s">
        <v>2452</v>
      </c>
      <c r="Y609" t="s">
        <v>60</v>
      </c>
      <c r="AA609" s="15"/>
      <c r="AC609">
        <v>32.632035000000002</v>
      </c>
      <c r="AD609">
        <v>-96.975904</v>
      </c>
      <c r="AE609" t="s">
        <v>7120</v>
      </c>
      <c r="AH609" t="s">
        <v>1715</v>
      </c>
      <c r="AI609" t="s">
        <v>63</v>
      </c>
      <c r="AJ609" t="s">
        <v>7121</v>
      </c>
      <c r="AK609">
        <v>194567</v>
      </c>
      <c r="AM609" t="s">
        <v>7122</v>
      </c>
      <c r="AN609" t="s">
        <v>7123</v>
      </c>
      <c r="AO609" t="s">
        <v>7124</v>
      </c>
      <c r="AP609" t="s">
        <v>68</v>
      </c>
      <c r="AR609" t="s">
        <v>7125</v>
      </c>
      <c r="AS609" t="s">
        <v>7126</v>
      </c>
      <c r="AT609" t="s">
        <v>7127</v>
      </c>
      <c r="AW609" s="14" t="s">
        <v>72</v>
      </c>
      <c r="AX609" s="14" t="s">
        <v>73</v>
      </c>
      <c r="AY609" s="14" t="s">
        <v>74</v>
      </c>
    </row>
    <row r="610" spans="1:51" ht="15" customHeight="1" x14ac:dyDescent="0.4">
      <c r="A610" s="12">
        <v>3940</v>
      </c>
      <c r="B610" s="21" t="s">
        <v>7128</v>
      </c>
      <c r="C610" s="13" t="s">
        <v>7129</v>
      </c>
      <c r="D610" s="25" t="s">
        <v>7129</v>
      </c>
      <c r="E610" s="13"/>
      <c r="F610" s="41"/>
      <c r="G610" s="41"/>
      <c r="H610" s="41"/>
      <c r="I610" s="14" t="s">
        <v>49</v>
      </c>
      <c r="J610" s="15">
        <v>44808</v>
      </c>
      <c r="K610" t="s">
        <v>7034</v>
      </c>
      <c r="L610" t="s">
        <v>51</v>
      </c>
      <c r="M610" t="s">
        <v>52</v>
      </c>
      <c r="N610" t="s">
        <v>53</v>
      </c>
      <c r="O610" t="s">
        <v>6803</v>
      </c>
      <c r="P610" t="s">
        <v>6903</v>
      </c>
      <c r="Q610" t="s">
        <v>56</v>
      </c>
      <c r="R610" s="21" t="s">
        <v>7035</v>
      </c>
      <c r="S610" s="21"/>
      <c r="T610" t="s">
        <v>7130</v>
      </c>
      <c r="U610" t="s">
        <v>7131</v>
      </c>
      <c r="X610" t="s">
        <v>2452</v>
      </c>
      <c r="Y610" t="s">
        <v>60</v>
      </c>
      <c r="AA610" s="15"/>
      <c r="AC610">
        <v>32.622964000000003</v>
      </c>
      <c r="AD610">
        <v>-96.979468999999995</v>
      </c>
      <c r="AE610" t="s">
        <v>7132</v>
      </c>
      <c r="AH610" t="s">
        <v>1715</v>
      </c>
      <c r="AI610" t="s">
        <v>63</v>
      </c>
      <c r="AJ610" t="s">
        <v>7133</v>
      </c>
      <c r="AK610">
        <v>194588</v>
      </c>
      <c r="AM610" t="s">
        <v>7134</v>
      </c>
      <c r="AN610" t="s">
        <v>7135</v>
      </c>
      <c r="AO610" t="s">
        <v>7136</v>
      </c>
      <c r="AP610" t="s">
        <v>68</v>
      </c>
      <c r="AR610" t="s">
        <v>7137</v>
      </c>
      <c r="AS610" t="s">
        <v>7138</v>
      </c>
      <c r="AT610" t="s">
        <v>7139</v>
      </c>
      <c r="AW610" s="14" t="s">
        <v>72</v>
      </c>
      <c r="AX610" s="14" t="s">
        <v>73</v>
      </c>
      <c r="AY610" s="14" t="s">
        <v>74</v>
      </c>
    </row>
    <row r="611" spans="1:51" ht="15" customHeight="1" x14ac:dyDescent="0.4">
      <c r="A611" s="12">
        <v>3941</v>
      </c>
      <c r="B611" s="21" t="s">
        <v>7140</v>
      </c>
      <c r="C611" s="13" t="s">
        <v>7141</v>
      </c>
      <c r="D611" s="25" t="s">
        <v>7141</v>
      </c>
      <c r="E611" s="13"/>
      <c r="F611" s="41"/>
      <c r="G611" s="41"/>
      <c r="H611" s="41"/>
      <c r="I611" s="14" t="s">
        <v>6929</v>
      </c>
      <c r="J611" s="15">
        <v>44808</v>
      </c>
      <c r="K611" t="s">
        <v>7034</v>
      </c>
      <c r="L611" t="s">
        <v>51</v>
      </c>
      <c r="M611" t="s">
        <v>52</v>
      </c>
      <c r="N611" t="s">
        <v>53</v>
      </c>
      <c r="O611" t="s">
        <v>6803</v>
      </c>
      <c r="P611" t="s">
        <v>6903</v>
      </c>
      <c r="Q611" t="s">
        <v>56</v>
      </c>
      <c r="R611" s="21" t="s">
        <v>7035</v>
      </c>
      <c r="S611" s="21"/>
      <c r="T611" t="s">
        <v>7142</v>
      </c>
      <c r="U611" t="s">
        <v>7143</v>
      </c>
      <c r="X611" t="s">
        <v>1758</v>
      </c>
      <c r="Y611" t="s">
        <v>6932</v>
      </c>
      <c r="Z611" t="s">
        <v>6933</v>
      </c>
      <c r="AA611" s="15">
        <v>45258</v>
      </c>
      <c r="AB611" t="s">
        <v>6934</v>
      </c>
      <c r="AC611">
        <v>32.614038999999998</v>
      </c>
      <c r="AD611">
        <v>-96.996683000000004</v>
      </c>
      <c r="AE611" t="s">
        <v>7132</v>
      </c>
      <c r="AH611" t="s">
        <v>1715</v>
      </c>
      <c r="AI611" t="s">
        <v>63</v>
      </c>
      <c r="AJ611" t="s">
        <v>7144</v>
      </c>
      <c r="AK611">
        <v>193542</v>
      </c>
      <c r="AM611" t="s">
        <v>7145</v>
      </c>
      <c r="AN611" t="s">
        <v>7146</v>
      </c>
      <c r="AO611" t="s">
        <v>7147</v>
      </c>
      <c r="AP611" t="s">
        <v>68</v>
      </c>
      <c r="AR611" t="s">
        <v>7148</v>
      </c>
      <c r="AS611" t="s">
        <v>7149</v>
      </c>
      <c r="AT611" t="s">
        <v>7150</v>
      </c>
      <c r="AW611" s="14" t="s">
        <v>72</v>
      </c>
      <c r="AX611" s="14" t="s">
        <v>73</v>
      </c>
      <c r="AY611" s="14" t="s">
        <v>1768</v>
      </c>
    </row>
    <row r="612" spans="1:51" ht="15" customHeight="1" x14ac:dyDescent="0.4">
      <c r="A612" s="12">
        <v>3942</v>
      </c>
      <c r="B612" s="21" t="s">
        <v>7151</v>
      </c>
      <c r="C612" s="13" t="s">
        <v>7152</v>
      </c>
      <c r="D612" s="25" t="s">
        <v>7152</v>
      </c>
      <c r="E612" s="13"/>
      <c r="F612" s="41"/>
      <c r="G612" s="41"/>
      <c r="H612" s="41"/>
      <c r="I612" s="14" t="s">
        <v>49</v>
      </c>
      <c r="J612" s="15">
        <v>44808</v>
      </c>
      <c r="K612" t="s">
        <v>7034</v>
      </c>
      <c r="L612" t="s">
        <v>51</v>
      </c>
      <c r="M612" t="s">
        <v>52</v>
      </c>
      <c r="N612" t="s">
        <v>53</v>
      </c>
      <c r="O612" t="s">
        <v>6803</v>
      </c>
      <c r="P612" t="s">
        <v>6903</v>
      </c>
      <c r="Q612" t="s">
        <v>56</v>
      </c>
      <c r="R612" s="21" t="s">
        <v>7035</v>
      </c>
      <c r="S612" s="21"/>
      <c r="T612" t="s">
        <v>7153</v>
      </c>
      <c r="U612" t="s">
        <v>7154</v>
      </c>
      <c r="X612" t="s">
        <v>1758</v>
      </c>
      <c r="Y612" t="s">
        <v>60</v>
      </c>
      <c r="AA612" s="15"/>
      <c r="AC612">
        <v>32.610726999999997</v>
      </c>
      <c r="AD612">
        <v>-96.991123000000002</v>
      </c>
      <c r="AE612" t="s">
        <v>1773</v>
      </c>
      <c r="AH612" t="s">
        <v>1715</v>
      </c>
      <c r="AI612" t="s">
        <v>63</v>
      </c>
      <c r="AJ612" t="s">
        <v>7155</v>
      </c>
      <c r="AK612">
        <v>194589</v>
      </c>
      <c r="AM612" t="s">
        <v>7156</v>
      </c>
      <c r="AN612" t="s">
        <v>7157</v>
      </c>
      <c r="AO612" t="s">
        <v>7158</v>
      </c>
      <c r="AP612" t="s">
        <v>68</v>
      </c>
      <c r="AR612" t="s">
        <v>7159</v>
      </c>
      <c r="AS612" t="s">
        <v>7160</v>
      </c>
      <c r="AT612" t="s">
        <v>7161</v>
      </c>
      <c r="AW612" s="14" t="s">
        <v>72</v>
      </c>
      <c r="AX612" s="14" t="s">
        <v>73</v>
      </c>
      <c r="AY612" s="14" t="s">
        <v>74</v>
      </c>
    </row>
    <row r="613" spans="1:51" ht="15" customHeight="1" x14ac:dyDescent="0.4">
      <c r="A613" s="12">
        <v>3943</v>
      </c>
      <c r="B613" s="21" t="s">
        <v>7162</v>
      </c>
      <c r="C613" s="13" t="s">
        <v>7163</v>
      </c>
      <c r="D613" s="25" t="s">
        <v>7163</v>
      </c>
      <c r="E613" s="13"/>
      <c r="F613" s="41"/>
      <c r="G613" s="41"/>
      <c r="H613" s="41"/>
      <c r="I613" s="14" t="s">
        <v>1878</v>
      </c>
      <c r="J613" s="15">
        <v>44812</v>
      </c>
      <c r="K613" t="s">
        <v>2719</v>
      </c>
      <c r="L613" t="s">
        <v>51</v>
      </c>
      <c r="M613" t="s">
        <v>52</v>
      </c>
      <c r="N613" t="s">
        <v>53</v>
      </c>
      <c r="O613" t="s">
        <v>1707</v>
      </c>
      <c r="P613" t="s">
        <v>756</v>
      </c>
      <c r="Q613" t="s">
        <v>56</v>
      </c>
      <c r="R613" s="21" t="s">
        <v>7164</v>
      </c>
      <c r="S613" s="21"/>
      <c r="T613" t="s">
        <v>7165</v>
      </c>
      <c r="U613" t="s">
        <v>7166</v>
      </c>
      <c r="Y613" t="s">
        <v>1881</v>
      </c>
      <c r="AA613" s="15"/>
      <c r="AC613">
        <v>42.182388000000003</v>
      </c>
      <c r="AD613">
        <v>-87.911775000000006</v>
      </c>
      <c r="AE613" t="s">
        <v>7167</v>
      </c>
      <c r="AH613" t="s">
        <v>1715</v>
      </c>
      <c r="AI613" t="s">
        <v>63</v>
      </c>
      <c r="AJ613" t="s">
        <v>7168</v>
      </c>
      <c r="AK613">
        <v>194158</v>
      </c>
      <c r="AM613" t="s">
        <v>7169</v>
      </c>
      <c r="AN613" t="s">
        <v>7170</v>
      </c>
      <c r="AO613" t="s">
        <v>7171</v>
      </c>
      <c r="AP613" t="s">
        <v>68</v>
      </c>
      <c r="AR613" t="s">
        <v>7172</v>
      </c>
      <c r="AS613" t="s">
        <v>7173</v>
      </c>
      <c r="AT613" t="s">
        <v>7174</v>
      </c>
      <c r="AW613" s="14" t="s">
        <v>72</v>
      </c>
      <c r="AX613" s="14" t="s">
        <v>73</v>
      </c>
      <c r="AY613" s="14" t="s">
        <v>1723</v>
      </c>
    </row>
    <row r="614" spans="1:51" ht="15" customHeight="1" x14ac:dyDescent="0.4">
      <c r="A614" s="12">
        <v>3944</v>
      </c>
      <c r="B614" s="21" t="s">
        <v>7175</v>
      </c>
      <c r="C614" s="13" t="s">
        <v>7176</v>
      </c>
      <c r="D614" s="25" t="s">
        <v>7176</v>
      </c>
      <c r="E614" s="13"/>
      <c r="F614" s="41"/>
      <c r="G614" s="41"/>
      <c r="H614" s="41"/>
      <c r="I614" s="14" t="s">
        <v>49</v>
      </c>
      <c r="J614" s="15">
        <v>44812</v>
      </c>
      <c r="K614" t="s">
        <v>2719</v>
      </c>
      <c r="L614" t="s">
        <v>51</v>
      </c>
      <c r="M614" t="s">
        <v>52</v>
      </c>
      <c r="N614" t="s">
        <v>53</v>
      </c>
      <c r="O614" t="s">
        <v>1707</v>
      </c>
      <c r="P614" t="s">
        <v>756</v>
      </c>
      <c r="Q614" t="s">
        <v>56</v>
      </c>
      <c r="R614" s="21" t="s">
        <v>7164</v>
      </c>
      <c r="S614" s="21"/>
      <c r="T614" t="s">
        <v>7177</v>
      </c>
      <c r="U614" t="s">
        <v>7178</v>
      </c>
      <c r="Y614" t="s">
        <v>60</v>
      </c>
      <c r="AA614" s="15"/>
      <c r="AC614">
        <v>42.182006999999999</v>
      </c>
      <c r="AD614">
        <v>-87.911913999999996</v>
      </c>
      <c r="AE614" t="s">
        <v>7179</v>
      </c>
      <c r="AH614" t="s">
        <v>1715</v>
      </c>
      <c r="AI614" t="s">
        <v>63</v>
      </c>
      <c r="AJ614" t="s">
        <v>7180</v>
      </c>
      <c r="AK614">
        <v>192647</v>
      </c>
      <c r="AM614" t="s">
        <v>7181</v>
      </c>
      <c r="AN614" t="s">
        <v>7182</v>
      </c>
      <c r="AO614" t="s">
        <v>7183</v>
      </c>
      <c r="AP614" t="s">
        <v>68</v>
      </c>
      <c r="AR614" t="s">
        <v>7184</v>
      </c>
      <c r="AS614" t="s">
        <v>7185</v>
      </c>
      <c r="AT614" t="s">
        <v>7186</v>
      </c>
      <c r="AW614" s="14" t="s">
        <v>72</v>
      </c>
      <c r="AX614" s="14" t="s">
        <v>73</v>
      </c>
      <c r="AY614" s="14" t="s">
        <v>74</v>
      </c>
    </row>
    <row r="615" spans="1:51" ht="15" customHeight="1" x14ac:dyDescent="0.4">
      <c r="A615" s="12">
        <v>3945</v>
      </c>
      <c r="B615" s="21" t="s">
        <v>7187</v>
      </c>
      <c r="C615" s="13" t="s">
        <v>7188</v>
      </c>
      <c r="D615" s="25" t="s">
        <v>7188</v>
      </c>
      <c r="E615" s="13"/>
      <c r="F615" s="41"/>
      <c r="G615" s="41"/>
      <c r="H615" s="41"/>
      <c r="I615" s="14" t="s">
        <v>2222</v>
      </c>
      <c r="J615" s="15">
        <v>44812</v>
      </c>
      <c r="K615" t="s">
        <v>2719</v>
      </c>
      <c r="L615" t="s">
        <v>51</v>
      </c>
      <c r="M615" t="s">
        <v>52</v>
      </c>
      <c r="N615" t="s">
        <v>53</v>
      </c>
      <c r="O615" t="s">
        <v>1707</v>
      </c>
      <c r="P615" t="s">
        <v>756</v>
      </c>
      <c r="Q615" t="s">
        <v>56</v>
      </c>
      <c r="R615" s="21" t="s">
        <v>7164</v>
      </c>
      <c r="S615" s="21"/>
      <c r="T615" t="s">
        <v>7177</v>
      </c>
      <c r="U615" t="s">
        <v>7189</v>
      </c>
      <c r="Y615" t="s">
        <v>2225</v>
      </c>
      <c r="AA615" s="15"/>
      <c r="AC615">
        <v>42.182293000000001</v>
      </c>
      <c r="AD615">
        <v>-87.911027000000004</v>
      </c>
      <c r="AE615" t="s">
        <v>1947</v>
      </c>
      <c r="AH615" t="s">
        <v>1715</v>
      </c>
      <c r="AI615" t="s">
        <v>63</v>
      </c>
      <c r="AJ615" t="s">
        <v>7190</v>
      </c>
      <c r="AK615">
        <v>192597</v>
      </c>
      <c r="AM615" t="s">
        <v>7191</v>
      </c>
      <c r="AN615" t="s">
        <v>7192</v>
      </c>
      <c r="AO615" t="s">
        <v>7193</v>
      </c>
      <c r="AP615" t="s">
        <v>68</v>
      </c>
      <c r="AR615" t="s">
        <v>7194</v>
      </c>
      <c r="AS615" t="s">
        <v>7195</v>
      </c>
      <c r="AT615" t="s">
        <v>7196</v>
      </c>
      <c r="AW615" s="14" t="s">
        <v>72</v>
      </c>
      <c r="AX615" s="14" t="s">
        <v>73</v>
      </c>
      <c r="AY615" s="14" t="s">
        <v>74</v>
      </c>
    </row>
    <row r="616" spans="1:51" ht="15" customHeight="1" x14ac:dyDescent="0.4">
      <c r="A616" s="12">
        <v>3946</v>
      </c>
      <c r="B616" s="21" t="s">
        <v>7197</v>
      </c>
      <c r="C616" s="13" t="s">
        <v>7198</v>
      </c>
      <c r="D616" s="25" t="s">
        <v>7198</v>
      </c>
      <c r="E616" s="13"/>
      <c r="F616" s="41"/>
      <c r="G616" s="41"/>
      <c r="H616" s="41"/>
      <c r="I616" s="14" t="s">
        <v>49</v>
      </c>
      <c r="J616" s="15">
        <v>44812</v>
      </c>
      <c r="K616" t="s">
        <v>2719</v>
      </c>
      <c r="L616" t="s">
        <v>51</v>
      </c>
      <c r="M616" t="s">
        <v>52</v>
      </c>
      <c r="N616" t="s">
        <v>53</v>
      </c>
      <c r="O616" t="s">
        <v>1707</v>
      </c>
      <c r="P616" t="s">
        <v>756</v>
      </c>
      <c r="Q616" t="s">
        <v>56</v>
      </c>
      <c r="R616" s="21" t="s">
        <v>7164</v>
      </c>
      <c r="S616" s="21"/>
      <c r="T616" t="s">
        <v>7165</v>
      </c>
      <c r="U616" t="s">
        <v>7199</v>
      </c>
      <c r="Y616" t="s">
        <v>60</v>
      </c>
      <c r="AA616" s="15"/>
      <c r="AC616">
        <v>42.181899999999999</v>
      </c>
      <c r="AD616">
        <v>-87.910275999999996</v>
      </c>
      <c r="AE616" t="s">
        <v>7200</v>
      </c>
      <c r="AH616" t="s">
        <v>1715</v>
      </c>
      <c r="AI616" t="s">
        <v>63</v>
      </c>
      <c r="AJ616" t="s">
        <v>7201</v>
      </c>
      <c r="AK616">
        <v>194590</v>
      </c>
      <c r="AM616" t="s">
        <v>7202</v>
      </c>
      <c r="AN616" t="s">
        <v>7203</v>
      </c>
      <c r="AO616" t="s">
        <v>7204</v>
      </c>
      <c r="AP616" t="s">
        <v>68</v>
      </c>
      <c r="AR616" t="s">
        <v>7205</v>
      </c>
      <c r="AS616" t="s">
        <v>7206</v>
      </c>
      <c r="AT616" t="s">
        <v>7207</v>
      </c>
      <c r="AW616" s="14" t="s">
        <v>72</v>
      </c>
      <c r="AX616" s="14" t="s">
        <v>73</v>
      </c>
      <c r="AY616" s="14" t="s">
        <v>74</v>
      </c>
    </row>
    <row r="617" spans="1:51" ht="15" customHeight="1" x14ac:dyDescent="0.4">
      <c r="A617" s="12">
        <v>3947</v>
      </c>
      <c r="B617" s="21" t="s">
        <v>7208</v>
      </c>
      <c r="C617" s="13" t="s">
        <v>7209</v>
      </c>
      <c r="D617" s="25" t="s">
        <v>7209</v>
      </c>
      <c r="E617" s="13"/>
      <c r="F617" s="41"/>
      <c r="G617" s="41"/>
      <c r="H617" s="41"/>
      <c r="I617" s="14" t="s">
        <v>1878</v>
      </c>
      <c r="J617" s="15">
        <v>44812</v>
      </c>
      <c r="K617" t="s">
        <v>2719</v>
      </c>
      <c r="L617" t="s">
        <v>51</v>
      </c>
      <c r="M617" t="s">
        <v>52</v>
      </c>
      <c r="N617" t="s">
        <v>53</v>
      </c>
      <c r="O617" t="s">
        <v>1707</v>
      </c>
      <c r="P617" t="s">
        <v>756</v>
      </c>
      <c r="Q617" t="s">
        <v>56</v>
      </c>
      <c r="R617" s="21" t="s">
        <v>7164</v>
      </c>
      <c r="S617" s="21"/>
      <c r="T617" t="s">
        <v>7165</v>
      </c>
      <c r="U617" t="s">
        <v>7210</v>
      </c>
      <c r="Y617" t="s">
        <v>1881</v>
      </c>
      <c r="AA617" s="15"/>
      <c r="AC617">
        <v>42.181997000000003</v>
      </c>
      <c r="AD617">
        <v>-87.909654000000003</v>
      </c>
      <c r="AE617" t="s">
        <v>804</v>
      </c>
      <c r="AH617" t="s">
        <v>1715</v>
      </c>
      <c r="AI617" t="s">
        <v>63</v>
      </c>
      <c r="AJ617" t="s">
        <v>7211</v>
      </c>
      <c r="AK617">
        <v>194157</v>
      </c>
      <c r="AM617" t="s">
        <v>7212</v>
      </c>
      <c r="AN617" t="s">
        <v>7213</v>
      </c>
      <c r="AO617" t="s">
        <v>7214</v>
      </c>
      <c r="AP617" t="s">
        <v>68</v>
      </c>
      <c r="AR617" t="s">
        <v>7215</v>
      </c>
      <c r="AS617" t="s">
        <v>7216</v>
      </c>
      <c r="AT617" t="s">
        <v>7217</v>
      </c>
      <c r="AW617" s="14" t="s">
        <v>72</v>
      </c>
      <c r="AX617" s="14" t="s">
        <v>73</v>
      </c>
      <c r="AY617" s="14" t="s">
        <v>1723</v>
      </c>
    </row>
    <row r="618" spans="1:51" ht="15" customHeight="1" x14ac:dyDescent="0.4">
      <c r="A618" s="12">
        <v>3948</v>
      </c>
      <c r="B618" s="21" t="s">
        <v>7218</v>
      </c>
      <c r="C618" s="13" t="s">
        <v>7219</v>
      </c>
      <c r="D618" s="25" t="s">
        <v>7219</v>
      </c>
      <c r="E618" s="13"/>
      <c r="F618" s="41"/>
      <c r="G618" s="41"/>
      <c r="H618" s="41"/>
      <c r="I618" s="14" t="s">
        <v>2222</v>
      </c>
      <c r="J618" s="15">
        <v>44812</v>
      </c>
      <c r="K618" t="s">
        <v>2719</v>
      </c>
      <c r="L618" t="s">
        <v>51</v>
      </c>
      <c r="M618" t="s">
        <v>52</v>
      </c>
      <c r="N618" t="s">
        <v>53</v>
      </c>
      <c r="O618" t="s">
        <v>1707</v>
      </c>
      <c r="P618" t="s">
        <v>756</v>
      </c>
      <c r="Q618" t="s">
        <v>56</v>
      </c>
      <c r="R618" s="21" t="s">
        <v>7164</v>
      </c>
      <c r="S618" s="21"/>
      <c r="T618" t="s">
        <v>7220</v>
      </c>
      <c r="U618" t="s">
        <v>7221</v>
      </c>
      <c r="X618" t="s">
        <v>1758</v>
      </c>
      <c r="Y618" t="s">
        <v>2225</v>
      </c>
      <c r="AA618" s="15"/>
      <c r="AC618">
        <v>42.181708999999998</v>
      </c>
      <c r="AD618">
        <v>-87.909059999999997</v>
      </c>
      <c r="AE618" t="s">
        <v>7222</v>
      </c>
      <c r="AH618" t="s">
        <v>1715</v>
      </c>
      <c r="AI618" t="s">
        <v>63</v>
      </c>
      <c r="AJ618" t="s">
        <v>7223</v>
      </c>
      <c r="AK618">
        <v>192595</v>
      </c>
      <c r="AM618" t="s">
        <v>7224</v>
      </c>
      <c r="AN618" t="s">
        <v>7225</v>
      </c>
      <c r="AO618" t="s">
        <v>7226</v>
      </c>
      <c r="AP618" t="s">
        <v>68</v>
      </c>
      <c r="AR618" t="s">
        <v>7227</v>
      </c>
      <c r="AS618" t="s">
        <v>7228</v>
      </c>
      <c r="AT618" t="s">
        <v>7229</v>
      </c>
      <c r="AW618" s="14" t="s">
        <v>72</v>
      </c>
      <c r="AX618" s="14" t="s">
        <v>73</v>
      </c>
      <c r="AY618" s="14" t="s">
        <v>74</v>
      </c>
    </row>
    <row r="619" spans="1:51" ht="15" customHeight="1" x14ac:dyDescent="0.4">
      <c r="A619" s="12">
        <v>3949</v>
      </c>
      <c r="B619" s="21" t="s">
        <v>7230</v>
      </c>
      <c r="C619" s="13" t="s">
        <v>7231</v>
      </c>
      <c r="D619" s="25" t="s">
        <v>7231</v>
      </c>
      <c r="E619" s="13"/>
      <c r="F619" s="41"/>
      <c r="G619" s="41"/>
      <c r="H619" s="41"/>
      <c r="I619" s="14" t="s">
        <v>1878</v>
      </c>
      <c r="J619" s="15">
        <v>44812</v>
      </c>
      <c r="K619" t="s">
        <v>2719</v>
      </c>
      <c r="L619" t="s">
        <v>51</v>
      </c>
      <c r="M619" t="s">
        <v>52</v>
      </c>
      <c r="N619" t="s">
        <v>53</v>
      </c>
      <c r="O619" t="s">
        <v>1707</v>
      </c>
      <c r="P619" t="s">
        <v>756</v>
      </c>
      <c r="Q619" t="s">
        <v>56</v>
      </c>
      <c r="R619" s="21" t="s">
        <v>7164</v>
      </c>
      <c r="S619" s="21"/>
      <c r="T619" t="s">
        <v>7165</v>
      </c>
      <c r="U619" t="s">
        <v>7232</v>
      </c>
      <c r="Y619" t="s">
        <v>1881</v>
      </c>
      <c r="AA619" s="15"/>
      <c r="AC619">
        <v>42.181798000000001</v>
      </c>
      <c r="AD619">
        <v>-87.908278999999993</v>
      </c>
      <c r="AE619" t="s">
        <v>7233</v>
      </c>
      <c r="AH619" t="s">
        <v>1715</v>
      </c>
      <c r="AI619" t="s">
        <v>63</v>
      </c>
      <c r="AJ619" t="s">
        <v>7234</v>
      </c>
      <c r="AK619">
        <v>194156</v>
      </c>
      <c r="AM619" t="s">
        <v>7235</v>
      </c>
      <c r="AN619" t="s">
        <v>7236</v>
      </c>
      <c r="AO619" t="s">
        <v>7237</v>
      </c>
      <c r="AP619" t="s">
        <v>68</v>
      </c>
      <c r="AR619" t="s">
        <v>7238</v>
      </c>
      <c r="AS619" t="s">
        <v>7239</v>
      </c>
      <c r="AT619" t="s">
        <v>7240</v>
      </c>
      <c r="AW619" s="14" t="s">
        <v>72</v>
      </c>
      <c r="AX619" s="14" t="s">
        <v>73</v>
      </c>
      <c r="AY619" s="14" t="s">
        <v>1723</v>
      </c>
    </row>
    <row r="620" spans="1:51" ht="15" customHeight="1" x14ac:dyDescent="0.4">
      <c r="A620" s="12">
        <v>3950</v>
      </c>
      <c r="B620" s="21" t="s">
        <v>7241</v>
      </c>
      <c r="C620" s="13" t="s">
        <v>7242</v>
      </c>
      <c r="D620" s="25" t="s">
        <v>7242</v>
      </c>
      <c r="E620" s="13"/>
      <c r="F620" s="41"/>
      <c r="G620" s="41"/>
      <c r="H620" s="41"/>
      <c r="I620" s="14" t="s">
        <v>2222</v>
      </c>
      <c r="J620" s="15">
        <v>44812</v>
      </c>
      <c r="K620" t="s">
        <v>2719</v>
      </c>
      <c r="L620" t="s">
        <v>51</v>
      </c>
      <c r="M620" t="s">
        <v>52</v>
      </c>
      <c r="N620" t="s">
        <v>53</v>
      </c>
      <c r="O620" t="s">
        <v>1707</v>
      </c>
      <c r="P620" t="s">
        <v>756</v>
      </c>
      <c r="Q620" t="s">
        <v>56</v>
      </c>
      <c r="R620" s="21" t="s">
        <v>7164</v>
      </c>
      <c r="S620" s="21"/>
      <c r="T620" t="s">
        <v>7243</v>
      </c>
      <c r="U620" t="s">
        <v>7244</v>
      </c>
      <c r="Y620" t="s">
        <v>2225</v>
      </c>
      <c r="AA620" s="15"/>
      <c r="AC620">
        <v>42.181578999999999</v>
      </c>
      <c r="AD620">
        <v>-87.908004000000005</v>
      </c>
      <c r="AE620" t="s">
        <v>7245</v>
      </c>
      <c r="AH620" t="s">
        <v>1715</v>
      </c>
      <c r="AI620" t="s">
        <v>63</v>
      </c>
      <c r="AJ620" t="s">
        <v>7246</v>
      </c>
      <c r="AK620">
        <v>192594</v>
      </c>
      <c r="AM620" t="s">
        <v>7247</v>
      </c>
      <c r="AN620" t="s">
        <v>7248</v>
      </c>
      <c r="AO620" t="s">
        <v>7249</v>
      </c>
      <c r="AP620" t="s">
        <v>68</v>
      </c>
      <c r="AR620" t="s">
        <v>7250</v>
      </c>
      <c r="AS620" t="s">
        <v>7251</v>
      </c>
      <c r="AT620" t="s">
        <v>7252</v>
      </c>
      <c r="AW620" s="14" t="s">
        <v>72</v>
      </c>
      <c r="AX620" s="14" t="s">
        <v>73</v>
      </c>
      <c r="AY620" s="14" t="s">
        <v>74</v>
      </c>
    </row>
    <row r="621" spans="1:51" ht="15" customHeight="1" x14ac:dyDescent="0.4">
      <c r="A621" s="12">
        <v>3951</v>
      </c>
      <c r="B621" s="21" t="s">
        <v>7253</v>
      </c>
      <c r="C621" s="13" t="s">
        <v>7254</v>
      </c>
      <c r="D621" s="25" t="s">
        <v>7254</v>
      </c>
      <c r="E621" s="13"/>
      <c r="F621" s="41"/>
      <c r="G621" s="41"/>
      <c r="H621" s="41"/>
      <c r="I621" s="14" t="s">
        <v>49</v>
      </c>
      <c r="J621" s="15">
        <v>44812</v>
      </c>
      <c r="K621" t="s">
        <v>2719</v>
      </c>
      <c r="L621" t="s">
        <v>51</v>
      </c>
      <c r="M621" t="s">
        <v>52</v>
      </c>
      <c r="N621" t="s">
        <v>53</v>
      </c>
      <c r="O621" t="s">
        <v>1707</v>
      </c>
      <c r="P621" t="s">
        <v>756</v>
      </c>
      <c r="Q621" t="s">
        <v>56</v>
      </c>
      <c r="R621" s="21" t="s">
        <v>7164</v>
      </c>
      <c r="S621" s="21"/>
      <c r="T621" t="s">
        <v>7165</v>
      </c>
      <c r="U621" t="s">
        <v>7255</v>
      </c>
      <c r="X621" t="s">
        <v>1758</v>
      </c>
      <c r="Y621" t="s">
        <v>60</v>
      </c>
      <c r="AA621" s="15"/>
      <c r="AC621">
        <v>42.181494000000001</v>
      </c>
      <c r="AD621">
        <v>-87.907514000000006</v>
      </c>
      <c r="AE621" t="s">
        <v>7256</v>
      </c>
      <c r="AH621" t="s">
        <v>1715</v>
      </c>
      <c r="AI621" t="s">
        <v>63</v>
      </c>
      <c r="AJ621" t="s">
        <v>7257</v>
      </c>
      <c r="AK621">
        <v>193375</v>
      </c>
      <c r="AM621" t="s">
        <v>7258</v>
      </c>
      <c r="AN621" t="s">
        <v>7259</v>
      </c>
      <c r="AO621" t="s">
        <v>7260</v>
      </c>
      <c r="AP621" t="s">
        <v>68</v>
      </c>
      <c r="AR621" t="s">
        <v>7261</v>
      </c>
      <c r="AS621" t="s">
        <v>7262</v>
      </c>
      <c r="AT621" t="s">
        <v>7263</v>
      </c>
      <c r="AW621" s="14" t="s">
        <v>72</v>
      </c>
      <c r="AX621" s="14" t="s">
        <v>73</v>
      </c>
      <c r="AY621" s="14" t="s">
        <v>74</v>
      </c>
    </row>
    <row r="622" spans="1:51" ht="15" customHeight="1" x14ac:dyDescent="0.4">
      <c r="A622" s="12">
        <v>3952</v>
      </c>
      <c r="B622" s="21" t="s">
        <v>7264</v>
      </c>
      <c r="C622" s="13" t="s">
        <v>7265</v>
      </c>
      <c r="D622" s="25" t="s">
        <v>7265</v>
      </c>
      <c r="E622" s="13"/>
      <c r="F622" s="41"/>
      <c r="G622" s="41"/>
      <c r="H622" s="41"/>
      <c r="I622" s="14" t="s">
        <v>1878</v>
      </c>
      <c r="J622" s="15">
        <v>44812</v>
      </c>
      <c r="K622" t="s">
        <v>2719</v>
      </c>
      <c r="L622" t="s">
        <v>51</v>
      </c>
      <c r="M622" t="s">
        <v>52</v>
      </c>
      <c r="N622" t="s">
        <v>53</v>
      </c>
      <c r="O622" t="s">
        <v>1707</v>
      </c>
      <c r="P622" t="s">
        <v>756</v>
      </c>
      <c r="Q622" t="s">
        <v>56</v>
      </c>
      <c r="R622" s="21" t="s">
        <v>7164</v>
      </c>
      <c r="S622" s="21"/>
      <c r="T622" t="s">
        <v>7165</v>
      </c>
      <c r="U622" t="s">
        <v>7266</v>
      </c>
      <c r="Y622" t="s">
        <v>1881</v>
      </c>
      <c r="AA622" s="15"/>
      <c r="AC622">
        <v>42.181280000000001</v>
      </c>
      <c r="AD622">
        <v>-87.906869</v>
      </c>
      <c r="AE622" t="s">
        <v>2808</v>
      </c>
      <c r="AH622" t="s">
        <v>1715</v>
      </c>
      <c r="AI622" t="s">
        <v>63</v>
      </c>
      <c r="AJ622" t="s">
        <v>7267</v>
      </c>
      <c r="AK622">
        <v>194155</v>
      </c>
      <c r="AM622" t="s">
        <v>7268</v>
      </c>
      <c r="AN622" t="s">
        <v>7269</v>
      </c>
      <c r="AO622" t="s">
        <v>7270</v>
      </c>
      <c r="AP622" t="s">
        <v>68</v>
      </c>
      <c r="AR622" t="s">
        <v>7271</v>
      </c>
      <c r="AS622" t="s">
        <v>7272</v>
      </c>
      <c r="AT622" t="s">
        <v>7273</v>
      </c>
      <c r="AW622" s="14" t="s">
        <v>72</v>
      </c>
      <c r="AX622" s="14" t="s">
        <v>73</v>
      </c>
      <c r="AY622" s="14" t="s">
        <v>1723</v>
      </c>
    </row>
    <row r="623" spans="1:51" ht="15" customHeight="1" x14ac:dyDescent="0.4">
      <c r="A623" s="12">
        <v>3953</v>
      </c>
      <c r="B623" s="21" t="s">
        <v>7274</v>
      </c>
      <c r="C623" s="13" t="s">
        <v>7275</v>
      </c>
      <c r="D623" s="25" t="s">
        <v>7275</v>
      </c>
      <c r="E623" s="13"/>
      <c r="F623" s="41"/>
      <c r="G623" s="41"/>
      <c r="H623" s="41"/>
      <c r="I623" s="14" t="s">
        <v>49</v>
      </c>
      <c r="J623" s="15">
        <v>44812</v>
      </c>
      <c r="K623" t="s">
        <v>2719</v>
      </c>
      <c r="L623" t="s">
        <v>51</v>
      </c>
      <c r="M623" t="s">
        <v>52</v>
      </c>
      <c r="N623" t="s">
        <v>53</v>
      </c>
      <c r="O623" t="s">
        <v>1707</v>
      </c>
      <c r="P623" t="s">
        <v>756</v>
      </c>
      <c r="Q623" t="s">
        <v>56</v>
      </c>
      <c r="R623" s="21" t="s">
        <v>7164</v>
      </c>
      <c r="S623" s="21"/>
      <c r="T623" t="s">
        <v>7276</v>
      </c>
      <c r="U623" t="s">
        <v>7277</v>
      </c>
      <c r="Y623" t="s">
        <v>60</v>
      </c>
      <c r="AA623" s="15"/>
      <c r="AC623">
        <v>42.181116000000003</v>
      </c>
      <c r="AD623">
        <v>-87.907092000000006</v>
      </c>
      <c r="AE623" t="s">
        <v>7278</v>
      </c>
      <c r="AH623" t="s">
        <v>1715</v>
      </c>
      <c r="AI623" t="s">
        <v>63</v>
      </c>
      <c r="AJ623" t="s">
        <v>7279</v>
      </c>
      <c r="AK623">
        <v>194591</v>
      </c>
      <c r="AM623" t="s">
        <v>7280</v>
      </c>
      <c r="AN623" t="s">
        <v>7281</v>
      </c>
      <c r="AO623" t="s">
        <v>7282</v>
      </c>
      <c r="AP623" t="s">
        <v>68</v>
      </c>
      <c r="AR623" t="s">
        <v>7283</v>
      </c>
      <c r="AS623" t="s">
        <v>7284</v>
      </c>
      <c r="AT623" t="s">
        <v>7285</v>
      </c>
      <c r="AW623" s="14" t="s">
        <v>72</v>
      </c>
      <c r="AX623" s="14" t="s">
        <v>73</v>
      </c>
      <c r="AY623" s="14" t="s">
        <v>74</v>
      </c>
    </row>
    <row r="624" spans="1:51" ht="15" customHeight="1" x14ac:dyDescent="0.4">
      <c r="A624" s="12">
        <v>3954</v>
      </c>
      <c r="B624" s="21" t="s">
        <v>7286</v>
      </c>
      <c r="C624" s="13" t="s">
        <v>7287</v>
      </c>
      <c r="D624" s="25" t="s">
        <v>7287</v>
      </c>
      <c r="E624" s="13"/>
      <c r="F624" s="41" t="s">
        <v>8106</v>
      </c>
      <c r="G624" s="41"/>
      <c r="H624" s="41"/>
      <c r="I624" s="14" t="s">
        <v>2222</v>
      </c>
      <c r="J624" s="15">
        <v>44812</v>
      </c>
      <c r="K624" t="s">
        <v>2719</v>
      </c>
      <c r="L624" t="s">
        <v>51</v>
      </c>
      <c r="M624" t="s">
        <v>52</v>
      </c>
      <c r="N624" t="s">
        <v>53</v>
      </c>
      <c r="O624" t="s">
        <v>1707</v>
      </c>
      <c r="P624" t="s">
        <v>756</v>
      </c>
      <c r="Q624" t="s">
        <v>56</v>
      </c>
      <c r="R624" s="21" t="s">
        <v>7164</v>
      </c>
      <c r="S624" s="21"/>
      <c r="T624" t="s">
        <v>7288</v>
      </c>
      <c r="U624" t="s">
        <v>7289</v>
      </c>
      <c r="X624" t="s">
        <v>7290</v>
      </c>
      <c r="Y624" t="s">
        <v>2225</v>
      </c>
      <c r="AA624" s="15"/>
      <c r="AC624">
        <v>42.180086000000003</v>
      </c>
      <c r="AD624">
        <v>-87.906420999999995</v>
      </c>
      <c r="AE624" t="s">
        <v>7291</v>
      </c>
      <c r="AH624" t="s">
        <v>1715</v>
      </c>
      <c r="AI624" t="s">
        <v>63</v>
      </c>
      <c r="AJ624" t="s">
        <v>7292</v>
      </c>
      <c r="AK624">
        <v>192577</v>
      </c>
      <c r="AM624" t="s">
        <v>7293</v>
      </c>
      <c r="AN624" t="s">
        <v>7294</v>
      </c>
      <c r="AO624" t="s">
        <v>7295</v>
      </c>
      <c r="AP624" t="s">
        <v>68</v>
      </c>
      <c r="AR624" t="s">
        <v>7296</v>
      </c>
      <c r="AS624" t="s">
        <v>7297</v>
      </c>
      <c r="AT624" t="s">
        <v>7298</v>
      </c>
      <c r="AW624" s="14" t="s">
        <v>72</v>
      </c>
      <c r="AX624" s="14" t="s">
        <v>73</v>
      </c>
      <c r="AY624" s="14" t="s">
        <v>74</v>
      </c>
    </row>
    <row r="625" spans="1:51" ht="15" customHeight="1" x14ac:dyDescent="0.4">
      <c r="A625" s="12">
        <v>3955</v>
      </c>
      <c r="B625" s="21" t="s">
        <v>7299</v>
      </c>
      <c r="C625" s="13" t="s">
        <v>7300</v>
      </c>
      <c r="D625" s="25" t="s">
        <v>7300</v>
      </c>
      <c r="E625" s="13"/>
      <c r="F625" s="41"/>
      <c r="G625" s="41"/>
      <c r="H625" s="41"/>
      <c r="I625" s="14" t="s">
        <v>1878</v>
      </c>
      <c r="J625" s="15">
        <v>44812</v>
      </c>
      <c r="K625" t="s">
        <v>2719</v>
      </c>
      <c r="L625" t="s">
        <v>51</v>
      </c>
      <c r="M625" t="s">
        <v>52</v>
      </c>
      <c r="N625" t="s">
        <v>53</v>
      </c>
      <c r="O625" t="s">
        <v>1707</v>
      </c>
      <c r="P625" t="s">
        <v>756</v>
      </c>
      <c r="Q625" t="s">
        <v>56</v>
      </c>
      <c r="R625" s="21" t="s">
        <v>7164</v>
      </c>
      <c r="S625" s="21"/>
      <c r="T625" t="s">
        <v>7276</v>
      </c>
      <c r="U625" t="s">
        <v>7301</v>
      </c>
      <c r="X625" t="s">
        <v>7290</v>
      </c>
      <c r="Y625" t="s">
        <v>1881</v>
      </c>
      <c r="AA625" s="15"/>
      <c r="AC625">
        <v>42.179906000000003</v>
      </c>
      <c r="AD625">
        <v>-87.906594999999996</v>
      </c>
      <c r="AE625" t="s">
        <v>7302</v>
      </c>
      <c r="AH625" t="s">
        <v>1715</v>
      </c>
      <c r="AI625" t="s">
        <v>63</v>
      </c>
      <c r="AJ625" t="s">
        <v>7303</v>
      </c>
      <c r="AK625">
        <v>194136</v>
      </c>
      <c r="AM625" t="s">
        <v>7304</v>
      </c>
      <c r="AN625" t="s">
        <v>7305</v>
      </c>
      <c r="AO625" t="s">
        <v>7306</v>
      </c>
      <c r="AP625" t="s">
        <v>68</v>
      </c>
      <c r="AR625" t="s">
        <v>7307</v>
      </c>
      <c r="AS625" t="s">
        <v>7308</v>
      </c>
      <c r="AT625" t="s">
        <v>7309</v>
      </c>
      <c r="AW625" s="14" t="s">
        <v>72</v>
      </c>
      <c r="AX625" s="14" t="s">
        <v>73</v>
      </c>
      <c r="AY625" s="14" t="s">
        <v>1723</v>
      </c>
    </row>
    <row r="626" spans="1:51" ht="15" customHeight="1" x14ac:dyDescent="0.4">
      <c r="A626" s="12">
        <v>3956</v>
      </c>
      <c r="B626" s="21" t="s">
        <v>7310</v>
      </c>
      <c r="C626" s="13" t="s">
        <v>7311</v>
      </c>
      <c r="D626" s="25" t="s">
        <v>7311</v>
      </c>
      <c r="E626" s="13"/>
      <c r="F626" s="41"/>
      <c r="G626" s="41"/>
      <c r="H626" s="41"/>
      <c r="I626" s="14" t="s">
        <v>49</v>
      </c>
      <c r="J626" s="15">
        <v>44812</v>
      </c>
      <c r="K626" t="s">
        <v>2719</v>
      </c>
      <c r="L626" t="s">
        <v>51</v>
      </c>
      <c r="M626" t="s">
        <v>52</v>
      </c>
      <c r="N626" t="s">
        <v>53</v>
      </c>
      <c r="O626" t="s">
        <v>1707</v>
      </c>
      <c r="P626" t="s">
        <v>756</v>
      </c>
      <c r="Q626" t="s">
        <v>56</v>
      </c>
      <c r="R626" s="21" t="s">
        <v>7164</v>
      </c>
      <c r="S626" s="21"/>
      <c r="T626" t="s">
        <v>7312</v>
      </c>
      <c r="U626" t="s">
        <v>7313</v>
      </c>
      <c r="Y626" t="s">
        <v>60</v>
      </c>
      <c r="AA626" s="15"/>
      <c r="AC626">
        <v>42.179960999999999</v>
      </c>
      <c r="AD626">
        <v>-87.906599</v>
      </c>
      <c r="AE626" t="s">
        <v>1947</v>
      </c>
      <c r="AH626" t="s">
        <v>1715</v>
      </c>
      <c r="AI626" t="s">
        <v>63</v>
      </c>
      <c r="AJ626" t="s">
        <v>7314</v>
      </c>
      <c r="AK626">
        <v>194592</v>
      </c>
      <c r="AM626" t="s">
        <v>7315</v>
      </c>
      <c r="AN626" t="s">
        <v>7316</v>
      </c>
      <c r="AO626" t="s">
        <v>7317</v>
      </c>
      <c r="AP626" t="s">
        <v>68</v>
      </c>
      <c r="AR626" t="s">
        <v>7318</v>
      </c>
      <c r="AS626" t="s">
        <v>7319</v>
      </c>
      <c r="AT626" t="s">
        <v>7320</v>
      </c>
      <c r="AW626" s="14" t="s">
        <v>72</v>
      </c>
      <c r="AX626" s="14" t="s">
        <v>73</v>
      </c>
      <c r="AY626" s="14" t="s">
        <v>74</v>
      </c>
    </row>
    <row r="627" spans="1:51" ht="15" customHeight="1" x14ac:dyDescent="0.4">
      <c r="A627" s="12">
        <v>3957</v>
      </c>
      <c r="B627" s="21" t="s">
        <v>7321</v>
      </c>
      <c r="C627" s="13" t="s">
        <v>7322</v>
      </c>
      <c r="D627" s="25" t="s">
        <v>7322</v>
      </c>
      <c r="E627" s="13"/>
      <c r="F627" s="41"/>
      <c r="G627" s="41"/>
      <c r="H627" s="41"/>
      <c r="I627" s="14" t="s">
        <v>2222</v>
      </c>
      <c r="J627" s="15">
        <v>44812</v>
      </c>
      <c r="K627" t="s">
        <v>2719</v>
      </c>
      <c r="L627" t="s">
        <v>51</v>
      </c>
      <c r="M627" t="s">
        <v>52</v>
      </c>
      <c r="N627" t="s">
        <v>53</v>
      </c>
      <c r="O627" t="s">
        <v>1707</v>
      </c>
      <c r="P627" t="s">
        <v>756</v>
      </c>
      <c r="Q627" t="s">
        <v>56</v>
      </c>
      <c r="R627" s="21" t="s">
        <v>7164</v>
      </c>
      <c r="S627" s="21"/>
      <c r="T627" t="s">
        <v>7323</v>
      </c>
      <c r="U627" t="s">
        <v>7324</v>
      </c>
      <c r="Y627" t="s">
        <v>2225</v>
      </c>
      <c r="AA627" s="15"/>
      <c r="AC627">
        <v>42.179338999999999</v>
      </c>
      <c r="AD627">
        <v>-87.906487999999996</v>
      </c>
      <c r="AE627" t="s">
        <v>7325</v>
      </c>
      <c r="AH627" t="s">
        <v>1715</v>
      </c>
      <c r="AI627" t="s">
        <v>63</v>
      </c>
      <c r="AJ627" t="s">
        <v>7326</v>
      </c>
      <c r="AK627">
        <v>192593</v>
      </c>
      <c r="AM627" t="s">
        <v>7327</v>
      </c>
      <c r="AN627" t="s">
        <v>7328</v>
      </c>
      <c r="AO627" t="s">
        <v>7329</v>
      </c>
      <c r="AP627" t="s">
        <v>68</v>
      </c>
      <c r="AR627" t="s">
        <v>7330</v>
      </c>
      <c r="AS627" t="s">
        <v>7331</v>
      </c>
      <c r="AT627" t="s">
        <v>7332</v>
      </c>
      <c r="AW627" s="14" t="s">
        <v>72</v>
      </c>
      <c r="AX627" s="14" t="s">
        <v>73</v>
      </c>
      <c r="AY627" s="14" t="s">
        <v>74</v>
      </c>
    </row>
    <row r="628" spans="1:51" ht="15" customHeight="1" x14ac:dyDescent="0.4">
      <c r="A628" s="12">
        <v>3958</v>
      </c>
      <c r="B628" s="21" t="s">
        <v>7333</v>
      </c>
      <c r="C628" s="13" t="s">
        <v>7334</v>
      </c>
      <c r="D628" s="25" t="s">
        <v>7334</v>
      </c>
      <c r="E628" s="13"/>
      <c r="F628" s="41"/>
      <c r="G628" s="41"/>
      <c r="H628" s="41"/>
      <c r="I628" s="14" t="s">
        <v>1878</v>
      </c>
      <c r="J628" s="15">
        <v>44818</v>
      </c>
      <c r="K628" t="s">
        <v>2719</v>
      </c>
      <c r="L628" t="s">
        <v>51</v>
      </c>
      <c r="M628" t="s">
        <v>52</v>
      </c>
      <c r="N628" t="s">
        <v>53</v>
      </c>
      <c r="O628" t="s">
        <v>755</v>
      </c>
      <c r="P628" t="s">
        <v>7335</v>
      </c>
      <c r="Q628" t="s">
        <v>56</v>
      </c>
      <c r="R628" s="21" t="s">
        <v>7336</v>
      </c>
      <c r="S628" s="21"/>
      <c r="T628" t="s">
        <v>7337</v>
      </c>
      <c r="U628" t="s">
        <v>7338</v>
      </c>
      <c r="X628" t="s">
        <v>2440</v>
      </c>
      <c r="Y628" t="s">
        <v>1881</v>
      </c>
      <c r="AA628" s="15"/>
      <c r="AC628">
        <v>40.438583999999999</v>
      </c>
      <c r="AD628">
        <v>-86.932946999999999</v>
      </c>
      <c r="AE628" t="s">
        <v>7339</v>
      </c>
      <c r="AH628" t="s">
        <v>1715</v>
      </c>
      <c r="AI628" t="s">
        <v>63</v>
      </c>
      <c r="AJ628" t="s">
        <v>7340</v>
      </c>
      <c r="AK628">
        <v>194154</v>
      </c>
      <c r="AM628" t="s">
        <v>7341</v>
      </c>
      <c r="AN628" t="s">
        <v>7342</v>
      </c>
      <c r="AO628" t="s">
        <v>7343</v>
      </c>
      <c r="AP628" t="s">
        <v>68</v>
      </c>
      <c r="AR628" t="s">
        <v>7344</v>
      </c>
      <c r="AS628" t="s">
        <v>7345</v>
      </c>
      <c r="AT628" t="s">
        <v>7346</v>
      </c>
      <c r="AW628" s="14" t="s">
        <v>72</v>
      </c>
      <c r="AX628" s="14" t="s">
        <v>73</v>
      </c>
      <c r="AY628" s="14" t="s">
        <v>1723</v>
      </c>
    </row>
    <row r="629" spans="1:51" ht="15" customHeight="1" x14ac:dyDescent="0.4">
      <c r="A629" s="12">
        <v>3959</v>
      </c>
      <c r="B629" s="21" t="s">
        <v>7347</v>
      </c>
      <c r="C629" s="13" t="s">
        <v>7348</v>
      </c>
      <c r="D629" s="25" t="s">
        <v>7348</v>
      </c>
      <c r="E629" s="13"/>
      <c r="F629" s="41"/>
      <c r="G629" s="41"/>
      <c r="H629" s="41"/>
      <c r="I629" s="14" t="s">
        <v>2222</v>
      </c>
      <c r="J629" s="15">
        <v>44818</v>
      </c>
      <c r="K629" t="s">
        <v>2719</v>
      </c>
      <c r="L629" t="s">
        <v>51</v>
      </c>
      <c r="M629" t="s">
        <v>52</v>
      </c>
      <c r="N629" t="s">
        <v>53</v>
      </c>
      <c r="O629" t="s">
        <v>755</v>
      </c>
      <c r="P629" t="s">
        <v>7335</v>
      </c>
      <c r="Q629" t="s">
        <v>56</v>
      </c>
      <c r="R629" s="21" t="s">
        <v>7336</v>
      </c>
      <c r="S629" s="21"/>
      <c r="T629" t="s">
        <v>7349</v>
      </c>
      <c r="U629" t="s">
        <v>7350</v>
      </c>
      <c r="X629" t="s">
        <v>2440</v>
      </c>
      <c r="Y629" t="s">
        <v>2225</v>
      </c>
      <c r="AA629" s="15"/>
      <c r="AC629">
        <v>40.437621999999998</v>
      </c>
      <c r="AD629">
        <v>-86.932541999999998</v>
      </c>
      <c r="AE629" t="s">
        <v>3738</v>
      </c>
      <c r="AH629" t="s">
        <v>1715</v>
      </c>
      <c r="AI629" t="s">
        <v>63</v>
      </c>
      <c r="AJ629" t="s">
        <v>7351</v>
      </c>
      <c r="AK629">
        <v>192532</v>
      </c>
      <c r="AM629" t="s">
        <v>7352</v>
      </c>
      <c r="AN629" t="s">
        <v>7353</v>
      </c>
      <c r="AO629" t="s">
        <v>7354</v>
      </c>
      <c r="AP629" t="s">
        <v>68</v>
      </c>
      <c r="AR629" t="s">
        <v>7355</v>
      </c>
      <c r="AS629" t="s">
        <v>7356</v>
      </c>
      <c r="AT629" t="s">
        <v>7357</v>
      </c>
      <c r="AW629" s="14" t="s">
        <v>72</v>
      </c>
      <c r="AX629" s="14" t="s">
        <v>73</v>
      </c>
      <c r="AY629" s="14" t="s">
        <v>74</v>
      </c>
    </row>
    <row r="630" spans="1:51" ht="15" customHeight="1" x14ac:dyDescent="0.4">
      <c r="A630" s="12">
        <v>3960</v>
      </c>
      <c r="B630" s="21" t="s">
        <v>7358</v>
      </c>
      <c r="C630" s="13" t="s">
        <v>7359</v>
      </c>
      <c r="D630" s="25" t="s">
        <v>7359</v>
      </c>
      <c r="E630" s="13"/>
      <c r="F630" s="41"/>
      <c r="G630" s="41"/>
      <c r="H630" s="41"/>
      <c r="I630" s="14" t="s">
        <v>1878</v>
      </c>
      <c r="J630" s="15">
        <v>44818</v>
      </c>
      <c r="K630" t="s">
        <v>2719</v>
      </c>
      <c r="L630" t="s">
        <v>51</v>
      </c>
      <c r="M630" t="s">
        <v>52</v>
      </c>
      <c r="N630" t="s">
        <v>53</v>
      </c>
      <c r="O630" t="s">
        <v>755</v>
      </c>
      <c r="P630" t="s">
        <v>7335</v>
      </c>
      <c r="Q630" t="s">
        <v>56</v>
      </c>
      <c r="R630" s="21" t="s">
        <v>7336</v>
      </c>
      <c r="S630" s="21"/>
      <c r="T630" t="s">
        <v>7360</v>
      </c>
      <c r="U630" t="s">
        <v>7361</v>
      </c>
      <c r="X630" t="s">
        <v>2440</v>
      </c>
      <c r="Y630" t="s">
        <v>1881</v>
      </c>
      <c r="AA630" s="15"/>
      <c r="AC630">
        <v>40.437243000000002</v>
      </c>
      <c r="AD630">
        <v>-86.932675000000003</v>
      </c>
      <c r="AE630" t="s">
        <v>7362</v>
      </c>
      <c r="AH630" t="s">
        <v>1715</v>
      </c>
      <c r="AI630" t="s">
        <v>63</v>
      </c>
      <c r="AJ630" t="s">
        <v>7363</v>
      </c>
      <c r="AK630">
        <v>194153</v>
      </c>
      <c r="AM630" t="s">
        <v>7364</v>
      </c>
      <c r="AN630" t="s">
        <v>7365</v>
      </c>
      <c r="AO630" t="s">
        <v>7366</v>
      </c>
      <c r="AP630" t="s">
        <v>68</v>
      </c>
      <c r="AR630" t="s">
        <v>7367</v>
      </c>
      <c r="AS630" t="s">
        <v>7368</v>
      </c>
      <c r="AT630" t="s">
        <v>7369</v>
      </c>
      <c r="AW630" s="14" t="s">
        <v>72</v>
      </c>
      <c r="AX630" s="14" t="s">
        <v>73</v>
      </c>
      <c r="AY630" s="14" t="s">
        <v>1723</v>
      </c>
    </row>
    <row r="631" spans="1:51" ht="15" customHeight="1" x14ac:dyDescent="0.4">
      <c r="A631" s="12">
        <v>3961</v>
      </c>
      <c r="B631" s="21" t="s">
        <v>7370</v>
      </c>
      <c r="C631" s="13" t="s">
        <v>7371</v>
      </c>
      <c r="D631" s="25" t="s">
        <v>7371</v>
      </c>
      <c r="E631" s="13"/>
      <c r="F631" s="41"/>
      <c r="G631" s="41"/>
      <c r="H631" s="41"/>
      <c r="I631" s="14" t="s">
        <v>1878</v>
      </c>
      <c r="J631" s="15">
        <v>44818</v>
      </c>
      <c r="K631" t="s">
        <v>2719</v>
      </c>
      <c r="L631" t="s">
        <v>51</v>
      </c>
      <c r="M631" t="s">
        <v>52</v>
      </c>
      <c r="N631" t="s">
        <v>53</v>
      </c>
      <c r="O631" t="s">
        <v>755</v>
      </c>
      <c r="P631" t="s">
        <v>7335</v>
      </c>
      <c r="Q631" t="s">
        <v>56</v>
      </c>
      <c r="R631" s="21" t="s">
        <v>7336</v>
      </c>
      <c r="S631" s="21"/>
      <c r="T631" t="s">
        <v>7372</v>
      </c>
      <c r="U631" t="s">
        <v>7373</v>
      </c>
      <c r="X631" t="s">
        <v>2440</v>
      </c>
      <c r="Y631" t="s">
        <v>1881</v>
      </c>
      <c r="AA631" s="15"/>
      <c r="AC631">
        <v>40.435110000000002</v>
      </c>
      <c r="AD631">
        <v>-86.933235999999994</v>
      </c>
      <c r="AE631" t="s">
        <v>772</v>
      </c>
      <c r="AH631" t="s">
        <v>1715</v>
      </c>
      <c r="AI631" t="s">
        <v>63</v>
      </c>
      <c r="AJ631" t="s">
        <v>7374</v>
      </c>
      <c r="AK631">
        <v>194152</v>
      </c>
      <c r="AM631" t="s">
        <v>7375</v>
      </c>
      <c r="AN631" t="s">
        <v>7376</v>
      </c>
      <c r="AO631" t="s">
        <v>7377</v>
      </c>
      <c r="AP631" t="s">
        <v>68</v>
      </c>
      <c r="AR631" t="s">
        <v>7378</v>
      </c>
      <c r="AS631" t="s">
        <v>7379</v>
      </c>
      <c r="AT631" t="s">
        <v>7380</v>
      </c>
      <c r="AW631" s="14" t="s">
        <v>72</v>
      </c>
      <c r="AX631" s="14" t="s">
        <v>73</v>
      </c>
      <c r="AY631" s="14" t="s">
        <v>1723</v>
      </c>
    </row>
    <row r="632" spans="1:51" ht="15" customHeight="1" x14ac:dyDescent="0.4">
      <c r="A632" s="12">
        <v>3962</v>
      </c>
      <c r="B632" s="21" t="s">
        <v>7381</v>
      </c>
      <c r="C632" s="13" t="s">
        <v>7382</v>
      </c>
      <c r="D632" s="25" t="s">
        <v>7382</v>
      </c>
      <c r="E632" s="13"/>
      <c r="F632" s="41"/>
      <c r="G632" s="41"/>
      <c r="H632" s="41"/>
      <c r="I632" s="14" t="s">
        <v>2222</v>
      </c>
      <c r="J632" s="15">
        <v>44818</v>
      </c>
      <c r="K632" t="s">
        <v>2719</v>
      </c>
      <c r="L632" t="s">
        <v>51</v>
      </c>
      <c r="M632" t="s">
        <v>52</v>
      </c>
      <c r="N632" t="s">
        <v>53</v>
      </c>
      <c r="O632" t="s">
        <v>755</v>
      </c>
      <c r="P632" t="s">
        <v>7335</v>
      </c>
      <c r="Q632" t="s">
        <v>56</v>
      </c>
      <c r="R632" s="21" t="s">
        <v>7336</v>
      </c>
      <c r="S632" s="21"/>
      <c r="T632" t="s">
        <v>7383</v>
      </c>
      <c r="U632" t="s">
        <v>7384</v>
      </c>
      <c r="X632" t="s">
        <v>2440</v>
      </c>
      <c r="Y632" t="s">
        <v>2225</v>
      </c>
      <c r="AA632" s="15"/>
      <c r="AC632">
        <v>40.436804000000002</v>
      </c>
      <c r="AD632">
        <v>-86.933732000000006</v>
      </c>
      <c r="AE632" t="s">
        <v>1971</v>
      </c>
      <c r="AH632" t="s">
        <v>1715</v>
      </c>
      <c r="AI632" t="s">
        <v>63</v>
      </c>
      <c r="AJ632" t="s">
        <v>7385</v>
      </c>
      <c r="AK632">
        <v>192591</v>
      </c>
      <c r="AM632" t="s">
        <v>7386</v>
      </c>
      <c r="AN632" t="s">
        <v>7387</v>
      </c>
      <c r="AO632" t="s">
        <v>7388</v>
      </c>
      <c r="AP632" t="s">
        <v>68</v>
      </c>
      <c r="AR632" t="s">
        <v>7389</v>
      </c>
      <c r="AS632" t="s">
        <v>7390</v>
      </c>
      <c r="AT632" t="s">
        <v>7391</v>
      </c>
      <c r="AW632" s="14" t="s">
        <v>72</v>
      </c>
      <c r="AX632" s="14" t="s">
        <v>73</v>
      </c>
      <c r="AY632" s="14" t="s">
        <v>74</v>
      </c>
    </row>
    <row r="633" spans="1:51" ht="15" customHeight="1" x14ac:dyDescent="0.4">
      <c r="A633" s="12">
        <v>3963</v>
      </c>
      <c r="B633" s="21" t="s">
        <v>7392</v>
      </c>
      <c r="C633" s="13" t="s">
        <v>7393</v>
      </c>
      <c r="D633" s="25" t="s">
        <v>7393</v>
      </c>
      <c r="E633" s="13"/>
      <c r="F633" s="41"/>
      <c r="G633" s="41"/>
      <c r="H633" s="41"/>
      <c r="I633" s="14" t="s">
        <v>49</v>
      </c>
      <c r="J633" s="15">
        <v>44818</v>
      </c>
      <c r="K633" t="s">
        <v>2719</v>
      </c>
      <c r="L633" t="s">
        <v>51</v>
      </c>
      <c r="M633" t="s">
        <v>52</v>
      </c>
      <c r="N633" t="s">
        <v>53</v>
      </c>
      <c r="O633" t="s">
        <v>755</v>
      </c>
      <c r="P633" t="s">
        <v>7335</v>
      </c>
      <c r="Q633" t="s">
        <v>56</v>
      </c>
      <c r="R633" s="21" t="s">
        <v>7336</v>
      </c>
      <c r="S633" s="21"/>
      <c r="T633" t="s">
        <v>7394</v>
      </c>
      <c r="U633" t="s">
        <v>7395</v>
      </c>
      <c r="X633" t="s">
        <v>2440</v>
      </c>
      <c r="Y633" t="s">
        <v>60</v>
      </c>
      <c r="AA633" s="15"/>
      <c r="AC633">
        <v>40.437838999999997</v>
      </c>
      <c r="AD633">
        <v>-86.933767000000003</v>
      </c>
      <c r="AE633" t="s">
        <v>7278</v>
      </c>
      <c r="AH633" t="s">
        <v>1715</v>
      </c>
      <c r="AI633" t="s">
        <v>63</v>
      </c>
      <c r="AJ633" t="s">
        <v>7396</v>
      </c>
      <c r="AK633">
        <v>192648</v>
      </c>
      <c r="AM633" t="s">
        <v>7397</v>
      </c>
      <c r="AN633" t="s">
        <v>7398</v>
      </c>
      <c r="AO633" t="s">
        <v>7399</v>
      </c>
      <c r="AP633" t="s">
        <v>68</v>
      </c>
      <c r="AR633" t="s">
        <v>7400</v>
      </c>
      <c r="AS633" t="s">
        <v>7401</v>
      </c>
      <c r="AT633" t="s">
        <v>7402</v>
      </c>
      <c r="AW633" s="14" t="s">
        <v>72</v>
      </c>
      <c r="AX633" s="14" t="s">
        <v>73</v>
      </c>
      <c r="AY633" s="14" t="s">
        <v>74</v>
      </c>
    </row>
    <row r="634" spans="1:51" ht="15" customHeight="1" x14ac:dyDescent="0.4">
      <c r="A634" s="12">
        <v>3964</v>
      </c>
      <c r="B634" s="21" t="s">
        <v>7403</v>
      </c>
      <c r="C634" s="13" t="s">
        <v>7404</v>
      </c>
      <c r="D634" s="25" t="s">
        <v>7404</v>
      </c>
      <c r="E634" s="13"/>
      <c r="F634" s="41"/>
      <c r="G634" s="41"/>
      <c r="H634" s="41"/>
      <c r="I634" s="14" t="s">
        <v>1878</v>
      </c>
      <c r="J634" s="15">
        <v>44818</v>
      </c>
      <c r="K634" t="s">
        <v>2719</v>
      </c>
      <c r="L634" t="s">
        <v>51</v>
      </c>
      <c r="M634" t="s">
        <v>52</v>
      </c>
      <c r="N634" t="s">
        <v>53</v>
      </c>
      <c r="O634" t="s">
        <v>755</v>
      </c>
      <c r="P634" t="s">
        <v>7335</v>
      </c>
      <c r="Q634" t="s">
        <v>56</v>
      </c>
      <c r="R634" s="21" t="s">
        <v>7336</v>
      </c>
      <c r="S634" s="21"/>
      <c r="T634" t="s">
        <v>7405</v>
      </c>
      <c r="U634" t="s">
        <v>7406</v>
      </c>
      <c r="X634" t="s">
        <v>2440</v>
      </c>
      <c r="Y634" t="s">
        <v>1881</v>
      </c>
      <c r="AA634" s="15"/>
      <c r="AC634">
        <v>40.438491999999997</v>
      </c>
      <c r="AD634">
        <v>-86.930974000000006</v>
      </c>
      <c r="AE634" t="s">
        <v>2285</v>
      </c>
      <c r="AH634" t="s">
        <v>1715</v>
      </c>
      <c r="AI634" t="s">
        <v>63</v>
      </c>
      <c r="AJ634" t="s">
        <v>7407</v>
      </c>
      <c r="AK634">
        <v>194151</v>
      </c>
      <c r="AM634" t="s">
        <v>7408</v>
      </c>
      <c r="AN634" t="s">
        <v>7409</v>
      </c>
      <c r="AO634" t="s">
        <v>7410</v>
      </c>
      <c r="AP634" t="s">
        <v>68</v>
      </c>
      <c r="AR634" t="s">
        <v>7411</v>
      </c>
      <c r="AS634" t="s">
        <v>7412</v>
      </c>
      <c r="AT634" t="s">
        <v>7413</v>
      </c>
      <c r="AW634" s="14" t="s">
        <v>72</v>
      </c>
      <c r="AX634" s="14" t="s">
        <v>73</v>
      </c>
      <c r="AY634" s="14" t="s">
        <v>1723</v>
      </c>
    </row>
    <row r="635" spans="1:51" ht="15" customHeight="1" x14ac:dyDescent="0.4">
      <c r="A635" s="12">
        <v>3965</v>
      </c>
      <c r="B635" s="21" t="s">
        <v>7414</v>
      </c>
      <c r="C635" s="13" t="s">
        <v>7415</v>
      </c>
      <c r="D635" s="25" t="s">
        <v>7415</v>
      </c>
      <c r="E635" s="13"/>
      <c r="F635" s="41"/>
      <c r="G635" s="41"/>
      <c r="H635" s="41"/>
      <c r="I635" s="14" t="s">
        <v>1829</v>
      </c>
      <c r="J635" s="15">
        <v>44818</v>
      </c>
      <c r="K635" t="s">
        <v>2719</v>
      </c>
      <c r="L635" t="s">
        <v>51</v>
      </c>
      <c r="M635" t="s">
        <v>52</v>
      </c>
      <c r="N635" t="s">
        <v>53</v>
      </c>
      <c r="O635" t="s">
        <v>755</v>
      </c>
      <c r="P635" t="s">
        <v>7335</v>
      </c>
      <c r="Q635" t="s">
        <v>56</v>
      </c>
      <c r="R635" s="21" t="s">
        <v>7336</v>
      </c>
      <c r="S635" s="21"/>
      <c r="T635" t="s">
        <v>7416</v>
      </c>
      <c r="U635" t="s">
        <v>7417</v>
      </c>
      <c r="X635" t="s">
        <v>2440</v>
      </c>
      <c r="Y635" t="s">
        <v>1832</v>
      </c>
      <c r="AA635" s="15"/>
      <c r="AC635">
        <v>40.438383000000002</v>
      </c>
      <c r="AD635">
        <v>-86.930811000000006</v>
      </c>
      <c r="AE635" t="s">
        <v>7418</v>
      </c>
      <c r="AH635" t="s">
        <v>1715</v>
      </c>
      <c r="AI635" t="s">
        <v>63</v>
      </c>
      <c r="AJ635" t="s">
        <v>7419</v>
      </c>
      <c r="AK635">
        <v>194500</v>
      </c>
      <c r="AM635" t="s">
        <v>7420</v>
      </c>
      <c r="AN635" t="s">
        <v>7421</v>
      </c>
      <c r="AO635" t="s">
        <v>7422</v>
      </c>
      <c r="AP635" t="s">
        <v>68</v>
      </c>
      <c r="AR635" t="s">
        <v>7423</v>
      </c>
      <c r="AS635" t="s">
        <v>7424</v>
      </c>
      <c r="AT635" t="s">
        <v>7425</v>
      </c>
      <c r="AW635" s="14" t="s">
        <v>72</v>
      </c>
      <c r="AX635" s="14" t="s">
        <v>73</v>
      </c>
      <c r="AY635" s="14" t="s">
        <v>74</v>
      </c>
    </row>
    <row r="636" spans="1:51" ht="15" customHeight="1" x14ac:dyDescent="0.4">
      <c r="A636" s="12">
        <v>3966</v>
      </c>
      <c r="B636" s="21" t="s">
        <v>7426</v>
      </c>
      <c r="C636" s="13" t="s">
        <v>7427</v>
      </c>
      <c r="D636" s="25" t="s">
        <v>7427</v>
      </c>
      <c r="E636" s="13"/>
      <c r="F636" s="41"/>
      <c r="G636" s="41"/>
      <c r="H636" s="41"/>
      <c r="I636" s="14" t="s">
        <v>1829</v>
      </c>
      <c r="J636" s="15">
        <v>44818</v>
      </c>
      <c r="K636" t="s">
        <v>2719</v>
      </c>
      <c r="L636" t="s">
        <v>51</v>
      </c>
      <c r="M636" t="s">
        <v>52</v>
      </c>
      <c r="N636" t="s">
        <v>53</v>
      </c>
      <c r="O636" t="s">
        <v>755</v>
      </c>
      <c r="P636" t="s">
        <v>7335</v>
      </c>
      <c r="Q636" t="s">
        <v>56</v>
      </c>
      <c r="R636" s="21" t="s">
        <v>7336</v>
      </c>
      <c r="S636" s="21"/>
      <c r="T636" t="s">
        <v>7428</v>
      </c>
      <c r="U636" t="s">
        <v>7429</v>
      </c>
      <c r="X636" t="s">
        <v>2440</v>
      </c>
      <c r="Y636" t="s">
        <v>1832</v>
      </c>
      <c r="AA636" s="15"/>
      <c r="AC636">
        <v>40.436971</v>
      </c>
      <c r="AD636">
        <v>-86.929077000000007</v>
      </c>
      <c r="AE636" t="s">
        <v>4786</v>
      </c>
      <c r="AH636" t="s">
        <v>1715</v>
      </c>
      <c r="AI636" t="s">
        <v>63</v>
      </c>
      <c r="AJ636" t="s">
        <v>7430</v>
      </c>
      <c r="AK636">
        <v>194501</v>
      </c>
      <c r="AM636" t="s">
        <v>7431</v>
      </c>
      <c r="AN636" t="s">
        <v>7432</v>
      </c>
      <c r="AO636" t="s">
        <v>7433</v>
      </c>
      <c r="AP636" t="s">
        <v>68</v>
      </c>
      <c r="AR636" t="s">
        <v>7434</v>
      </c>
      <c r="AS636" t="s">
        <v>7435</v>
      </c>
      <c r="AT636" t="s">
        <v>7436</v>
      </c>
      <c r="AW636" s="14" t="s">
        <v>72</v>
      </c>
      <c r="AX636" s="14" t="s">
        <v>73</v>
      </c>
      <c r="AY636" s="14" t="s">
        <v>74</v>
      </c>
    </row>
    <row r="637" spans="1:51" ht="15" customHeight="1" x14ac:dyDescent="0.4">
      <c r="A637" s="12">
        <v>3967</v>
      </c>
      <c r="B637" s="21" t="s">
        <v>7437</v>
      </c>
      <c r="C637" s="13" t="s">
        <v>7438</v>
      </c>
      <c r="D637" s="25" t="s">
        <v>7438</v>
      </c>
      <c r="E637" s="13"/>
      <c r="F637" s="41"/>
      <c r="G637" s="41"/>
      <c r="H637" s="41"/>
      <c r="I637" s="14" t="s">
        <v>1829</v>
      </c>
      <c r="J637" s="15">
        <v>44818</v>
      </c>
      <c r="K637" t="s">
        <v>2719</v>
      </c>
      <c r="L637" t="s">
        <v>51</v>
      </c>
      <c r="M637" t="s">
        <v>52</v>
      </c>
      <c r="N637" t="s">
        <v>53</v>
      </c>
      <c r="O637" t="s">
        <v>755</v>
      </c>
      <c r="P637" t="s">
        <v>7335</v>
      </c>
      <c r="Q637" t="s">
        <v>56</v>
      </c>
      <c r="R637" s="21" t="s">
        <v>7336</v>
      </c>
      <c r="S637" s="21"/>
      <c r="T637" t="s">
        <v>7439</v>
      </c>
      <c r="U637" t="s">
        <v>7440</v>
      </c>
      <c r="Y637" t="s">
        <v>1832</v>
      </c>
      <c r="AA637" s="15"/>
      <c r="AC637">
        <v>40.437052999999999</v>
      </c>
      <c r="AD637">
        <v>-86.929563000000002</v>
      </c>
      <c r="AE637" t="s">
        <v>7278</v>
      </c>
      <c r="AH637" t="s">
        <v>1715</v>
      </c>
      <c r="AI637" t="s">
        <v>63</v>
      </c>
      <c r="AJ637" t="s">
        <v>7441</v>
      </c>
      <c r="AK637">
        <v>194502</v>
      </c>
      <c r="AM637" t="s">
        <v>7442</v>
      </c>
      <c r="AN637" t="s">
        <v>7443</v>
      </c>
      <c r="AO637" t="s">
        <v>7444</v>
      </c>
      <c r="AP637" t="s">
        <v>68</v>
      </c>
      <c r="AR637" t="s">
        <v>7445</v>
      </c>
      <c r="AS637" t="s">
        <v>7446</v>
      </c>
      <c r="AT637" t="s">
        <v>7447</v>
      </c>
      <c r="AW637" s="14" t="s">
        <v>72</v>
      </c>
      <c r="AX637" s="14" t="s">
        <v>73</v>
      </c>
      <c r="AY637" s="14" t="s">
        <v>74</v>
      </c>
    </row>
    <row r="638" spans="1:51" ht="15" customHeight="1" x14ac:dyDescent="0.4">
      <c r="A638" s="12">
        <v>3968</v>
      </c>
      <c r="B638" s="21" t="s">
        <v>7448</v>
      </c>
      <c r="C638" s="13" t="s">
        <v>7449</v>
      </c>
      <c r="D638" s="25" t="s">
        <v>7449</v>
      </c>
      <c r="E638" s="13"/>
      <c r="F638" s="41"/>
      <c r="G638" s="41"/>
      <c r="H638" s="41"/>
      <c r="I638" s="14" t="s">
        <v>1829</v>
      </c>
      <c r="J638" s="15">
        <v>44819</v>
      </c>
      <c r="K638" t="s">
        <v>2719</v>
      </c>
      <c r="L638" t="s">
        <v>51</v>
      </c>
      <c r="M638" t="s">
        <v>52</v>
      </c>
      <c r="N638" t="s">
        <v>53</v>
      </c>
      <c r="O638" t="s">
        <v>755</v>
      </c>
      <c r="P638" t="s">
        <v>7450</v>
      </c>
      <c r="Q638" t="s">
        <v>56</v>
      </c>
      <c r="R638" s="21" t="s">
        <v>7451</v>
      </c>
      <c r="S638" s="21"/>
      <c r="T638" t="s">
        <v>7452</v>
      </c>
      <c r="U638" t="s">
        <v>7453</v>
      </c>
      <c r="X638" t="s">
        <v>2440</v>
      </c>
      <c r="Y638" t="s">
        <v>1832</v>
      </c>
      <c r="AA638" s="15"/>
      <c r="AC638">
        <v>40.457290999999998</v>
      </c>
      <c r="AD638">
        <v>-85.509986999999995</v>
      </c>
      <c r="AE638" t="s">
        <v>7454</v>
      </c>
      <c r="AH638" t="s">
        <v>1715</v>
      </c>
      <c r="AI638" t="s">
        <v>63</v>
      </c>
      <c r="AJ638" t="s">
        <v>7455</v>
      </c>
      <c r="AK638">
        <v>194503</v>
      </c>
      <c r="AM638" t="s">
        <v>7456</v>
      </c>
      <c r="AN638" t="s">
        <v>7457</v>
      </c>
      <c r="AO638" t="s">
        <v>7458</v>
      </c>
      <c r="AP638" t="s">
        <v>68</v>
      </c>
      <c r="AR638" t="s">
        <v>7459</v>
      </c>
      <c r="AS638" t="s">
        <v>7460</v>
      </c>
      <c r="AT638" t="s">
        <v>7461</v>
      </c>
      <c r="AW638" s="14" t="s">
        <v>72</v>
      </c>
      <c r="AX638" s="14" t="s">
        <v>73</v>
      </c>
      <c r="AY638" s="14" t="s">
        <v>74</v>
      </c>
    </row>
    <row r="639" spans="1:51" ht="15" customHeight="1" x14ac:dyDescent="0.4">
      <c r="A639" s="12">
        <v>3969</v>
      </c>
      <c r="B639" s="21" t="s">
        <v>7462</v>
      </c>
      <c r="C639" s="13" t="s">
        <v>7463</v>
      </c>
      <c r="D639" s="25" t="s">
        <v>7463</v>
      </c>
      <c r="E639" s="13"/>
      <c r="F639" s="41"/>
      <c r="G639" s="41"/>
      <c r="H639" s="41"/>
      <c r="I639" s="14" t="s">
        <v>49</v>
      </c>
      <c r="J639" s="15">
        <v>44819</v>
      </c>
      <c r="K639" t="s">
        <v>2719</v>
      </c>
      <c r="L639" t="s">
        <v>51</v>
      </c>
      <c r="M639" t="s">
        <v>52</v>
      </c>
      <c r="N639" t="s">
        <v>53</v>
      </c>
      <c r="O639" t="s">
        <v>755</v>
      </c>
      <c r="P639" t="s">
        <v>7450</v>
      </c>
      <c r="Q639" t="s">
        <v>56</v>
      </c>
      <c r="R639" s="21" t="s">
        <v>7451</v>
      </c>
      <c r="S639" s="21"/>
      <c r="T639" t="s">
        <v>7464</v>
      </c>
      <c r="U639" t="s">
        <v>7465</v>
      </c>
      <c r="Y639" t="s">
        <v>60</v>
      </c>
      <c r="AA639" s="15"/>
      <c r="AC639">
        <v>40.457366999999998</v>
      </c>
      <c r="AD639">
        <v>-85.511077999999998</v>
      </c>
      <c r="AE639" t="s">
        <v>7466</v>
      </c>
      <c r="AH639" t="s">
        <v>1715</v>
      </c>
      <c r="AI639" t="s">
        <v>63</v>
      </c>
      <c r="AJ639" t="s">
        <v>7467</v>
      </c>
      <c r="AK639">
        <v>194610</v>
      </c>
      <c r="AM639" t="s">
        <v>7468</v>
      </c>
      <c r="AN639" t="s">
        <v>7469</v>
      </c>
      <c r="AO639" t="s">
        <v>7470</v>
      </c>
      <c r="AP639" t="s">
        <v>68</v>
      </c>
      <c r="AR639" t="s">
        <v>7471</v>
      </c>
      <c r="AS639" t="s">
        <v>7472</v>
      </c>
      <c r="AT639" t="s">
        <v>7473</v>
      </c>
      <c r="AW639" s="14" t="s">
        <v>72</v>
      </c>
      <c r="AX639" s="14" t="s">
        <v>73</v>
      </c>
      <c r="AY639" s="14" t="s">
        <v>74</v>
      </c>
    </row>
    <row r="640" spans="1:51" ht="15" customHeight="1" x14ac:dyDescent="0.4">
      <c r="A640" s="12">
        <v>3970</v>
      </c>
      <c r="B640" s="21" t="s">
        <v>7474</v>
      </c>
      <c r="C640" s="13" t="s">
        <v>7475</v>
      </c>
      <c r="D640" s="25" t="s">
        <v>7475</v>
      </c>
      <c r="E640" s="13"/>
      <c r="F640" s="41"/>
      <c r="G640" s="41"/>
      <c r="H640" s="41"/>
      <c r="I640" s="14" t="s">
        <v>49</v>
      </c>
      <c r="J640" s="15">
        <v>44819</v>
      </c>
      <c r="K640" t="s">
        <v>2719</v>
      </c>
      <c r="L640" t="s">
        <v>51</v>
      </c>
      <c r="M640" t="s">
        <v>52</v>
      </c>
      <c r="N640" t="s">
        <v>53</v>
      </c>
      <c r="O640" t="s">
        <v>755</v>
      </c>
      <c r="P640" t="s">
        <v>7450</v>
      </c>
      <c r="Q640" t="s">
        <v>56</v>
      </c>
      <c r="R640" s="21" t="s">
        <v>7451</v>
      </c>
      <c r="S640" s="21"/>
      <c r="T640" t="s">
        <v>7464</v>
      </c>
      <c r="U640" t="s">
        <v>7476</v>
      </c>
      <c r="X640" t="s">
        <v>2440</v>
      </c>
      <c r="Y640" t="s">
        <v>60</v>
      </c>
      <c r="AA640" s="15"/>
      <c r="AC640">
        <v>40.457881999999998</v>
      </c>
      <c r="AD640">
        <v>-85.511741999999998</v>
      </c>
      <c r="AE640" t="s">
        <v>7477</v>
      </c>
      <c r="AH640" t="s">
        <v>1715</v>
      </c>
      <c r="AI640" t="s">
        <v>63</v>
      </c>
      <c r="AJ640" t="s">
        <v>7478</v>
      </c>
      <c r="AK640">
        <v>192661</v>
      </c>
      <c r="AM640" t="s">
        <v>7479</v>
      </c>
      <c r="AN640" t="s">
        <v>7480</v>
      </c>
      <c r="AO640" t="s">
        <v>7481</v>
      </c>
      <c r="AP640" t="s">
        <v>68</v>
      </c>
      <c r="AR640" t="s">
        <v>7482</v>
      </c>
      <c r="AS640" t="s">
        <v>7483</v>
      </c>
      <c r="AT640" t="s">
        <v>7484</v>
      </c>
      <c r="AW640" s="14" t="s">
        <v>72</v>
      </c>
      <c r="AX640" s="14" t="s">
        <v>73</v>
      </c>
      <c r="AY640" s="14" t="s">
        <v>74</v>
      </c>
    </row>
    <row r="641" spans="1:51" ht="15" customHeight="1" x14ac:dyDescent="0.4">
      <c r="A641" s="12">
        <v>3971</v>
      </c>
      <c r="B641" s="21" t="s">
        <v>7485</v>
      </c>
      <c r="C641" s="13" t="s">
        <v>7486</v>
      </c>
      <c r="D641" s="25" t="s">
        <v>7486</v>
      </c>
      <c r="E641" s="13"/>
      <c r="F641" s="41"/>
      <c r="G641" s="41"/>
      <c r="H641" s="41"/>
      <c r="I641" s="14" t="s">
        <v>49</v>
      </c>
      <c r="J641" s="15">
        <v>44819</v>
      </c>
      <c r="K641" t="s">
        <v>2719</v>
      </c>
      <c r="L641" t="s">
        <v>51</v>
      </c>
      <c r="M641" t="s">
        <v>52</v>
      </c>
      <c r="N641" t="s">
        <v>53</v>
      </c>
      <c r="O641" t="s">
        <v>755</v>
      </c>
      <c r="P641" t="s">
        <v>7450</v>
      </c>
      <c r="Q641" t="s">
        <v>56</v>
      </c>
      <c r="R641" s="21" t="s">
        <v>7451</v>
      </c>
      <c r="S641" s="21"/>
      <c r="T641" t="s">
        <v>7464</v>
      </c>
      <c r="U641" t="s">
        <v>7487</v>
      </c>
      <c r="X641" t="s">
        <v>2440</v>
      </c>
      <c r="Y641" t="s">
        <v>60</v>
      </c>
      <c r="AA641" s="15"/>
      <c r="AC641">
        <v>40.458125000000003</v>
      </c>
      <c r="AD641">
        <v>-85.511150999999998</v>
      </c>
      <c r="AE641" t="s">
        <v>5305</v>
      </c>
      <c r="AH641" t="s">
        <v>1715</v>
      </c>
      <c r="AI641" t="s">
        <v>63</v>
      </c>
      <c r="AJ641" t="s">
        <v>7488</v>
      </c>
      <c r="AK641">
        <v>194611</v>
      </c>
      <c r="AM641" t="s">
        <v>7489</v>
      </c>
      <c r="AN641" t="s">
        <v>7490</v>
      </c>
      <c r="AO641" t="s">
        <v>7491</v>
      </c>
      <c r="AP641" t="s">
        <v>68</v>
      </c>
      <c r="AR641" t="s">
        <v>7492</v>
      </c>
      <c r="AS641" t="s">
        <v>7493</v>
      </c>
      <c r="AT641" t="s">
        <v>7494</v>
      </c>
      <c r="AW641" s="14" t="s">
        <v>72</v>
      </c>
      <c r="AX641" s="14" t="s">
        <v>73</v>
      </c>
      <c r="AY641" s="14" t="s">
        <v>74</v>
      </c>
    </row>
    <row r="642" spans="1:51" ht="15" customHeight="1" x14ac:dyDescent="0.4">
      <c r="A642" s="12">
        <v>3972</v>
      </c>
      <c r="B642" s="21" t="s">
        <v>7495</v>
      </c>
      <c r="C642" s="13" t="s">
        <v>7496</v>
      </c>
      <c r="D642" s="25" t="s">
        <v>7496</v>
      </c>
      <c r="E642" s="13"/>
      <c r="F642" s="41"/>
      <c r="G642" s="41"/>
      <c r="H642" s="41"/>
      <c r="I642" s="14" t="s">
        <v>1829</v>
      </c>
      <c r="J642" s="15">
        <v>44819</v>
      </c>
      <c r="K642" t="s">
        <v>2719</v>
      </c>
      <c r="L642" t="s">
        <v>51</v>
      </c>
      <c r="M642" t="s">
        <v>52</v>
      </c>
      <c r="N642" t="s">
        <v>53</v>
      </c>
      <c r="O642" t="s">
        <v>755</v>
      </c>
      <c r="P642" t="s">
        <v>7450</v>
      </c>
      <c r="Q642" t="s">
        <v>56</v>
      </c>
      <c r="R642" s="21" t="s">
        <v>7451</v>
      </c>
      <c r="S642" s="21"/>
      <c r="T642" t="s">
        <v>7464</v>
      </c>
      <c r="U642" t="s">
        <v>7497</v>
      </c>
      <c r="Y642" t="s">
        <v>1832</v>
      </c>
      <c r="AA642" s="15"/>
      <c r="AC642">
        <v>40.458257000000003</v>
      </c>
      <c r="AD642">
        <v>-85.510915999999995</v>
      </c>
      <c r="AE642" t="s">
        <v>5281</v>
      </c>
      <c r="AH642" t="s">
        <v>1715</v>
      </c>
      <c r="AI642" t="s">
        <v>63</v>
      </c>
      <c r="AJ642" t="s">
        <v>7498</v>
      </c>
      <c r="AK642">
        <v>194504</v>
      </c>
      <c r="AM642" t="s">
        <v>7499</v>
      </c>
      <c r="AN642" t="s">
        <v>7500</v>
      </c>
      <c r="AO642" t="s">
        <v>7501</v>
      </c>
      <c r="AP642" t="s">
        <v>68</v>
      </c>
      <c r="AR642" t="s">
        <v>7502</v>
      </c>
      <c r="AS642" t="s">
        <v>7503</v>
      </c>
      <c r="AT642" t="s">
        <v>7504</v>
      </c>
      <c r="AW642" s="14" t="s">
        <v>72</v>
      </c>
      <c r="AX642" s="14" t="s">
        <v>73</v>
      </c>
      <c r="AY642" s="14" t="s">
        <v>74</v>
      </c>
    </row>
    <row r="643" spans="1:51" ht="15" customHeight="1" x14ac:dyDescent="0.4">
      <c r="A643" s="12">
        <v>3973</v>
      </c>
      <c r="B643" s="21" t="s">
        <v>7505</v>
      </c>
      <c r="C643" s="13" t="s">
        <v>7506</v>
      </c>
      <c r="D643" s="25" t="s">
        <v>7506</v>
      </c>
      <c r="E643" s="13"/>
      <c r="F643" s="41"/>
      <c r="G643" s="41"/>
      <c r="H643" s="41"/>
      <c r="I643" s="14" t="s">
        <v>1829</v>
      </c>
      <c r="J643" s="15">
        <v>44819</v>
      </c>
      <c r="K643" t="s">
        <v>2719</v>
      </c>
      <c r="L643" t="s">
        <v>51</v>
      </c>
      <c r="M643" t="s">
        <v>52</v>
      </c>
      <c r="N643" t="s">
        <v>53</v>
      </c>
      <c r="O643" t="s">
        <v>755</v>
      </c>
      <c r="P643" t="s">
        <v>7450</v>
      </c>
      <c r="Q643" t="s">
        <v>56</v>
      </c>
      <c r="R643" s="21" t="s">
        <v>7451</v>
      </c>
      <c r="S643" s="21"/>
      <c r="T643" t="s">
        <v>7464</v>
      </c>
      <c r="U643" t="s">
        <v>7507</v>
      </c>
      <c r="Y643" t="s">
        <v>1832</v>
      </c>
      <c r="AA643" s="15"/>
      <c r="AC643">
        <v>40.456561999999998</v>
      </c>
      <c r="AD643">
        <v>-85.511442000000002</v>
      </c>
      <c r="AE643" t="s">
        <v>4916</v>
      </c>
      <c r="AH643" t="s">
        <v>1715</v>
      </c>
      <c r="AI643" t="s">
        <v>63</v>
      </c>
      <c r="AJ643" t="s">
        <v>7508</v>
      </c>
      <c r="AK643">
        <v>194547</v>
      </c>
      <c r="AM643" t="s">
        <v>7509</v>
      </c>
      <c r="AN643" t="s">
        <v>7510</v>
      </c>
      <c r="AO643" t="s">
        <v>7511</v>
      </c>
      <c r="AP643" t="s">
        <v>68</v>
      </c>
      <c r="AR643" t="s">
        <v>7512</v>
      </c>
      <c r="AS643" t="s">
        <v>7513</v>
      </c>
      <c r="AT643" t="s">
        <v>7514</v>
      </c>
      <c r="AW643" s="14" t="s">
        <v>72</v>
      </c>
      <c r="AX643" s="14" t="s">
        <v>73</v>
      </c>
      <c r="AY643" s="14" t="s">
        <v>74</v>
      </c>
    </row>
    <row r="644" spans="1:51" ht="15" customHeight="1" x14ac:dyDescent="0.4">
      <c r="A644" s="12">
        <v>3974</v>
      </c>
      <c r="B644" s="21" t="s">
        <v>7515</v>
      </c>
      <c r="C644" s="13" t="s">
        <v>7516</v>
      </c>
      <c r="D644" s="25" t="s">
        <v>7516</v>
      </c>
      <c r="E644" s="13"/>
      <c r="F644" s="41"/>
      <c r="G644" s="41"/>
      <c r="H644" s="41"/>
      <c r="I644" s="14" t="s">
        <v>1878</v>
      </c>
      <c r="J644" s="15">
        <v>44819</v>
      </c>
      <c r="K644" t="s">
        <v>2719</v>
      </c>
      <c r="L644" t="s">
        <v>51</v>
      </c>
      <c r="M644" t="s">
        <v>52</v>
      </c>
      <c r="N644" t="s">
        <v>53</v>
      </c>
      <c r="O644" t="s">
        <v>755</v>
      </c>
      <c r="P644" t="s">
        <v>7450</v>
      </c>
      <c r="Q644" t="s">
        <v>56</v>
      </c>
      <c r="R644" s="21" t="s">
        <v>7451</v>
      </c>
      <c r="S644" s="21"/>
      <c r="T644" t="s">
        <v>7464</v>
      </c>
      <c r="U644" t="s">
        <v>7517</v>
      </c>
      <c r="X644" t="s">
        <v>2440</v>
      </c>
      <c r="Y644" t="s">
        <v>1881</v>
      </c>
      <c r="AA644" s="15"/>
      <c r="AC644">
        <v>40.455734</v>
      </c>
      <c r="AD644">
        <v>-85.51164</v>
      </c>
      <c r="AE644" t="s">
        <v>7518</v>
      </c>
      <c r="AH644" t="s">
        <v>1715</v>
      </c>
      <c r="AI644" t="s">
        <v>63</v>
      </c>
      <c r="AJ644" t="s">
        <v>7519</v>
      </c>
      <c r="AK644">
        <v>194150</v>
      </c>
      <c r="AM644" t="s">
        <v>7520</v>
      </c>
      <c r="AN644" t="s">
        <v>7521</v>
      </c>
      <c r="AO644" t="s">
        <v>7522</v>
      </c>
      <c r="AP644" t="s">
        <v>68</v>
      </c>
      <c r="AR644" t="s">
        <v>7523</v>
      </c>
      <c r="AS644" t="s">
        <v>7524</v>
      </c>
      <c r="AT644" t="s">
        <v>7525</v>
      </c>
      <c r="AW644" s="14" t="s">
        <v>72</v>
      </c>
      <c r="AX644" s="14" t="s">
        <v>73</v>
      </c>
      <c r="AY644" s="14" t="s">
        <v>1723</v>
      </c>
    </row>
    <row r="645" spans="1:51" ht="15" customHeight="1" x14ac:dyDescent="0.4">
      <c r="A645" s="12">
        <v>3975</v>
      </c>
      <c r="B645" s="21" t="s">
        <v>7526</v>
      </c>
      <c r="C645" s="13" t="s">
        <v>7527</v>
      </c>
      <c r="D645" s="25" t="s">
        <v>7527</v>
      </c>
      <c r="E645" s="13"/>
      <c r="F645" s="41"/>
      <c r="G645" s="41"/>
      <c r="H645" s="41"/>
      <c r="I645" s="14" t="s">
        <v>2222</v>
      </c>
      <c r="J645" s="15">
        <v>44819</v>
      </c>
      <c r="K645" t="s">
        <v>2719</v>
      </c>
      <c r="L645" t="s">
        <v>51</v>
      </c>
      <c r="M645" t="s">
        <v>52</v>
      </c>
      <c r="N645" t="s">
        <v>53</v>
      </c>
      <c r="O645" t="s">
        <v>755</v>
      </c>
      <c r="P645" t="s">
        <v>7450</v>
      </c>
      <c r="Q645" t="s">
        <v>56</v>
      </c>
      <c r="R645" s="21" t="s">
        <v>7451</v>
      </c>
      <c r="S645" s="21"/>
      <c r="T645" t="s">
        <v>7528</v>
      </c>
      <c r="U645" t="s">
        <v>7529</v>
      </c>
      <c r="Y645" t="s">
        <v>2225</v>
      </c>
      <c r="AA645" s="15"/>
      <c r="AC645">
        <v>40.455345000000001</v>
      </c>
      <c r="AD645">
        <v>-85.510240999999994</v>
      </c>
      <c r="AE645" t="s">
        <v>6130</v>
      </c>
      <c r="AH645" t="s">
        <v>1715</v>
      </c>
      <c r="AI645" t="s">
        <v>63</v>
      </c>
      <c r="AJ645" t="s">
        <v>7530</v>
      </c>
      <c r="AK645">
        <v>192590</v>
      </c>
      <c r="AM645" t="s">
        <v>7531</v>
      </c>
      <c r="AN645" t="s">
        <v>7532</v>
      </c>
      <c r="AO645" t="s">
        <v>7533</v>
      </c>
      <c r="AP645" t="s">
        <v>68</v>
      </c>
      <c r="AR645" t="s">
        <v>7534</v>
      </c>
      <c r="AS645" t="s">
        <v>7535</v>
      </c>
      <c r="AT645" t="s">
        <v>7536</v>
      </c>
      <c r="AW645" s="14" t="s">
        <v>72</v>
      </c>
      <c r="AX645" s="14" t="s">
        <v>73</v>
      </c>
      <c r="AY645" s="14" t="s">
        <v>74</v>
      </c>
    </row>
    <row r="646" spans="1:51" ht="15" customHeight="1" x14ac:dyDescent="0.4">
      <c r="A646" s="12">
        <v>3976</v>
      </c>
      <c r="B646" s="21" t="s">
        <v>7537</v>
      </c>
      <c r="C646" s="13" t="s">
        <v>7538</v>
      </c>
      <c r="D646" s="25" t="s">
        <v>7538</v>
      </c>
      <c r="E646" s="13"/>
      <c r="F646" s="41"/>
      <c r="G646" s="41"/>
      <c r="H646" s="41"/>
      <c r="I646" s="14" t="s">
        <v>2222</v>
      </c>
      <c r="J646" s="15">
        <v>44819</v>
      </c>
      <c r="K646" t="s">
        <v>2719</v>
      </c>
      <c r="L646" t="s">
        <v>51</v>
      </c>
      <c r="M646" t="s">
        <v>52</v>
      </c>
      <c r="N646" t="s">
        <v>53</v>
      </c>
      <c r="O646" t="s">
        <v>755</v>
      </c>
      <c r="P646" t="s">
        <v>7450</v>
      </c>
      <c r="Q646" t="s">
        <v>56</v>
      </c>
      <c r="R646" s="21" t="s">
        <v>7451</v>
      </c>
      <c r="S646" s="21"/>
      <c r="T646" t="s">
        <v>7539</v>
      </c>
      <c r="U646" t="s">
        <v>7540</v>
      </c>
      <c r="Y646" t="s">
        <v>2225</v>
      </c>
      <c r="AA646" s="15"/>
      <c r="AC646">
        <v>40.455370000000002</v>
      </c>
      <c r="AD646">
        <v>-85.510389000000004</v>
      </c>
      <c r="AE646" t="s">
        <v>7541</v>
      </c>
      <c r="AH646" t="s">
        <v>1715</v>
      </c>
      <c r="AI646" t="s">
        <v>63</v>
      </c>
      <c r="AJ646" t="s">
        <v>7542</v>
      </c>
      <c r="AK646">
        <v>192589</v>
      </c>
      <c r="AM646" t="s">
        <v>7543</v>
      </c>
      <c r="AN646" t="s">
        <v>7544</v>
      </c>
      <c r="AO646" t="s">
        <v>7545</v>
      </c>
      <c r="AP646" t="s">
        <v>68</v>
      </c>
      <c r="AR646" t="s">
        <v>7546</v>
      </c>
      <c r="AS646" t="s">
        <v>7547</v>
      </c>
      <c r="AT646" t="s">
        <v>7548</v>
      </c>
      <c r="AW646" s="14" t="s">
        <v>72</v>
      </c>
      <c r="AX646" s="14" t="s">
        <v>73</v>
      </c>
      <c r="AY646" s="14" t="s">
        <v>74</v>
      </c>
    </row>
    <row r="647" spans="1:51" ht="15" customHeight="1" x14ac:dyDescent="0.4">
      <c r="A647" s="12">
        <v>3977</v>
      </c>
      <c r="B647" s="21" t="s">
        <v>7549</v>
      </c>
      <c r="C647" s="13" t="s">
        <v>7550</v>
      </c>
      <c r="D647" s="25" t="s">
        <v>7550</v>
      </c>
      <c r="E647" s="13"/>
      <c r="F647" s="41"/>
      <c r="G647" s="41"/>
      <c r="H647" s="41"/>
      <c r="I647" s="14" t="s">
        <v>2222</v>
      </c>
      <c r="J647" s="15">
        <v>44819</v>
      </c>
      <c r="K647" t="s">
        <v>2719</v>
      </c>
      <c r="L647" t="s">
        <v>51</v>
      </c>
      <c r="M647" t="s">
        <v>52</v>
      </c>
      <c r="N647" t="s">
        <v>53</v>
      </c>
      <c r="O647" t="s">
        <v>755</v>
      </c>
      <c r="P647" t="s">
        <v>7450</v>
      </c>
      <c r="Q647" t="s">
        <v>56</v>
      </c>
      <c r="R647" s="21" t="s">
        <v>7451</v>
      </c>
      <c r="S647" s="21"/>
      <c r="T647" t="s">
        <v>7464</v>
      </c>
      <c r="U647" t="s">
        <v>7551</v>
      </c>
      <c r="Y647" t="s">
        <v>2225</v>
      </c>
      <c r="AA647" s="15"/>
      <c r="AC647">
        <v>40.455440000000003</v>
      </c>
      <c r="AD647">
        <v>-85.510653000000005</v>
      </c>
      <c r="AE647" t="s">
        <v>7552</v>
      </c>
      <c r="AH647" t="s">
        <v>1715</v>
      </c>
      <c r="AI647" t="s">
        <v>63</v>
      </c>
      <c r="AJ647" t="s">
        <v>7553</v>
      </c>
      <c r="AK647">
        <v>192596</v>
      </c>
      <c r="AM647" t="s">
        <v>7554</v>
      </c>
      <c r="AN647" t="s">
        <v>7555</v>
      </c>
      <c r="AO647" t="s">
        <v>7556</v>
      </c>
      <c r="AP647" t="s">
        <v>68</v>
      </c>
      <c r="AR647" t="s">
        <v>7557</v>
      </c>
      <c r="AS647" t="s">
        <v>7558</v>
      </c>
      <c r="AT647" t="s">
        <v>7559</v>
      </c>
      <c r="AW647" s="14" t="s">
        <v>72</v>
      </c>
      <c r="AX647" s="14" t="s">
        <v>73</v>
      </c>
      <c r="AY647" s="14" t="s">
        <v>74</v>
      </c>
    </row>
    <row r="648" spans="1:51" ht="15" customHeight="1" x14ac:dyDescent="0.4">
      <c r="A648" s="12">
        <v>3978</v>
      </c>
      <c r="B648" s="21" t="s">
        <v>7560</v>
      </c>
      <c r="C648" s="13" t="s">
        <v>7561</v>
      </c>
      <c r="D648" s="25" t="s">
        <v>7561</v>
      </c>
      <c r="E648" s="13"/>
      <c r="F648" s="41"/>
      <c r="G648" s="41"/>
      <c r="H648" s="41"/>
      <c r="I648" s="14" t="s">
        <v>1829</v>
      </c>
      <c r="J648" s="15">
        <v>44819</v>
      </c>
      <c r="K648" t="s">
        <v>2719</v>
      </c>
      <c r="L648" t="s">
        <v>51</v>
      </c>
      <c r="M648" t="s">
        <v>52</v>
      </c>
      <c r="N648" t="s">
        <v>53</v>
      </c>
      <c r="O648" t="s">
        <v>755</v>
      </c>
      <c r="P648" t="s">
        <v>7450</v>
      </c>
      <c r="Q648" t="s">
        <v>56</v>
      </c>
      <c r="R648" s="21" t="s">
        <v>7451</v>
      </c>
      <c r="S648" s="21"/>
      <c r="T648" t="s">
        <v>7562</v>
      </c>
      <c r="U648" t="s">
        <v>7563</v>
      </c>
      <c r="Y648" t="s">
        <v>1832</v>
      </c>
      <c r="AA648" s="15"/>
      <c r="AC648">
        <v>40.457023</v>
      </c>
      <c r="AD648">
        <v>-85.508851000000007</v>
      </c>
      <c r="AE648" t="s">
        <v>3008</v>
      </c>
      <c r="AH648" t="s">
        <v>1715</v>
      </c>
      <c r="AI648" t="s">
        <v>63</v>
      </c>
      <c r="AJ648" t="s">
        <v>7564</v>
      </c>
      <c r="AK648">
        <v>194546</v>
      </c>
      <c r="AM648" t="s">
        <v>7565</v>
      </c>
      <c r="AN648" t="s">
        <v>7566</v>
      </c>
      <c r="AO648" t="s">
        <v>7567</v>
      </c>
      <c r="AP648" t="s">
        <v>68</v>
      </c>
      <c r="AR648" t="s">
        <v>7568</v>
      </c>
      <c r="AS648" t="s">
        <v>7569</v>
      </c>
      <c r="AT648" t="s">
        <v>7570</v>
      </c>
      <c r="AW648" s="14" t="s">
        <v>72</v>
      </c>
      <c r="AX648" s="14" t="s">
        <v>73</v>
      </c>
      <c r="AY648" s="14" t="s">
        <v>74</v>
      </c>
    </row>
    <row r="649" spans="1:51" ht="15" customHeight="1" x14ac:dyDescent="0.4">
      <c r="A649" s="12">
        <v>3979</v>
      </c>
      <c r="B649" s="21" t="s">
        <v>7571</v>
      </c>
      <c r="C649" s="13" t="s">
        <v>7572</v>
      </c>
      <c r="D649" s="25" t="s">
        <v>7572</v>
      </c>
      <c r="E649" s="13"/>
      <c r="F649" s="41"/>
      <c r="G649" s="41"/>
      <c r="H649" s="41"/>
      <c r="I649" s="14" t="s">
        <v>1878</v>
      </c>
      <c r="J649" s="15">
        <v>44819</v>
      </c>
      <c r="K649" t="s">
        <v>2719</v>
      </c>
      <c r="L649" t="s">
        <v>51</v>
      </c>
      <c r="M649" t="s">
        <v>52</v>
      </c>
      <c r="N649" t="s">
        <v>53</v>
      </c>
      <c r="O649" t="s">
        <v>755</v>
      </c>
      <c r="P649" t="s">
        <v>7450</v>
      </c>
      <c r="Q649" t="s">
        <v>56</v>
      </c>
      <c r="R649" s="21" t="s">
        <v>7451</v>
      </c>
      <c r="S649" s="21"/>
      <c r="T649" t="s">
        <v>7573</v>
      </c>
      <c r="U649" t="s">
        <v>7574</v>
      </c>
      <c r="Y649" t="s">
        <v>1881</v>
      </c>
      <c r="AA649" s="15"/>
      <c r="AC649">
        <v>40.456997000000001</v>
      </c>
      <c r="AD649">
        <v>-85.507453999999996</v>
      </c>
      <c r="AE649" t="s">
        <v>7575</v>
      </c>
      <c r="AH649" t="s">
        <v>1715</v>
      </c>
      <c r="AI649" t="s">
        <v>63</v>
      </c>
      <c r="AJ649" t="s">
        <v>7576</v>
      </c>
      <c r="AK649">
        <v>192580</v>
      </c>
      <c r="AM649" t="s">
        <v>7577</v>
      </c>
      <c r="AN649" t="s">
        <v>7578</v>
      </c>
      <c r="AO649" t="s">
        <v>7579</v>
      </c>
      <c r="AP649" t="s">
        <v>68</v>
      </c>
      <c r="AR649" t="s">
        <v>7580</v>
      </c>
      <c r="AS649" t="s">
        <v>7581</v>
      </c>
      <c r="AT649" t="s">
        <v>7582</v>
      </c>
      <c r="AW649" s="14" t="s">
        <v>72</v>
      </c>
      <c r="AX649" s="14" t="s">
        <v>73</v>
      </c>
      <c r="AY649" s="14" t="s">
        <v>1723</v>
      </c>
    </row>
    <row r="650" spans="1:51" ht="15" customHeight="1" x14ac:dyDescent="0.4">
      <c r="A650" s="12">
        <v>3980</v>
      </c>
      <c r="B650" s="21" t="s">
        <v>7583</v>
      </c>
      <c r="C650" s="13" t="s">
        <v>7584</v>
      </c>
      <c r="D650" s="25" t="s">
        <v>7584</v>
      </c>
      <c r="E650" s="13"/>
      <c r="F650" s="41"/>
      <c r="G650" s="41"/>
      <c r="H650" s="41"/>
      <c r="I650" s="14" t="s">
        <v>1878</v>
      </c>
      <c r="J650" s="15">
        <v>44819</v>
      </c>
      <c r="K650" t="s">
        <v>2719</v>
      </c>
      <c r="L650" t="s">
        <v>51</v>
      </c>
      <c r="M650" t="s">
        <v>52</v>
      </c>
      <c r="N650" t="s">
        <v>53</v>
      </c>
      <c r="O650" t="s">
        <v>755</v>
      </c>
      <c r="P650" t="s">
        <v>7450</v>
      </c>
      <c r="Q650" t="s">
        <v>56</v>
      </c>
      <c r="R650" s="21" t="s">
        <v>7451</v>
      </c>
      <c r="S650" s="21"/>
      <c r="T650" t="s">
        <v>7585</v>
      </c>
      <c r="U650" t="s">
        <v>7586</v>
      </c>
      <c r="Y650" t="s">
        <v>1881</v>
      </c>
      <c r="AA650" s="15"/>
      <c r="AC650">
        <v>40.456902999999997</v>
      </c>
      <c r="AD650">
        <v>-85.508927</v>
      </c>
      <c r="AE650" t="s">
        <v>4975</v>
      </c>
      <c r="AH650" t="s">
        <v>1715</v>
      </c>
      <c r="AI650" t="s">
        <v>63</v>
      </c>
      <c r="AJ650" t="s">
        <v>7587</v>
      </c>
      <c r="AK650">
        <v>194149</v>
      </c>
      <c r="AM650" t="s">
        <v>7588</v>
      </c>
      <c r="AN650" t="s">
        <v>7589</v>
      </c>
      <c r="AO650" t="s">
        <v>7590</v>
      </c>
      <c r="AP650" t="s">
        <v>68</v>
      </c>
      <c r="AR650" t="s">
        <v>7591</v>
      </c>
      <c r="AS650" t="s">
        <v>7592</v>
      </c>
      <c r="AT650" t="s">
        <v>7593</v>
      </c>
      <c r="AW650" s="14" t="s">
        <v>72</v>
      </c>
      <c r="AX650" s="14" t="s">
        <v>73</v>
      </c>
      <c r="AY650" s="14" t="s">
        <v>1723</v>
      </c>
    </row>
    <row r="651" spans="1:51" ht="15" customHeight="1" x14ac:dyDescent="0.4">
      <c r="A651" s="12">
        <v>3981</v>
      </c>
      <c r="B651" s="21" t="s">
        <v>7594</v>
      </c>
      <c r="C651" s="13" t="s">
        <v>7595</v>
      </c>
      <c r="D651" s="25" t="s">
        <v>7595</v>
      </c>
      <c r="E651" s="13"/>
      <c r="F651" s="41" t="s">
        <v>8111</v>
      </c>
      <c r="G651" s="41"/>
      <c r="H651" s="41"/>
      <c r="I651" s="14" t="s">
        <v>1829</v>
      </c>
      <c r="J651" s="15">
        <v>44819</v>
      </c>
      <c r="K651" t="s">
        <v>2719</v>
      </c>
      <c r="L651" t="s">
        <v>51</v>
      </c>
      <c r="M651" t="s">
        <v>52</v>
      </c>
      <c r="N651" t="s">
        <v>53</v>
      </c>
      <c r="O651" t="s">
        <v>755</v>
      </c>
      <c r="P651" t="s">
        <v>7450</v>
      </c>
      <c r="Q651" t="s">
        <v>56</v>
      </c>
      <c r="R651" s="21" t="s">
        <v>7451</v>
      </c>
      <c r="S651" s="21"/>
      <c r="T651" t="s">
        <v>7596</v>
      </c>
      <c r="U651" t="s">
        <v>7597</v>
      </c>
      <c r="X651" t="s">
        <v>1758</v>
      </c>
      <c r="Y651" t="s">
        <v>1832</v>
      </c>
      <c r="AA651" s="15"/>
      <c r="AC651">
        <v>40.456969999999998</v>
      </c>
      <c r="AD651">
        <v>-85.508488999999997</v>
      </c>
      <c r="AE651" t="s">
        <v>7598</v>
      </c>
      <c r="AH651" t="s">
        <v>1715</v>
      </c>
      <c r="AI651" t="s">
        <v>63</v>
      </c>
      <c r="AJ651" t="s">
        <v>7599</v>
      </c>
      <c r="AK651">
        <v>193366</v>
      </c>
      <c r="AM651" t="s">
        <v>7600</v>
      </c>
      <c r="AN651" t="s">
        <v>7601</v>
      </c>
      <c r="AO651" t="s">
        <v>7602</v>
      </c>
      <c r="AP651" t="s">
        <v>68</v>
      </c>
      <c r="AR651" t="s">
        <v>7603</v>
      </c>
      <c r="AS651" t="s">
        <v>7604</v>
      </c>
      <c r="AT651" t="s">
        <v>7605</v>
      </c>
      <c r="AW651" s="14" t="s">
        <v>72</v>
      </c>
      <c r="AX651" s="14" t="s">
        <v>73</v>
      </c>
      <c r="AY651" s="14" t="s">
        <v>74</v>
      </c>
    </row>
    <row r="652" spans="1:51" ht="15" customHeight="1" x14ac:dyDescent="0.4">
      <c r="A652" s="12">
        <v>3982</v>
      </c>
      <c r="B652" s="21" t="s">
        <v>7606</v>
      </c>
      <c r="C652" s="13" t="s">
        <v>7607</v>
      </c>
      <c r="D652" s="25" t="s">
        <v>7607</v>
      </c>
      <c r="E652" s="13"/>
      <c r="F652" s="41"/>
      <c r="G652" s="41"/>
      <c r="H652" s="41"/>
      <c r="I652" s="14" t="s">
        <v>49</v>
      </c>
      <c r="J652" s="15">
        <v>44820</v>
      </c>
      <c r="K652" t="s">
        <v>7608</v>
      </c>
      <c r="L652" t="s">
        <v>51</v>
      </c>
      <c r="M652" t="s">
        <v>52</v>
      </c>
      <c r="N652" t="s">
        <v>53</v>
      </c>
      <c r="O652" t="s">
        <v>755</v>
      </c>
      <c r="P652" t="s">
        <v>7609</v>
      </c>
      <c r="Q652" t="s">
        <v>56</v>
      </c>
      <c r="R652" s="21" t="s">
        <v>7610</v>
      </c>
      <c r="S652" s="21"/>
      <c r="T652" t="s">
        <v>7611</v>
      </c>
      <c r="U652" t="s">
        <v>7612</v>
      </c>
      <c r="X652" t="s">
        <v>2440</v>
      </c>
      <c r="Y652" t="s">
        <v>60</v>
      </c>
      <c r="AA652" s="15"/>
      <c r="AC652">
        <v>39.220007000000003</v>
      </c>
      <c r="AD652">
        <v>-86.542603999999997</v>
      </c>
      <c r="AE652" t="s">
        <v>7613</v>
      </c>
      <c r="AH652" t="s">
        <v>1715</v>
      </c>
      <c r="AI652" t="s">
        <v>63</v>
      </c>
      <c r="AJ652" t="s">
        <v>7614</v>
      </c>
      <c r="AK652">
        <v>194612</v>
      </c>
      <c r="AM652" t="s">
        <v>7615</v>
      </c>
      <c r="AN652" t="s">
        <v>7616</v>
      </c>
      <c r="AO652" t="s">
        <v>7617</v>
      </c>
      <c r="AP652" t="s">
        <v>68</v>
      </c>
      <c r="AR652" t="s">
        <v>7618</v>
      </c>
      <c r="AS652" t="s">
        <v>7619</v>
      </c>
      <c r="AT652" t="s">
        <v>7620</v>
      </c>
      <c r="AW652" s="14" t="s">
        <v>72</v>
      </c>
      <c r="AX652" s="14" t="s">
        <v>73</v>
      </c>
      <c r="AY652" s="14" t="s">
        <v>74</v>
      </c>
    </row>
    <row r="653" spans="1:51" ht="15" customHeight="1" x14ac:dyDescent="0.4">
      <c r="A653" s="12">
        <v>3983</v>
      </c>
      <c r="B653" s="21" t="s">
        <v>7621</v>
      </c>
      <c r="C653" s="13" t="s">
        <v>7622</v>
      </c>
      <c r="D653" s="25" t="s">
        <v>7622</v>
      </c>
      <c r="E653" s="13"/>
      <c r="F653" s="41"/>
      <c r="G653" s="41"/>
      <c r="H653" s="41"/>
      <c r="I653" s="14" t="s">
        <v>49</v>
      </c>
      <c r="J653" s="15">
        <v>44820</v>
      </c>
      <c r="K653" t="s">
        <v>7608</v>
      </c>
      <c r="L653" t="s">
        <v>51</v>
      </c>
      <c r="M653" t="s">
        <v>52</v>
      </c>
      <c r="N653" t="s">
        <v>53</v>
      </c>
      <c r="O653" t="s">
        <v>755</v>
      </c>
      <c r="P653" t="s">
        <v>7609</v>
      </c>
      <c r="Q653" t="s">
        <v>56</v>
      </c>
      <c r="R653" s="21" t="s">
        <v>7610</v>
      </c>
      <c r="S653" s="21"/>
      <c r="T653" t="s">
        <v>7623</v>
      </c>
      <c r="U653" t="s">
        <v>7624</v>
      </c>
      <c r="Y653" t="s">
        <v>60</v>
      </c>
      <c r="AA653" s="15"/>
      <c r="AC653">
        <v>39.221722999999997</v>
      </c>
      <c r="AD653">
        <v>-86.542771000000002</v>
      </c>
      <c r="AE653" t="s">
        <v>5724</v>
      </c>
      <c r="AH653" t="s">
        <v>1715</v>
      </c>
      <c r="AI653" t="s">
        <v>63</v>
      </c>
      <c r="AJ653" t="s">
        <v>7625</v>
      </c>
      <c r="AK653">
        <v>194613</v>
      </c>
      <c r="AM653" t="s">
        <v>7626</v>
      </c>
      <c r="AN653" t="s">
        <v>7627</v>
      </c>
      <c r="AO653" t="s">
        <v>7628</v>
      </c>
      <c r="AP653" t="s">
        <v>68</v>
      </c>
      <c r="AR653" t="s">
        <v>7629</v>
      </c>
      <c r="AS653" t="s">
        <v>7630</v>
      </c>
      <c r="AT653" t="s">
        <v>7631</v>
      </c>
      <c r="AW653" s="14" t="s">
        <v>72</v>
      </c>
      <c r="AX653" s="14" t="s">
        <v>73</v>
      </c>
      <c r="AY653" s="14" t="s">
        <v>74</v>
      </c>
    </row>
    <row r="654" spans="1:51" ht="15" customHeight="1" x14ac:dyDescent="0.4">
      <c r="A654" s="12">
        <v>3984</v>
      </c>
      <c r="B654" s="21" t="s">
        <v>7632</v>
      </c>
      <c r="C654" s="13" t="s">
        <v>7633</v>
      </c>
      <c r="D654" s="25" t="s">
        <v>7633</v>
      </c>
      <c r="E654" s="13"/>
      <c r="F654" s="41"/>
      <c r="G654" s="41"/>
      <c r="H654" s="41"/>
      <c r="I654" s="14" t="s">
        <v>49</v>
      </c>
      <c r="J654" s="15">
        <v>44820</v>
      </c>
      <c r="K654" t="s">
        <v>7608</v>
      </c>
      <c r="L654" t="s">
        <v>51</v>
      </c>
      <c r="M654" t="s">
        <v>52</v>
      </c>
      <c r="N654" t="s">
        <v>53</v>
      </c>
      <c r="O654" t="s">
        <v>755</v>
      </c>
      <c r="P654" t="s">
        <v>7609</v>
      </c>
      <c r="Q654" t="s">
        <v>56</v>
      </c>
      <c r="R654" s="21" t="s">
        <v>7634</v>
      </c>
      <c r="S654" s="21"/>
      <c r="T654" t="s">
        <v>7635</v>
      </c>
      <c r="U654" t="s">
        <v>7636</v>
      </c>
      <c r="X654" t="s">
        <v>2440</v>
      </c>
      <c r="Y654" t="s">
        <v>60</v>
      </c>
      <c r="AA654" s="15"/>
      <c r="AC654">
        <v>39.197561</v>
      </c>
      <c r="AD654">
        <v>-86.537880000000001</v>
      </c>
      <c r="AE654" t="s">
        <v>1760</v>
      </c>
      <c r="AH654" t="s">
        <v>1715</v>
      </c>
      <c r="AI654" t="s">
        <v>63</v>
      </c>
      <c r="AJ654" t="s">
        <v>7637</v>
      </c>
      <c r="AK654">
        <v>192649</v>
      </c>
      <c r="AM654" t="s">
        <v>7638</v>
      </c>
      <c r="AN654" t="s">
        <v>7639</v>
      </c>
      <c r="AO654" t="s">
        <v>7640</v>
      </c>
      <c r="AP654" t="s">
        <v>68</v>
      </c>
      <c r="AR654" t="s">
        <v>7641</v>
      </c>
      <c r="AS654" t="s">
        <v>7642</v>
      </c>
      <c r="AT654" t="s">
        <v>7643</v>
      </c>
      <c r="AW654" s="14" t="s">
        <v>72</v>
      </c>
      <c r="AX654" s="14" t="s">
        <v>73</v>
      </c>
      <c r="AY654" s="14" t="s">
        <v>74</v>
      </c>
    </row>
    <row r="655" spans="1:51" ht="15" customHeight="1" x14ac:dyDescent="0.4">
      <c r="A655" s="12">
        <v>3985</v>
      </c>
      <c r="B655" s="21" t="s">
        <v>7644</v>
      </c>
      <c r="C655" s="13" t="s">
        <v>7645</v>
      </c>
      <c r="D655" s="25" t="s">
        <v>7645</v>
      </c>
      <c r="E655" s="13"/>
      <c r="F655" s="41"/>
      <c r="G655" s="41"/>
      <c r="H655" s="41"/>
      <c r="I655" s="14" t="s">
        <v>49</v>
      </c>
      <c r="J655" s="15">
        <v>44820</v>
      </c>
      <c r="K655" t="s">
        <v>7608</v>
      </c>
      <c r="L655" t="s">
        <v>51</v>
      </c>
      <c r="M655" t="s">
        <v>52</v>
      </c>
      <c r="N655" t="s">
        <v>53</v>
      </c>
      <c r="O655" t="s">
        <v>755</v>
      </c>
      <c r="P655" t="s">
        <v>7609</v>
      </c>
      <c r="Q655" t="s">
        <v>56</v>
      </c>
      <c r="R655" s="21" t="s">
        <v>7634</v>
      </c>
      <c r="S655" s="21"/>
      <c r="T655" t="s">
        <v>4456</v>
      </c>
      <c r="U655" t="s">
        <v>7646</v>
      </c>
      <c r="X655" t="s">
        <v>2440</v>
      </c>
      <c r="Y655" t="s">
        <v>60</v>
      </c>
      <c r="AA655" s="15"/>
      <c r="AC655">
        <v>39.197400999999999</v>
      </c>
      <c r="AD655">
        <v>-86.539024999999995</v>
      </c>
      <c r="AE655" t="s">
        <v>7647</v>
      </c>
      <c r="AH655" t="s">
        <v>1715</v>
      </c>
      <c r="AI655" t="s">
        <v>63</v>
      </c>
      <c r="AJ655" t="s">
        <v>7648</v>
      </c>
      <c r="AK655">
        <v>194614</v>
      </c>
      <c r="AM655" t="s">
        <v>7649</v>
      </c>
      <c r="AN655" t="s">
        <v>7650</v>
      </c>
      <c r="AO655" t="s">
        <v>7651</v>
      </c>
      <c r="AP655" t="s">
        <v>68</v>
      </c>
      <c r="AR655" t="s">
        <v>7652</v>
      </c>
      <c r="AS655" t="s">
        <v>7653</v>
      </c>
      <c r="AT655" t="s">
        <v>7654</v>
      </c>
      <c r="AW655" s="14" t="s">
        <v>72</v>
      </c>
      <c r="AX655" s="14" t="s">
        <v>73</v>
      </c>
      <c r="AY655" s="14" t="s">
        <v>74</v>
      </c>
    </row>
    <row r="656" spans="1:51" ht="15" customHeight="1" x14ac:dyDescent="0.4">
      <c r="A656" s="12">
        <v>3986</v>
      </c>
      <c r="B656" s="21" t="s">
        <v>7655</v>
      </c>
      <c r="C656" s="13" t="s">
        <v>7656</v>
      </c>
      <c r="D656" s="25" t="s">
        <v>7656</v>
      </c>
      <c r="E656" s="13"/>
      <c r="F656" s="41"/>
      <c r="G656" s="41"/>
      <c r="H656" s="41"/>
      <c r="I656" s="14" t="s">
        <v>1829</v>
      </c>
      <c r="J656" s="15">
        <v>44820</v>
      </c>
      <c r="K656" t="s">
        <v>7608</v>
      </c>
      <c r="L656" t="s">
        <v>51</v>
      </c>
      <c r="M656" t="s">
        <v>52</v>
      </c>
      <c r="N656" t="s">
        <v>53</v>
      </c>
      <c r="O656" t="s">
        <v>755</v>
      </c>
      <c r="P656" t="s">
        <v>7609</v>
      </c>
      <c r="Q656" t="s">
        <v>56</v>
      </c>
      <c r="R656" s="21" t="s">
        <v>7634</v>
      </c>
      <c r="S656" s="21"/>
      <c r="T656" t="s">
        <v>7657</v>
      </c>
      <c r="U656" t="s">
        <v>7658</v>
      </c>
      <c r="Y656" t="s">
        <v>1832</v>
      </c>
      <c r="AA656" s="15"/>
      <c r="AC656">
        <v>39.196964999999999</v>
      </c>
      <c r="AD656">
        <v>-86.538253999999995</v>
      </c>
      <c r="AE656" t="s">
        <v>7291</v>
      </c>
      <c r="AH656" t="s">
        <v>1715</v>
      </c>
      <c r="AI656" t="s">
        <v>63</v>
      </c>
      <c r="AJ656" t="s">
        <v>7659</v>
      </c>
      <c r="AK656">
        <v>194545</v>
      </c>
      <c r="AM656" t="s">
        <v>7660</v>
      </c>
      <c r="AN656" t="s">
        <v>7661</v>
      </c>
      <c r="AO656" t="s">
        <v>7662</v>
      </c>
      <c r="AP656" t="s">
        <v>68</v>
      </c>
      <c r="AR656" t="s">
        <v>7663</v>
      </c>
      <c r="AS656" t="s">
        <v>7664</v>
      </c>
      <c r="AT656" t="s">
        <v>7665</v>
      </c>
      <c r="AW656" s="14" t="s">
        <v>72</v>
      </c>
      <c r="AX656" s="14" t="s">
        <v>73</v>
      </c>
      <c r="AY656" s="14" t="s">
        <v>74</v>
      </c>
    </row>
    <row r="657" spans="1:51" ht="15" customHeight="1" x14ac:dyDescent="0.4">
      <c r="A657" s="12">
        <v>3987</v>
      </c>
      <c r="B657" s="21" t="s">
        <v>7666</v>
      </c>
      <c r="C657" s="13" t="s">
        <v>7667</v>
      </c>
      <c r="D657" s="25" t="s">
        <v>7667</v>
      </c>
      <c r="E657" s="13"/>
      <c r="F657" s="41"/>
      <c r="G657" s="41"/>
      <c r="H657" s="41"/>
      <c r="I657" s="14" t="s">
        <v>1829</v>
      </c>
      <c r="J657" s="15">
        <v>44820</v>
      </c>
      <c r="K657" t="s">
        <v>7608</v>
      </c>
      <c r="L657" t="s">
        <v>51</v>
      </c>
      <c r="M657" t="s">
        <v>52</v>
      </c>
      <c r="N657" t="s">
        <v>53</v>
      </c>
      <c r="O657" t="s">
        <v>755</v>
      </c>
      <c r="P657" t="s">
        <v>7609</v>
      </c>
      <c r="Q657" t="s">
        <v>56</v>
      </c>
      <c r="R657" s="21" t="s">
        <v>7634</v>
      </c>
      <c r="S657" s="21"/>
      <c r="T657" t="s">
        <v>7668</v>
      </c>
      <c r="U657" t="s">
        <v>7669</v>
      </c>
      <c r="Y657" t="s">
        <v>1832</v>
      </c>
      <c r="AA657" s="15"/>
      <c r="AC657">
        <v>39.196455</v>
      </c>
      <c r="AD657">
        <v>-86.537745999999999</v>
      </c>
      <c r="AE657" t="s">
        <v>7418</v>
      </c>
      <c r="AH657" t="s">
        <v>1715</v>
      </c>
      <c r="AI657" t="s">
        <v>63</v>
      </c>
      <c r="AJ657" t="s">
        <v>7670</v>
      </c>
      <c r="AK657">
        <v>194523</v>
      </c>
      <c r="AM657" t="s">
        <v>7671</v>
      </c>
      <c r="AN657" t="s">
        <v>7672</v>
      </c>
      <c r="AO657" t="s">
        <v>7673</v>
      </c>
      <c r="AP657" t="s">
        <v>68</v>
      </c>
      <c r="AR657" t="s">
        <v>7674</v>
      </c>
      <c r="AS657" t="s">
        <v>7675</v>
      </c>
      <c r="AT657" t="s">
        <v>7676</v>
      </c>
      <c r="AW657" s="14" t="s">
        <v>72</v>
      </c>
      <c r="AX657" s="14" t="s">
        <v>73</v>
      </c>
      <c r="AY657" s="14" t="s">
        <v>74</v>
      </c>
    </row>
    <row r="658" spans="1:51" ht="15" customHeight="1" x14ac:dyDescent="0.4">
      <c r="A658" s="12">
        <v>3988</v>
      </c>
      <c r="B658" s="21" t="s">
        <v>7677</v>
      </c>
      <c r="C658" s="13" t="s">
        <v>7678</v>
      </c>
      <c r="D658" s="25" t="s">
        <v>7678</v>
      </c>
      <c r="E658" s="13"/>
      <c r="F658" s="41"/>
      <c r="G658" s="41"/>
      <c r="H658" s="41"/>
      <c r="I658" s="14" t="s">
        <v>1829</v>
      </c>
      <c r="J658" s="15">
        <v>44820</v>
      </c>
      <c r="K658" t="s">
        <v>7608</v>
      </c>
      <c r="L658" t="s">
        <v>51</v>
      </c>
      <c r="M658" t="s">
        <v>52</v>
      </c>
      <c r="N658" t="s">
        <v>53</v>
      </c>
      <c r="O658" t="s">
        <v>755</v>
      </c>
      <c r="P658" t="s">
        <v>7609</v>
      </c>
      <c r="Q658" t="s">
        <v>56</v>
      </c>
      <c r="R658" s="21" t="s">
        <v>7634</v>
      </c>
      <c r="S658" s="21"/>
      <c r="T658" t="s">
        <v>4456</v>
      </c>
      <c r="U658" t="s">
        <v>7679</v>
      </c>
      <c r="Y658" t="s">
        <v>1832</v>
      </c>
      <c r="AA658" s="15"/>
      <c r="AC658">
        <v>39.196261</v>
      </c>
      <c r="AD658">
        <v>-86.53707</v>
      </c>
      <c r="AE658" t="s">
        <v>4693</v>
      </c>
      <c r="AH658" t="s">
        <v>1715</v>
      </c>
      <c r="AI658" t="s">
        <v>63</v>
      </c>
      <c r="AJ658" t="s">
        <v>7680</v>
      </c>
      <c r="AK658">
        <v>194524</v>
      </c>
      <c r="AM658" t="s">
        <v>7681</v>
      </c>
      <c r="AN658" t="s">
        <v>7682</v>
      </c>
      <c r="AO658" t="s">
        <v>7683</v>
      </c>
      <c r="AP658" t="s">
        <v>68</v>
      </c>
      <c r="AR658" t="s">
        <v>7684</v>
      </c>
      <c r="AS658" t="s">
        <v>7685</v>
      </c>
      <c r="AT658" t="s">
        <v>7686</v>
      </c>
      <c r="AW658" s="14" t="s">
        <v>72</v>
      </c>
      <c r="AX658" s="14" t="s">
        <v>73</v>
      </c>
      <c r="AY658" s="14" t="s">
        <v>74</v>
      </c>
    </row>
    <row r="659" spans="1:51" ht="15" customHeight="1" x14ac:dyDescent="0.4">
      <c r="A659" s="12">
        <v>3989</v>
      </c>
      <c r="B659" s="21" t="s">
        <v>7687</v>
      </c>
      <c r="C659" s="13" t="s">
        <v>7688</v>
      </c>
      <c r="D659" s="25" t="s">
        <v>7688</v>
      </c>
      <c r="E659" s="13"/>
      <c r="F659" s="41"/>
      <c r="G659" s="41"/>
      <c r="H659" s="41"/>
      <c r="I659" s="14" t="s">
        <v>1829</v>
      </c>
      <c r="J659" s="15">
        <v>44820</v>
      </c>
      <c r="K659" t="s">
        <v>7608</v>
      </c>
      <c r="L659" t="s">
        <v>51</v>
      </c>
      <c r="M659" t="s">
        <v>52</v>
      </c>
      <c r="N659" t="s">
        <v>53</v>
      </c>
      <c r="O659" t="s">
        <v>755</v>
      </c>
      <c r="P659" t="s">
        <v>7609</v>
      </c>
      <c r="Q659" t="s">
        <v>56</v>
      </c>
      <c r="R659" s="21" t="s">
        <v>7634</v>
      </c>
      <c r="S659" s="21"/>
      <c r="T659" t="s">
        <v>4456</v>
      </c>
      <c r="U659" t="s">
        <v>7689</v>
      </c>
      <c r="Y659" t="s">
        <v>1832</v>
      </c>
      <c r="AA659" s="15"/>
      <c r="AC659">
        <v>39.198096</v>
      </c>
      <c r="AD659">
        <v>-86.539097999999996</v>
      </c>
      <c r="AE659" t="s">
        <v>2785</v>
      </c>
      <c r="AH659" t="s">
        <v>1715</v>
      </c>
      <c r="AI659" t="s">
        <v>63</v>
      </c>
      <c r="AJ659" t="s">
        <v>7690</v>
      </c>
      <c r="AK659">
        <v>194525</v>
      </c>
      <c r="AM659" t="s">
        <v>7691</v>
      </c>
      <c r="AN659" t="s">
        <v>7692</v>
      </c>
      <c r="AO659" t="s">
        <v>7693</v>
      </c>
      <c r="AP659" t="s">
        <v>68</v>
      </c>
      <c r="AR659" t="s">
        <v>7694</v>
      </c>
      <c r="AS659" t="s">
        <v>7695</v>
      </c>
      <c r="AT659" t="s">
        <v>7696</v>
      </c>
      <c r="AW659" s="14" t="s">
        <v>72</v>
      </c>
      <c r="AX659" s="14" t="s">
        <v>73</v>
      </c>
      <c r="AY659" s="14" t="s">
        <v>74</v>
      </c>
    </row>
    <row r="660" spans="1:51" ht="15" customHeight="1" x14ac:dyDescent="0.4">
      <c r="A660" s="12">
        <v>3990</v>
      </c>
      <c r="B660" s="21" t="s">
        <v>7697</v>
      </c>
      <c r="C660" s="13" t="s">
        <v>7698</v>
      </c>
      <c r="D660" s="25" t="s">
        <v>7698</v>
      </c>
      <c r="E660" s="13"/>
      <c r="F660" s="41"/>
      <c r="G660" s="41"/>
      <c r="H660" s="41"/>
      <c r="I660" s="14" t="s">
        <v>1829</v>
      </c>
      <c r="J660" s="15">
        <v>44820</v>
      </c>
      <c r="K660" t="s">
        <v>7608</v>
      </c>
      <c r="L660" t="s">
        <v>51</v>
      </c>
      <c r="M660" t="s">
        <v>52</v>
      </c>
      <c r="N660" t="s">
        <v>53</v>
      </c>
      <c r="O660" t="s">
        <v>755</v>
      </c>
      <c r="P660" t="s">
        <v>7609</v>
      </c>
      <c r="Q660" t="s">
        <v>56</v>
      </c>
      <c r="R660" s="21" t="s">
        <v>7634</v>
      </c>
      <c r="S660" s="21"/>
      <c r="T660" t="s">
        <v>4456</v>
      </c>
      <c r="U660" t="s">
        <v>7699</v>
      </c>
      <c r="Y660" t="s">
        <v>1832</v>
      </c>
      <c r="AA660" s="15"/>
      <c r="AC660">
        <v>39.198965999999999</v>
      </c>
      <c r="AD660">
        <v>-86.538785000000004</v>
      </c>
      <c r="AE660" t="s">
        <v>7700</v>
      </c>
      <c r="AH660" t="s">
        <v>1715</v>
      </c>
      <c r="AI660" t="s">
        <v>63</v>
      </c>
      <c r="AJ660" t="s">
        <v>7701</v>
      </c>
      <c r="AK660">
        <v>194526</v>
      </c>
      <c r="AM660" t="s">
        <v>7702</v>
      </c>
      <c r="AN660" t="s">
        <v>7703</v>
      </c>
      <c r="AO660" t="s">
        <v>7704</v>
      </c>
      <c r="AP660" t="s">
        <v>68</v>
      </c>
      <c r="AR660" t="s">
        <v>7705</v>
      </c>
      <c r="AS660" t="s">
        <v>7706</v>
      </c>
      <c r="AT660" t="s">
        <v>7707</v>
      </c>
      <c r="AW660" s="14" t="s">
        <v>72</v>
      </c>
      <c r="AX660" s="14" t="s">
        <v>73</v>
      </c>
      <c r="AY660" s="14" t="s">
        <v>74</v>
      </c>
    </row>
    <row r="661" spans="1:51" ht="15" customHeight="1" x14ac:dyDescent="0.4">
      <c r="A661" s="12">
        <v>3991</v>
      </c>
      <c r="B661" s="21" t="s">
        <v>7708</v>
      </c>
      <c r="C661" s="13" t="s">
        <v>7709</v>
      </c>
      <c r="D661" s="25" t="s">
        <v>7709</v>
      </c>
      <c r="E661" s="13"/>
      <c r="F661" s="41"/>
      <c r="G661" s="41"/>
      <c r="H661" s="41"/>
      <c r="I661" s="14" t="s">
        <v>1878</v>
      </c>
      <c r="J661" s="15">
        <v>44820</v>
      </c>
      <c r="K661" t="s">
        <v>7608</v>
      </c>
      <c r="L661" t="s">
        <v>51</v>
      </c>
      <c r="M661" t="s">
        <v>52</v>
      </c>
      <c r="N661" t="s">
        <v>53</v>
      </c>
      <c r="O661" t="s">
        <v>755</v>
      </c>
      <c r="P661" t="s">
        <v>7609</v>
      </c>
      <c r="Q661" t="s">
        <v>56</v>
      </c>
      <c r="R661" s="21" t="s">
        <v>7710</v>
      </c>
      <c r="S661" s="21"/>
      <c r="T661" t="s">
        <v>7711</v>
      </c>
      <c r="U661" t="s">
        <v>7712</v>
      </c>
      <c r="X661" t="s">
        <v>2440</v>
      </c>
      <c r="Y661" t="s">
        <v>1881</v>
      </c>
      <c r="AA661" s="15"/>
      <c r="AC661">
        <v>39.189734999999999</v>
      </c>
      <c r="AD661">
        <v>-86.501863999999998</v>
      </c>
      <c r="AE661" t="s">
        <v>7713</v>
      </c>
      <c r="AH661" t="s">
        <v>1715</v>
      </c>
      <c r="AI661" t="s">
        <v>63</v>
      </c>
      <c r="AJ661" t="s">
        <v>7714</v>
      </c>
      <c r="AK661">
        <v>194148</v>
      </c>
      <c r="AM661" t="s">
        <v>7715</v>
      </c>
      <c r="AN661" t="s">
        <v>7716</v>
      </c>
      <c r="AO661" t="s">
        <v>7717</v>
      </c>
      <c r="AP661" t="s">
        <v>68</v>
      </c>
      <c r="AR661" t="s">
        <v>7718</v>
      </c>
      <c r="AS661" t="s">
        <v>7719</v>
      </c>
      <c r="AT661" t="s">
        <v>7720</v>
      </c>
      <c r="AW661" s="14" t="s">
        <v>72</v>
      </c>
      <c r="AX661" s="14" t="s">
        <v>73</v>
      </c>
      <c r="AY661" s="14" t="s">
        <v>1723</v>
      </c>
    </row>
    <row r="662" spans="1:51" ht="15" customHeight="1" x14ac:dyDescent="0.4">
      <c r="A662" s="12">
        <v>3992</v>
      </c>
      <c r="B662" s="21" t="s">
        <v>7721</v>
      </c>
      <c r="C662" s="13" t="s">
        <v>7722</v>
      </c>
      <c r="D662" s="25" t="s">
        <v>7722</v>
      </c>
      <c r="E662" s="13"/>
      <c r="F662" s="41"/>
      <c r="G662" s="41"/>
      <c r="H662" s="41"/>
      <c r="I662" s="14" t="s">
        <v>1878</v>
      </c>
      <c r="J662" s="15">
        <v>44820</v>
      </c>
      <c r="K662" t="s">
        <v>7608</v>
      </c>
      <c r="L662" t="s">
        <v>51</v>
      </c>
      <c r="M662" t="s">
        <v>52</v>
      </c>
      <c r="N662" t="s">
        <v>53</v>
      </c>
      <c r="O662" t="s">
        <v>755</v>
      </c>
      <c r="P662" t="s">
        <v>7609</v>
      </c>
      <c r="Q662" t="s">
        <v>56</v>
      </c>
      <c r="R662" s="21" t="s">
        <v>7710</v>
      </c>
      <c r="S662" s="21"/>
      <c r="T662" t="s">
        <v>7723</v>
      </c>
      <c r="U662" t="s">
        <v>7724</v>
      </c>
      <c r="X662" t="s">
        <v>2440</v>
      </c>
      <c r="Y662" t="s">
        <v>1881</v>
      </c>
      <c r="AA662" s="15"/>
      <c r="AC662">
        <v>39.189950000000003</v>
      </c>
      <c r="AD662">
        <v>-86.501028000000005</v>
      </c>
      <c r="AE662" t="s">
        <v>3749</v>
      </c>
      <c r="AH662" t="s">
        <v>1715</v>
      </c>
      <c r="AI662" t="s">
        <v>63</v>
      </c>
      <c r="AJ662" t="s">
        <v>7725</v>
      </c>
      <c r="AK662">
        <v>192579</v>
      </c>
      <c r="AM662" t="s">
        <v>7726</v>
      </c>
      <c r="AN662" t="s">
        <v>7727</v>
      </c>
      <c r="AO662" t="s">
        <v>7728</v>
      </c>
      <c r="AP662" t="s">
        <v>68</v>
      </c>
      <c r="AR662" t="s">
        <v>7729</v>
      </c>
      <c r="AS662" t="s">
        <v>7730</v>
      </c>
      <c r="AT662" t="s">
        <v>7731</v>
      </c>
      <c r="AW662" s="14" t="s">
        <v>72</v>
      </c>
      <c r="AX662" s="14" t="s">
        <v>73</v>
      </c>
      <c r="AY662" s="14" t="s">
        <v>1723</v>
      </c>
    </row>
    <row r="663" spans="1:51" ht="15" customHeight="1" x14ac:dyDescent="0.4">
      <c r="A663" s="12">
        <v>3993</v>
      </c>
      <c r="B663" s="21" t="s">
        <v>7732</v>
      </c>
      <c r="C663" s="13" t="s">
        <v>7733</v>
      </c>
      <c r="D663" s="25" t="s">
        <v>7733</v>
      </c>
      <c r="E663" s="13"/>
      <c r="F663" s="41"/>
      <c r="G663" s="41"/>
      <c r="H663" s="41"/>
      <c r="I663" s="14" t="s">
        <v>1878</v>
      </c>
      <c r="J663" s="15">
        <v>44820</v>
      </c>
      <c r="K663" t="s">
        <v>7608</v>
      </c>
      <c r="L663" t="s">
        <v>51</v>
      </c>
      <c r="M663" t="s">
        <v>52</v>
      </c>
      <c r="N663" t="s">
        <v>53</v>
      </c>
      <c r="O663" t="s">
        <v>755</v>
      </c>
      <c r="P663" t="s">
        <v>7609</v>
      </c>
      <c r="Q663" t="s">
        <v>56</v>
      </c>
      <c r="R663" s="21" t="s">
        <v>7710</v>
      </c>
      <c r="S663" s="21"/>
      <c r="T663" t="s">
        <v>7734</v>
      </c>
      <c r="U663" t="s">
        <v>7735</v>
      </c>
      <c r="X663" t="s">
        <v>2440</v>
      </c>
      <c r="Y663" t="s">
        <v>1881</v>
      </c>
      <c r="AA663" s="15"/>
      <c r="AC663">
        <v>39.189925000000002</v>
      </c>
      <c r="AD663">
        <v>-86.499604000000005</v>
      </c>
      <c r="AE663" t="s">
        <v>7736</v>
      </c>
      <c r="AH663" t="s">
        <v>1715</v>
      </c>
      <c r="AI663" t="s">
        <v>63</v>
      </c>
      <c r="AJ663" t="s">
        <v>7737</v>
      </c>
      <c r="AK663">
        <v>194147</v>
      </c>
      <c r="AM663" t="s">
        <v>7738</v>
      </c>
      <c r="AN663" t="s">
        <v>7739</v>
      </c>
      <c r="AO663" t="s">
        <v>7740</v>
      </c>
      <c r="AP663" t="s">
        <v>68</v>
      </c>
      <c r="AR663" t="s">
        <v>7741</v>
      </c>
      <c r="AS663" t="s">
        <v>7742</v>
      </c>
      <c r="AT663" t="s">
        <v>7743</v>
      </c>
      <c r="AW663" s="14" t="s">
        <v>72</v>
      </c>
      <c r="AX663" s="14" t="s">
        <v>73</v>
      </c>
      <c r="AY663" s="14" t="s">
        <v>1723</v>
      </c>
    </row>
    <row r="664" spans="1:51" ht="15" customHeight="1" x14ac:dyDescent="0.4">
      <c r="A664" s="12">
        <v>3994</v>
      </c>
      <c r="B664" s="21" t="s">
        <v>7744</v>
      </c>
      <c r="C664" s="13" t="s">
        <v>7745</v>
      </c>
      <c r="D664" s="25" t="s">
        <v>7745</v>
      </c>
      <c r="E664" s="13"/>
      <c r="F664" s="41"/>
      <c r="G664" s="41"/>
      <c r="H664" s="41"/>
      <c r="I664" s="14" t="s">
        <v>1878</v>
      </c>
      <c r="J664" s="15">
        <v>44820</v>
      </c>
      <c r="K664" t="s">
        <v>7608</v>
      </c>
      <c r="L664" t="s">
        <v>51</v>
      </c>
      <c r="M664" t="s">
        <v>52</v>
      </c>
      <c r="N664" t="s">
        <v>53</v>
      </c>
      <c r="O664" t="s">
        <v>755</v>
      </c>
      <c r="P664" t="s">
        <v>7609</v>
      </c>
      <c r="Q664" t="s">
        <v>56</v>
      </c>
      <c r="R664" s="21" t="s">
        <v>7710</v>
      </c>
      <c r="S664" s="21"/>
      <c r="T664" t="s">
        <v>7746</v>
      </c>
      <c r="U664" t="s">
        <v>7747</v>
      </c>
      <c r="Y664" t="s">
        <v>1881</v>
      </c>
      <c r="AA664" s="15"/>
      <c r="AC664">
        <v>39.188890999999998</v>
      </c>
      <c r="AD664">
        <v>-86.499559000000005</v>
      </c>
      <c r="AE664" t="s">
        <v>7748</v>
      </c>
      <c r="AH664" t="s">
        <v>1715</v>
      </c>
      <c r="AI664" t="s">
        <v>63</v>
      </c>
      <c r="AJ664" t="s">
        <v>7749</v>
      </c>
      <c r="AK664">
        <v>194146</v>
      </c>
      <c r="AM664" t="s">
        <v>7750</v>
      </c>
      <c r="AN664" t="s">
        <v>7751</v>
      </c>
      <c r="AO664" t="s">
        <v>7752</v>
      </c>
      <c r="AP664" t="s">
        <v>68</v>
      </c>
      <c r="AR664" t="s">
        <v>7753</v>
      </c>
      <c r="AS664" t="s">
        <v>7754</v>
      </c>
      <c r="AT664" t="s">
        <v>7755</v>
      </c>
      <c r="AW664" s="14" t="s">
        <v>72</v>
      </c>
      <c r="AX664" s="14" t="s">
        <v>73</v>
      </c>
      <c r="AY664" s="14" t="s">
        <v>1723</v>
      </c>
    </row>
    <row r="665" spans="1:51" ht="15" customHeight="1" x14ac:dyDescent="0.4">
      <c r="A665" s="12">
        <v>3995</v>
      </c>
      <c r="B665" s="21" t="s">
        <v>7756</v>
      </c>
      <c r="C665" s="13" t="s">
        <v>7757</v>
      </c>
      <c r="D665" s="25" t="s">
        <v>7757</v>
      </c>
      <c r="E665" s="13"/>
      <c r="F665" s="41"/>
      <c r="G665" s="41"/>
      <c r="H665" s="41"/>
      <c r="I665" s="14" t="s">
        <v>1878</v>
      </c>
      <c r="J665" s="15">
        <v>44820</v>
      </c>
      <c r="K665" t="s">
        <v>7608</v>
      </c>
      <c r="L665" t="s">
        <v>51</v>
      </c>
      <c r="M665" t="s">
        <v>52</v>
      </c>
      <c r="N665" t="s">
        <v>53</v>
      </c>
      <c r="O665" t="s">
        <v>755</v>
      </c>
      <c r="P665" t="s">
        <v>7609</v>
      </c>
      <c r="Q665" t="s">
        <v>56</v>
      </c>
      <c r="R665" s="21" t="s">
        <v>7710</v>
      </c>
      <c r="S665" s="21"/>
      <c r="T665" t="s">
        <v>7758</v>
      </c>
      <c r="U665" t="s">
        <v>7759</v>
      </c>
      <c r="X665" t="s">
        <v>2440</v>
      </c>
      <c r="Y665" t="s">
        <v>1881</v>
      </c>
      <c r="AA665" s="15"/>
      <c r="AC665">
        <v>39.187251000000003</v>
      </c>
      <c r="AD665">
        <v>-86.500821000000002</v>
      </c>
      <c r="AE665" t="s">
        <v>2963</v>
      </c>
      <c r="AH665" t="s">
        <v>1715</v>
      </c>
      <c r="AI665" t="s">
        <v>63</v>
      </c>
      <c r="AJ665" t="s">
        <v>7760</v>
      </c>
      <c r="AK665">
        <v>194145</v>
      </c>
      <c r="AM665" t="s">
        <v>7761</v>
      </c>
      <c r="AN665" t="s">
        <v>7762</v>
      </c>
      <c r="AO665" t="s">
        <v>7763</v>
      </c>
      <c r="AP665" t="s">
        <v>68</v>
      </c>
      <c r="AR665" t="s">
        <v>7764</v>
      </c>
      <c r="AS665" t="s">
        <v>7765</v>
      </c>
      <c r="AT665" t="s">
        <v>7766</v>
      </c>
      <c r="AW665" s="14" t="s">
        <v>72</v>
      </c>
      <c r="AX665" s="14" t="s">
        <v>73</v>
      </c>
      <c r="AY665" s="14" t="s">
        <v>1723</v>
      </c>
    </row>
    <row r="666" spans="1:51" ht="15" customHeight="1" x14ac:dyDescent="0.4">
      <c r="A666" s="12">
        <v>3996</v>
      </c>
      <c r="B666" s="21" t="s">
        <v>7767</v>
      </c>
      <c r="C666" s="13" t="s">
        <v>7768</v>
      </c>
      <c r="D666" s="25" t="s">
        <v>7768</v>
      </c>
      <c r="E666" s="13"/>
      <c r="F666" s="41"/>
      <c r="G666" s="41"/>
      <c r="H666" s="41"/>
      <c r="I666" s="14" t="s">
        <v>49</v>
      </c>
      <c r="J666" s="15">
        <v>44820</v>
      </c>
      <c r="K666" t="s">
        <v>7608</v>
      </c>
      <c r="L666" t="s">
        <v>51</v>
      </c>
      <c r="M666" t="s">
        <v>52</v>
      </c>
      <c r="N666" t="s">
        <v>53</v>
      </c>
      <c r="O666" t="s">
        <v>755</v>
      </c>
      <c r="P666" t="s">
        <v>7609</v>
      </c>
      <c r="Q666" t="s">
        <v>56</v>
      </c>
      <c r="R666" s="21" t="s">
        <v>7769</v>
      </c>
      <c r="S666" s="21"/>
      <c r="T666" t="s">
        <v>7770</v>
      </c>
      <c r="X666" t="s">
        <v>5841</v>
      </c>
      <c r="Y666" t="s">
        <v>60</v>
      </c>
      <c r="AA666" s="15"/>
      <c r="AC666">
        <v>39.168304999999997</v>
      </c>
      <c r="AD666">
        <v>-86.524118000000001</v>
      </c>
      <c r="AE666" t="s">
        <v>7771</v>
      </c>
      <c r="AH666" t="s">
        <v>1715</v>
      </c>
      <c r="AI666" t="s">
        <v>63</v>
      </c>
      <c r="AJ666" t="s">
        <v>7772</v>
      </c>
      <c r="AK666">
        <v>194615</v>
      </c>
      <c r="AM666" t="s">
        <v>7773</v>
      </c>
      <c r="AN666" t="s">
        <v>7774</v>
      </c>
      <c r="AO666" t="s">
        <v>7775</v>
      </c>
      <c r="AP666" t="s">
        <v>68</v>
      </c>
      <c r="AR666" t="s">
        <v>7776</v>
      </c>
      <c r="AS666" t="s">
        <v>7777</v>
      </c>
      <c r="AT666" t="s">
        <v>7778</v>
      </c>
      <c r="AW666" s="14" t="s">
        <v>72</v>
      </c>
      <c r="AX666" s="14" t="s">
        <v>73</v>
      </c>
      <c r="AY666" s="14" t="s">
        <v>74</v>
      </c>
    </row>
    <row r="667" spans="1:51" ht="15" customHeight="1" x14ac:dyDescent="0.4">
      <c r="A667" s="12">
        <v>3997</v>
      </c>
      <c r="B667" s="21" t="s">
        <v>7779</v>
      </c>
      <c r="C667" s="13" t="s">
        <v>7780</v>
      </c>
      <c r="D667" s="25" t="s">
        <v>7780</v>
      </c>
      <c r="E667" s="13"/>
      <c r="F667" s="41"/>
      <c r="G667" s="41"/>
      <c r="H667" s="41"/>
      <c r="I667" s="14" t="s">
        <v>1829</v>
      </c>
      <c r="J667" s="15">
        <v>44822</v>
      </c>
      <c r="K667" t="s">
        <v>2719</v>
      </c>
      <c r="L667" t="s">
        <v>51</v>
      </c>
      <c r="M667" t="s">
        <v>52</v>
      </c>
      <c r="N667" t="s">
        <v>53</v>
      </c>
      <c r="O667" t="s">
        <v>1226</v>
      </c>
      <c r="P667" t="s">
        <v>7781</v>
      </c>
      <c r="Q667" t="s">
        <v>56</v>
      </c>
      <c r="R667" s="21" t="s">
        <v>7782</v>
      </c>
      <c r="S667" s="21"/>
      <c r="T667" t="s">
        <v>7783</v>
      </c>
      <c r="U667" t="s">
        <v>7784</v>
      </c>
      <c r="X667" t="s">
        <v>1758</v>
      </c>
      <c r="Y667" t="s">
        <v>1832</v>
      </c>
      <c r="AA667" s="15"/>
      <c r="AC667">
        <v>39.345528000000002</v>
      </c>
      <c r="AD667">
        <v>-82.034701999999996</v>
      </c>
      <c r="AE667" t="s">
        <v>7179</v>
      </c>
      <c r="AH667" t="s">
        <v>1715</v>
      </c>
      <c r="AI667" t="s">
        <v>63</v>
      </c>
      <c r="AJ667" t="s">
        <v>7785</v>
      </c>
      <c r="AK667">
        <v>194527</v>
      </c>
      <c r="AM667" t="s">
        <v>7786</v>
      </c>
      <c r="AN667" t="s">
        <v>7787</v>
      </c>
      <c r="AO667" t="s">
        <v>7788</v>
      </c>
      <c r="AP667" t="s">
        <v>68</v>
      </c>
      <c r="AR667" t="s">
        <v>7789</v>
      </c>
      <c r="AS667" t="s">
        <v>7790</v>
      </c>
      <c r="AT667" t="s">
        <v>7791</v>
      </c>
      <c r="AW667" s="14" t="s">
        <v>72</v>
      </c>
      <c r="AX667" s="14" t="s">
        <v>73</v>
      </c>
      <c r="AY667" s="14" t="s">
        <v>74</v>
      </c>
    </row>
    <row r="668" spans="1:51" ht="15" customHeight="1" x14ac:dyDescent="0.4">
      <c r="A668" s="12">
        <v>3998</v>
      </c>
      <c r="B668" s="21" t="s">
        <v>7792</v>
      </c>
      <c r="C668" s="13" t="s">
        <v>7793</v>
      </c>
      <c r="D668" s="25" t="s">
        <v>7793</v>
      </c>
      <c r="E668" s="13"/>
      <c r="F668" s="41"/>
      <c r="G668" s="41"/>
      <c r="H668" s="41"/>
      <c r="I668" s="14" t="s">
        <v>1829</v>
      </c>
      <c r="J668" s="15">
        <v>44822</v>
      </c>
      <c r="K668" t="s">
        <v>2719</v>
      </c>
      <c r="L668" t="s">
        <v>51</v>
      </c>
      <c r="M668" t="s">
        <v>52</v>
      </c>
      <c r="N668" t="s">
        <v>53</v>
      </c>
      <c r="O668" t="s">
        <v>1226</v>
      </c>
      <c r="P668" t="s">
        <v>7781</v>
      </c>
      <c r="Q668" t="s">
        <v>56</v>
      </c>
      <c r="R668" s="21" t="s">
        <v>7782</v>
      </c>
      <c r="S668" s="21"/>
      <c r="T668" t="s">
        <v>7794</v>
      </c>
      <c r="U668" t="s">
        <v>7795</v>
      </c>
      <c r="Y668" t="s">
        <v>1832</v>
      </c>
      <c r="AA668" s="15"/>
      <c r="AC668">
        <v>39.346829</v>
      </c>
      <c r="AD668">
        <v>-82.036901999999998</v>
      </c>
      <c r="AE668" t="s">
        <v>7700</v>
      </c>
      <c r="AH668" t="s">
        <v>1715</v>
      </c>
      <c r="AI668" t="s">
        <v>63</v>
      </c>
      <c r="AJ668" t="s">
        <v>7796</v>
      </c>
      <c r="AK668">
        <v>194528</v>
      </c>
      <c r="AM668" t="s">
        <v>7797</v>
      </c>
      <c r="AN668" t="s">
        <v>7798</v>
      </c>
      <c r="AO668" t="s">
        <v>7799</v>
      </c>
      <c r="AP668" t="s">
        <v>68</v>
      </c>
      <c r="AR668" t="s">
        <v>7800</v>
      </c>
      <c r="AS668" t="s">
        <v>7801</v>
      </c>
      <c r="AT668" t="s">
        <v>7802</v>
      </c>
      <c r="AW668" s="14" t="s">
        <v>72</v>
      </c>
      <c r="AX668" s="14" t="s">
        <v>73</v>
      </c>
      <c r="AY668" s="14" t="s">
        <v>74</v>
      </c>
    </row>
    <row r="669" spans="1:51" ht="15" customHeight="1" x14ac:dyDescent="0.4">
      <c r="A669" s="12">
        <v>3999</v>
      </c>
      <c r="B669" s="21" t="s">
        <v>7803</v>
      </c>
      <c r="C669" s="13" t="s">
        <v>7804</v>
      </c>
      <c r="D669" s="25" t="s">
        <v>7804</v>
      </c>
      <c r="E669" s="13"/>
      <c r="F669" s="41"/>
      <c r="G669" s="41"/>
      <c r="H669" s="41"/>
      <c r="I669" s="14" t="s">
        <v>1878</v>
      </c>
      <c r="J669" s="15">
        <v>44822</v>
      </c>
      <c r="K669" t="s">
        <v>2719</v>
      </c>
      <c r="L669" t="s">
        <v>51</v>
      </c>
      <c r="M669" t="s">
        <v>52</v>
      </c>
      <c r="N669" t="s">
        <v>53</v>
      </c>
      <c r="O669" t="s">
        <v>1226</v>
      </c>
      <c r="P669" t="s">
        <v>7781</v>
      </c>
      <c r="Q669" t="s">
        <v>56</v>
      </c>
      <c r="R669" s="21" t="s">
        <v>7782</v>
      </c>
      <c r="S669" s="21"/>
      <c r="T669" t="s">
        <v>7794</v>
      </c>
      <c r="U669" t="s">
        <v>7805</v>
      </c>
      <c r="Y669" t="s">
        <v>1881</v>
      </c>
      <c r="AA669" s="15"/>
      <c r="AC669">
        <v>39.346950999999997</v>
      </c>
      <c r="AD669">
        <v>-82.037267</v>
      </c>
      <c r="AE669" t="s">
        <v>7179</v>
      </c>
      <c r="AH669" t="s">
        <v>1715</v>
      </c>
      <c r="AI669" t="s">
        <v>63</v>
      </c>
      <c r="AJ669" t="s">
        <v>7806</v>
      </c>
      <c r="AK669">
        <v>194144</v>
      </c>
      <c r="AM669" t="s">
        <v>7807</v>
      </c>
      <c r="AN669" t="s">
        <v>7808</v>
      </c>
      <c r="AO669" t="s">
        <v>7809</v>
      </c>
      <c r="AP669" t="s">
        <v>68</v>
      </c>
      <c r="AR669" t="s">
        <v>7810</v>
      </c>
      <c r="AS669" t="s">
        <v>7811</v>
      </c>
      <c r="AT669" t="s">
        <v>7812</v>
      </c>
      <c r="AW669" s="14" t="s">
        <v>72</v>
      </c>
      <c r="AX669" s="14" t="s">
        <v>73</v>
      </c>
      <c r="AY669" s="14" t="s">
        <v>1723</v>
      </c>
    </row>
    <row r="670" spans="1:51" ht="15" customHeight="1" x14ac:dyDescent="0.4">
      <c r="A670" s="12">
        <v>4000</v>
      </c>
      <c r="B670" s="21" t="s">
        <v>7813</v>
      </c>
      <c r="C670" s="13" t="s">
        <v>7814</v>
      </c>
      <c r="D670" s="25" t="s">
        <v>7814</v>
      </c>
      <c r="E670" s="13"/>
      <c r="F670" s="41"/>
      <c r="G670" s="41"/>
      <c r="H670" s="41"/>
      <c r="I670" s="14" t="s">
        <v>1878</v>
      </c>
      <c r="J670" s="15">
        <v>44822</v>
      </c>
      <c r="K670" t="s">
        <v>2719</v>
      </c>
      <c r="L670" t="s">
        <v>51</v>
      </c>
      <c r="M670" t="s">
        <v>52</v>
      </c>
      <c r="N670" t="s">
        <v>53</v>
      </c>
      <c r="O670" t="s">
        <v>1226</v>
      </c>
      <c r="P670" t="s">
        <v>7781</v>
      </c>
      <c r="Q670" t="s">
        <v>56</v>
      </c>
      <c r="R670" s="21" t="s">
        <v>7782</v>
      </c>
      <c r="S670" s="21"/>
      <c r="T670" t="s">
        <v>7815</v>
      </c>
      <c r="U670" t="s">
        <v>7816</v>
      </c>
      <c r="Y670" t="s">
        <v>1881</v>
      </c>
      <c r="AA670" s="15"/>
      <c r="AC670">
        <v>39.348610000000001</v>
      </c>
      <c r="AD670">
        <v>-82.039720000000003</v>
      </c>
      <c r="AE670" t="s">
        <v>7278</v>
      </c>
      <c r="AH670" t="s">
        <v>1715</v>
      </c>
      <c r="AI670" t="s">
        <v>63</v>
      </c>
      <c r="AJ670" t="s">
        <v>7817</v>
      </c>
      <c r="AK670">
        <v>194143</v>
      </c>
      <c r="AM670" t="s">
        <v>7818</v>
      </c>
      <c r="AN670" t="s">
        <v>7819</v>
      </c>
      <c r="AO670" t="s">
        <v>7820</v>
      </c>
      <c r="AP670" t="s">
        <v>68</v>
      </c>
      <c r="AR670" t="s">
        <v>7821</v>
      </c>
      <c r="AS670" t="s">
        <v>7822</v>
      </c>
      <c r="AT670" t="s">
        <v>7823</v>
      </c>
      <c r="AW670" s="14" t="s">
        <v>72</v>
      </c>
      <c r="AX670" s="14" t="s">
        <v>73</v>
      </c>
      <c r="AY670" s="14" t="s">
        <v>1723</v>
      </c>
    </row>
    <row r="671" spans="1:51" ht="15" customHeight="1" x14ac:dyDescent="0.4">
      <c r="A671" s="12">
        <v>4001</v>
      </c>
      <c r="B671" s="21" t="s">
        <v>7824</v>
      </c>
      <c r="C671" s="13" t="s">
        <v>7825</v>
      </c>
      <c r="D671" s="25" t="s">
        <v>7825</v>
      </c>
      <c r="E671" s="13"/>
      <c r="F671" s="41"/>
      <c r="G671" s="41"/>
      <c r="H671" s="41"/>
      <c r="I671" s="14" t="s">
        <v>6100</v>
      </c>
      <c r="J671" s="15">
        <v>44822</v>
      </c>
      <c r="K671" t="s">
        <v>2719</v>
      </c>
      <c r="L671" t="s">
        <v>51</v>
      </c>
      <c r="M671" t="s">
        <v>52</v>
      </c>
      <c r="N671" t="s">
        <v>53</v>
      </c>
      <c r="O671" t="s">
        <v>1226</v>
      </c>
      <c r="P671" t="s">
        <v>7781</v>
      </c>
      <c r="Q671" t="s">
        <v>56</v>
      </c>
      <c r="R671" s="21" t="s">
        <v>7782</v>
      </c>
      <c r="S671" s="21"/>
      <c r="T671" t="s">
        <v>7826</v>
      </c>
      <c r="U671" t="s">
        <v>7827</v>
      </c>
      <c r="X671" t="s">
        <v>2440</v>
      </c>
      <c r="Y671" t="s">
        <v>6105</v>
      </c>
      <c r="AA671" s="15"/>
      <c r="AC671">
        <v>39.349271999999999</v>
      </c>
      <c r="AD671">
        <v>-82.047353999999999</v>
      </c>
      <c r="AE671" t="s">
        <v>7828</v>
      </c>
      <c r="AH671" t="s">
        <v>1715</v>
      </c>
      <c r="AI671" t="s">
        <v>63</v>
      </c>
      <c r="AJ671" t="s">
        <v>7829</v>
      </c>
      <c r="AK671">
        <v>193769</v>
      </c>
      <c r="AM671" t="s">
        <v>7830</v>
      </c>
      <c r="AN671" t="s">
        <v>7831</v>
      </c>
      <c r="AO671" t="s">
        <v>7832</v>
      </c>
      <c r="AP671" t="s">
        <v>68</v>
      </c>
      <c r="AR671" t="s">
        <v>7833</v>
      </c>
      <c r="AS671" t="s">
        <v>7834</v>
      </c>
      <c r="AT671" t="s">
        <v>7835</v>
      </c>
      <c r="AW671" s="14" t="s">
        <v>72</v>
      </c>
      <c r="AX671" s="14" t="s">
        <v>73</v>
      </c>
      <c r="AY671" s="14" t="s">
        <v>1723</v>
      </c>
    </row>
    <row r="672" spans="1:51" ht="15" customHeight="1" x14ac:dyDescent="0.4">
      <c r="A672" s="12">
        <v>4002</v>
      </c>
      <c r="B672" s="21" t="s">
        <v>7836</v>
      </c>
      <c r="C672" s="13" t="s">
        <v>7837</v>
      </c>
      <c r="D672" s="25" t="s">
        <v>7837</v>
      </c>
      <c r="E672" s="13"/>
      <c r="F672" s="41"/>
      <c r="G672" s="41"/>
      <c r="H672" s="41"/>
      <c r="I672" s="14" t="s">
        <v>6100</v>
      </c>
      <c r="J672" s="15">
        <v>44822</v>
      </c>
      <c r="K672" t="s">
        <v>2719</v>
      </c>
      <c r="L672" t="s">
        <v>51</v>
      </c>
      <c r="M672" t="s">
        <v>52</v>
      </c>
      <c r="N672" t="s">
        <v>53</v>
      </c>
      <c r="O672" t="s">
        <v>1226</v>
      </c>
      <c r="P672" t="s">
        <v>7781</v>
      </c>
      <c r="Q672" t="s">
        <v>56</v>
      </c>
      <c r="R672" s="21" t="s">
        <v>7782</v>
      </c>
      <c r="S672" s="21"/>
      <c r="T672" t="s">
        <v>7838</v>
      </c>
      <c r="U672" t="s">
        <v>7839</v>
      </c>
      <c r="X672" t="s">
        <v>2440</v>
      </c>
      <c r="Y672" t="s">
        <v>6105</v>
      </c>
      <c r="AA672" s="15"/>
      <c r="AC672">
        <v>39.349482000000002</v>
      </c>
      <c r="AD672">
        <v>-82.046768</v>
      </c>
      <c r="AE672" t="s">
        <v>4975</v>
      </c>
      <c r="AH672" t="s">
        <v>1715</v>
      </c>
      <c r="AI672" t="s">
        <v>63</v>
      </c>
      <c r="AJ672" t="s">
        <v>7840</v>
      </c>
      <c r="AK672">
        <v>193770</v>
      </c>
      <c r="AM672" t="s">
        <v>7841</v>
      </c>
      <c r="AN672" t="s">
        <v>7842</v>
      </c>
      <c r="AO672" s="23" t="s">
        <v>7843</v>
      </c>
      <c r="AP672" t="s">
        <v>68</v>
      </c>
      <c r="AR672" t="s">
        <v>7844</v>
      </c>
      <c r="AS672" t="s">
        <v>7845</v>
      </c>
      <c r="AT672" t="s">
        <v>7846</v>
      </c>
      <c r="AW672" s="14" t="s">
        <v>72</v>
      </c>
      <c r="AX672" s="14" t="s">
        <v>73</v>
      </c>
      <c r="AY672" s="14" t="s">
        <v>1723</v>
      </c>
    </row>
    <row r="673" spans="1:51" ht="15" customHeight="1" x14ac:dyDescent="0.4">
      <c r="A673" s="12">
        <v>4003</v>
      </c>
      <c r="B673" s="21" t="s">
        <v>7847</v>
      </c>
      <c r="C673" s="13" t="s">
        <v>7848</v>
      </c>
      <c r="D673" s="25" t="s">
        <v>7848</v>
      </c>
      <c r="E673" s="13"/>
      <c r="F673" s="41"/>
      <c r="G673" s="41"/>
      <c r="H673" s="41"/>
      <c r="I673" s="14" t="s">
        <v>6100</v>
      </c>
      <c r="J673" s="15">
        <v>44822</v>
      </c>
      <c r="K673" t="s">
        <v>2719</v>
      </c>
      <c r="L673" t="s">
        <v>51</v>
      </c>
      <c r="M673" t="s">
        <v>52</v>
      </c>
      <c r="N673" t="s">
        <v>53</v>
      </c>
      <c r="O673" t="s">
        <v>1226</v>
      </c>
      <c r="P673" t="s">
        <v>7781</v>
      </c>
      <c r="Q673" t="s">
        <v>56</v>
      </c>
      <c r="R673" s="21" t="s">
        <v>7782</v>
      </c>
      <c r="S673" s="21"/>
      <c r="T673" t="s">
        <v>7849</v>
      </c>
      <c r="U673" t="s">
        <v>7850</v>
      </c>
      <c r="Y673" t="s">
        <v>6105</v>
      </c>
      <c r="AA673" s="15"/>
      <c r="AC673">
        <v>39.336371</v>
      </c>
      <c r="AD673">
        <v>-82.015625</v>
      </c>
      <c r="AE673" t="s">
        <v>7851</v>
      </c>
      <c r="AH673" t="s">
        <v>1715</v>
      </c>
      <c r="AI673" t="s">
        <v>63</v>
      </c>
      <c r="AJ673" t="s">
        <v>7852</v>
      </c>
      <c r="AK673">
        <v>193771</v>
      </c>
      <c r="AM673" t="s">
        <v>7853</v>
      </c>
      <c r="AN673" t="s">
        <v>7854</v>
      </c>
      <c r="AO673" t="s">
        <v>7855</v>
      </c>
      <c r="AP673" t="s">
        <v>68</v>
      </c>
      <c r="AR673" t="s">
        <v>7856</v>
      </c>
      <c r="AS673" t="s">
        <v>7857</v>
      </c>
      <c r="AT673" t="s">
        <v>7858</v>
      </c>
      <c r="AW673" s="14" t="s">
        <v>72</v>
      </c>
      <c r="AX673" s="14" t="s">
        <v>73</v>
      </c>
      <c r="AY673" s="14" t="s">
        <v>1723</v>
      </c>
    </row>
    <row r="674" spans="1:51" ht="15" customHeight="1" x14ac:dyDescent="0.4">
      <c r="A674" s="12">
        <v>4004</v>
      </c>
      <c r="B674" s="21" t="s">
        <v>7859</v>
      </c>
      <c r="C674" s="13" t="s">
        <v>7860</v>
      </c>
      <c r="D674" s="25" t="s">
        <v>7860</v>
      </c>
      <c r="E674" s="13"/>
      <c r="F674" s="41"/>
      <c r="G674" s="41"/>
      <c r="H674" s="41"/>
      <c r="I674" s="14" t="s">
        <v>49</v>
      </c>
      <c r="J674" s="15">
        <v>44840</v>
      </c>
      <c r="K674" t="s">
        <v>7861</v>
      </c>
      <c r="L674" t="s">
        <v>51</v>
      </c>
      <c r="M674" t="s">
        <v>52</v>
      </c>
      <c r="N674" t="s">
        <v>53</v>
      </c>
      <c r="O674" t="s">
        <v>1707</v>
      </c>
      <c r="P674" t="s">
        <v>7862</v>
      </c>
      <c r="Q674" t="s">
        <v>56</v>
      </c>
      <c r="R674" s="21" t="s">
        <v>7863</v>
      </c>
      <c r="S674" s="21"/>
      <c r="T674" t="s">
        <v>6387</v>
      </c>
      <c r="U674" t="s">
        <v>7864</v>
      </c>
      <c r="X674" t="s">
        <v>2440</v>
      </c>
      <c r="Y674" t="s">
        <v>60</v>
      </c>
      <c r="AA674" s="15"/>
      <c r="AC674">
        <v>39.839267</v>
      </c>
      <c r="AD674">
        <v>-88.367813999999996</v>
      </c>
      <c r="AE674" t="s">
        <v>7700</v>
      </c>
      <c r="AH674" t="s">
        <v>1715</v>
      </c>
      <c r="AI674" t="s">
        <v>63</v>
      </c>
      <c r="AJ674" t="s">
        <v>7865</v>
      </c>
      <c r="AK674">
        <v>194616</v>
      </c>
      <c r="AM674" t="s">
        <v>7866</v>
      </c>
      <c r="AN674" t="s">
        <v>7867</v>
      </c>
      <c r="AO674" t="s">
        <v>7868</v>
      </c>
      <c r="AP674" t="s">
        <v>68</v>
      </c>
      <c r="AR674" t="s">
        <v>7869</v>
      </c>
      <c r="AS674" t="s">
        <v>7870</v>
      </c>
      <c r="AT674" t="s">
        <v>7871</v>
      </c>
      <c r="AW674" s="14" t="s">
        <v>72</v>
      </c>
      <c r="AX674" s="14" t="s">
        <v>73</v>
      </c>
      <c r="AY674" s="14" t="s">
        <v>74</v>
      </c>
    </row>
    <row r="675" spans="1:51" ht="15" customHeight="1" x14ac:dyDescent="0.4">
      <c r="A675" s="12">
        <v>4005</v>
      </c>
      <c r="B675" s="21" t="s">
        <v>7872</v>
      </c>
      <c r="C675" s="13" t="s">
        <v>7873</v>
      </c>
      <c r="D675" s="25" t="s">
        <v>7873</v>
      </c>
      <c r="E675" s="13"/>
      <c r="F675" s="41"/>
      <c r="G675" s="41"/>
      <c r="H675" s="41"/>
      <c r="I675" s="14" t="s">
        <v>49</v>
      </c>
      <c r="J675" s="15">
        <v>44840</v>
      </c>
      <c r="K675" t="s">
        <v>7861</v>
      </c>
      <c r="L675" t="s">
        <v>51</v>
      </c>
      <c r="M675" t="s">
        <v>52</v>
      </c>
      <c r="N675" t="s">
        <v>53</v>
      </c>
      <c r="O675" t="s">
        <v>1707</v>
      </c>
      <c r="P675" t="s">
        <v>7862</v>
      </c>
      <c r="Q675" t="s">
        <v>56</v>
      </c>
      <c r="R675" s="21" t="s">
        <v>7863</v>
      </c>
      <c r="S675" s="21"/>
      <c r="T675" t="s">
        <v>6387</v>
      </c>
      <c r="U675" t="s">
        <v>7874</v>
      </c>
      <c r="X675" t="s">
        <v>2440</v>
      </c>
      <c r="Y675" t="s">
        <v>60</v>
      </c>
      <c r="AA675" s="15"/>
      <c r="AC675">
        <v>39.839402999999997</v>
      </c>
      <c r="AD675">
        <v>-88.367953999999997</v>
      </c>
      <c r="AE675" t="s">
        <v>7418</v>
      </c>
      <c r="AH675" t="s">
        <v>1715</v>
      </c>
      <c r="AI675" t="s">
        <v>63</v>
      </c>
      <c r="AJ675" t="s">
        <v>7875</v>
      </c>
      <c r="AK675">
        <v>194617</v>
      </c>
      <c r="AM675" t="s">
        <v>7876</v>
      </c>
      <c r="AN675" t="s">
        <v>7877</v>
      </c>
      <c r="AO675" t="s">
        <v>7878</v>
      </c>
      <c r="AP675" t="s">
        <v>68</v>
      </c>
      <c r="AR675" t="s">
        <v>7879</v>
      </c>
      <c r="AS675" t="s">
        <v>7880</v>
      </c>
      <c r="AT675" t="s">
        <v>7881</v>
      </c>
      <c r="AW675" s="14" t="s">
        <v>72</v>
      </c>
      <c r="AX675" s="14" t="s">
        <v>73</v>
      </c>
      <c r="AY675" s="14" t="s">
        <v>74</v>
      </c>
    </row>
    <row r="676" spans="1:51" ht="15" customHeight="1" x14ac:dyDescent="0.4">
      <c r="A676" s="12">
        <v>4006</v>
      </c>
      <c r="B676" s="21" t="s">
        <v>7882</v>
      </c>
      <c r="C676" s="13" t="s">
        <v>7883</v>
      </c>
      <c r="D676" s="25" t="s">
        <v>7883</v>
      </c>
      <c r="E676" s="13"/>
      <c r="F676" s="41"/>
      <c r="G676" s="41"/>
      <c r="H676" s="41"/>
      <c r="I676" s="14" t="s">
        <v>49</v>
      </c>
      <c r="J676" s="15">
        <v>44840</v>
      </c>
      <c r="K676" t="s">
        <v>7861</v>
      </c>
      <c r="L676" t="s">
        <v>51</v>
      </c>
      <c r="M676" t="s">
        <v>52</v>
      </c>
      <c r="N676" t="s">
        <v>53</v>
      </c>
      <c r="O676" t="s">
        <v>1707</v>
      </c>
      <c r="P676" t="s">
        <v>7862</v>
      </c>
      <c r="Q676" t="s">
        <v>56</v>
      </c>
      <c r="R676" s="21" t="s">
        <v>7863</v>
      </c>
      <c r="S676" s="21"/>
      <c r="T676" t="s">
        <v>7884</v>
      </c>
      <c r="U676" t="s">
        <v>7885</v>
      </c>
      <c r="X676" t="s">
        <v>7886</v>
      </c>
      <c r="Y676" t="s">
        <v>60</v>
      </c>
      <c r="AA676" s="15"/>
      <c r="AC676">
        <v>39.839036999999998</v>
      </c>
      <c r="AD676">
        <v>-88.368015999999997</v>
      </c>
      <c r="AE676" t="s">
        <v>1760</v>
      </c>
      <c r="AH676" t="s">
        <v>1715</v>
      </c>
      <c r="AI676" t="s">
        <v>63</v>
      </c>
      <c r="AJ676" t="s">
        <v>7887</v>
      </c>
      <c r="AK676">
        <v>194618</v>
      </c>
      <c r="AM676" t="s">
        <v>7888</v>
      </c>
      <c r="AN676" t="s">
        <v>7889</v>
      </c>
      <c r="AO676" t="s">
        <v>7890</v>
      </c>
      <c r="AP676" t="s">
        <v>68</v>
      </c>
      <c r="AR676" t="s">
        <v>7891</v>
      </c>
      <c r="AS676" t="s">
        <v>7892</v>
      </c>
      <c r="AT676" t="s">
        <v>7893</v>
      </c>
      <c r="AW676" s="14" t="s">
        <v>72</v>
      </c>
      <c r="AX676" s="14" t="s">
        <v>73</v>
      </c>
      <c r="AY676" s="14" t="s">
        <v>74</v>
      </c>
    </row>
    <row r="677" spans="1:51" ht="15" customHeight="1" x14ac:dyDescent="0.4">
      <c r="A677" s="12">
        <v>4007</v>
      </c>
      <c r="B677" s="21" t="s">
        <v>7894</v>
      </c>
      <c r="C677" s="13" t="s">
        <v>7895</v>
      </c>
      <c r="D677" s="25" t="s">
        <v>7895</v>
      </c>
      <c r="E677" s="13"/>
      <c r="F677" s="41"/>
      <c r="G677" s="41"/>
      <c r="H677" s="41"/>
      <c r="I677" s="14" t="s">
        <v>1878</v>
      </c>
      <c r="J677" s="15">
        <v>44840</v>
      </c>
      <c r="K677" t="s">
        <v>7861</v>
      </c>
      <c r="L677" t="s">
        <v>51</v>
      </c>
      <c r="M677" t="s">
        <v>52</v>
      </c>
      <c r="N677" t="s">
        <v>53</v>
      </c>
      <c r="O677" t="s">
        <v>1707</v>
      </c>
      <c r="P677" t="s">
        <v>7862</v>
      </c>
      <c r="Q677" t="s">
        <v>56</v>
      </c>
      <c r="R677" s="21" t="s">
        <v>7863</v>
      </c>
      <c r="S677" s="21"/>
      <c r="T677" t="s">
        <v>7896</v>
      </c>
      <c r="U677" t="s">
        <v>1878</v>
      </c>
      <c r="X677" t="s">
        <v>7897</v>
      </c>
      <c r="Y677" t="s">
        <v>1881</v>
      </c>
      <c r="AA677" s="15"/>
      <c r="AC677">
        <v>39.839322000000003</v>
      </c>
      <c r="AD677">
        <v>-88.368375999999998</v>
      </c>
      <c r="AE677" t="s">
        <v>2808</v>
      </c>
      <c r="AH677" t="s">
        <v>1715</v>
      </c>
      <c r="AI677" t="s">
        <v>63</v>
      </c>
      <c r="AJ677" t="s">
        <v>7898</v>
      </c>
      <c r="AK677">
        <v>194142</v>
      </c>
      <c r="AM677" t="s">
        <v>7899</v>
      </c>
      <c r="AN677" t="s">
        <v>7900</v>
      </c>
      <c r="AO677" t="s">
        <v>7901</v>
      </c>
      <c r="AP677" t="s">
        <v>68</v>
      </c>
      <c r="AR677" t="s">
        <v>7902</v>
      </c>
      <c r="AS677" t="s">
        <v>7903</v>
      </c>
      <c r="AT677" t="s">
        <v>7904</v>
      </c>
      <c r="AW677" s="14" t="s">
        <v>72</v>
      </c>
      <c r="AX677" s="14" t="s">
        <v>73</v>
      </c>
      <c r="AY677" s="14" t="s">
        <v>1723</v>
      </c>
    </row>
    <row r="678" spans="1:51" ht="15" customHeight="1" x14ac:dyDescent="0.4">
      <c r="A678" s="12">
        <v>4008</v>
      </c>
      <c r="B678" s="21" t="s">
        <v>7905</v>
      </c>
      <c r="C678" s="13" t="s">
        <v>7906</v>
      </c>
      <c r="D678" s="25" t="s">
        <v>7906</v>
      </c>
      <c r="E678" s="13"/>
      <c r="F678" s="41"/>
      <c r="G678" s="41"/>
      <c r="H678" s="41"/>
      <c r="I678" s="14" t="s">
        <v>1878</v>
      </c>
      <c r="J678" s="15">
        <v>44840</v>
      </c>
      <c r="K678" t="s">
        <v>7861</v>
      </c>
      <c r="L678" t="s">
        <v>51</v>
      </c>
      <c r="M678" t="s">
        <v>52</v>
      </c>
      <c r="N678" t="s">
        <v>53</v>
      </c>
      <c r="O678" t="s">
        <v>1707</v>
      </c>
      <c r="P678" t="s">
        <v>7862</v>
      </c>
      <c r="Q678" t="s">
        <v>56</v>
      </c>
      <c r="R678" s="21" t="s">
        <v>7863</v>
      </c>
      <c r="S678" s="21"/>
      <c r="T678" t="s">
        <v>7884</v>
      </c>
      <c r="U678" t="s">
        <v>7907</v>
      </c>
      <c r="X678" t="s">
        <v>7897</v>
      </c>
      <c r="Y678" t="s">
        <v>1881</v>
      </c>
      <c r="AA678" s="15"/>
      <c r="AC678">
        <v>39.839317999999999</v>
      </c>
      <c r="AD678">
        <v>-88.368629999999996</v>
      </c>
      <c r="AE678" t="s">
        <v>7291</v>
      </c>
      <c r="AH678" t="s">
        <v>1715</v>
      </c>
      <c r="AI678" t="s">
        <v>63</v>
      </c>
      <c r="AJ678" t="s">
        <v>7908</v>
      </c>
      <c r="AK678">
        <v>194137</v>
      </c>
      <c r="AM678" t="s">
        <v>7909</v>
      </c>
      <c r="AN678" t="s">
        <v>7910</v>
      </c>
      <c r="AO678" t="s">
        <v>7911</v>
      </c>
      <c r="AP678" t="s">
        <v>68</v>
      </c>
      <c r="AR678" t="s">
        <v>7912</v>
      </c>
      <c r="AS678" t="s">
        <v>7913</v>
      </c>
      <c r="AT678" t="s">
        <v>7914</v>
      </c>
      <c r="AW678" s="14" t="s">
        <v>72</v>
      </c>
      <c r="AX678" s="14" t="s">
        <v>73</v>
      </c>
      <c r="AY678" s="14" t="s">
        <v>1723</v>
      </c>
    </row>
    <row r="679" spans="1:51" ht="15" customHeight="1" x14ac:dyDescent="0.4">
      <c r="A679" s="12">
        <v>4009</v>
      </c>
      <c r="B679" s="21" t="s">
        <v>7915</v>
      </c>
      <c r="C679" s="13" t="s">
        <v>7916</v>
      </c>
      <c r="D679" s="25" t="s">
        <v>7916</v>
      </c>
      <c r="E679" s="13"/>
      <c r="F679" s="41"/>
      <c r="G679" s="41"/>
      <c r="H679" s="41"/>
      <c r="I679" s="14" t="s">
        <v>49</v>
      </c>
      <c r="J679" s="15">
        <v>44840</v>
      </c>
      <c r="K679" t="s">
        <v>7861</v>
      </c>
      <c r="L679" t="s">
        <v>51</v>
      </c>
      <c r="M679" t="s">
        <v>52</v>
      </c>
      <c r="N679" t="s">
        <v>53</v>
      </c>
      <c r="O679" t="s">
        <v>1707</v>
      </c>
      <c r="P679" t="s">
        <v>7862</v>
      </c>
      <c r="Q679" t="s">
        <v>56</v>
      </c>
      <c r="R679" s="21" t="s">
        <v>7863</v>
      </c>
      <c r="S679" s="21"/>
      <c r="T679" t="s">
        <v>7884</v>
      </c>
      <c r="U679" t="s">
        <v>7917</v>
      </c>
      <c r="X679" t="s">
        <v>7918</v>
      </c>
      <c r="Y679" t="s">
        <v>60</v>
      </c>
      <c r="AA679" s="15"/>
      <c r="AC679">
        <v>39.839492</v>
      </c>
      <c r="AD679">
        <v>-88.368621000000005</v>
      </c>
      <c r="AE679" t="s">
        <v>7919</v>
      </c>
      <c r="AH679" t="s">
        <v>1715</v>
      </c>
      <c r="AI679" t="s">
        <v>63</v>
      </c>
      <c r="AJ679" t="s">
        <v>7920</v>
      </c>
      <c r="AK679">
        <v>194619</v>
      </c>
      <c r="AM679" t="s">
        <v>7921</v>
      </c>
      <c r="AN679" t="s">
        <v>7922</v>
      </c>
      <c r="AO679" t="s">
        <v>7923</v>
      </c>
      <c r="AP679" t="s">
        <v>68</v>
      </c>
      <c r="AR679" t="s">
        <v>7924</v>
      </c>
      <c r="AS679" t="s">
        <v>7925</v>
      </c>
      <c r="AT679" t="s">
        <v>7926</v>
      </c>
      <c r="AW679" s="14" t="s">
        <v>72</v>
      </c>
      <c r="AX679" s="14" t="s">
        <v>73</v>
      </c>
      <c r="AY679" s="14" t="s">
        <v>74</v>
      </c>
    </row>
    <row r="680" spans="1:51" ht="15" customHeight="1" x14ac:dyDescent="0.4">
      <c r="A680" s="12">
        <v>4010</v>
      </c>
      <c r="B680" s="21" t="s">
        <v>7927</v>
      </c>
      <c r="C680" s="13" t="s">
        <v>7928</v>
      </c>
      <c r="D680" s="25" t="s">
        <v>7928</v>
      </c>
      <c r="E680" s="13"/>
      <c r="F680" s="41"/>
      <c r="G680" s="41"/>
      <c r="H680" s="41"/>
      <c r="I680" s="14" t="s">
        <v>49</v>
      </c>
      <c r="J680" s="15">
        <v>44840</v>
      </c>
      <c r="K680" t="s">
        <v>7861</v>
      </c>
      <c r="L680" t="s">
        <v>51</v>
      </c>
      <c r="M680" t="s">
        <v>52</v>
      </c>
      <c r="N680" t="s">
        <v>53</v>
      </c>
      <c r="O680" t="s">
        <v>1707</v>
      </c>
      <c r="P680" t="s">
        <v>7862</v>
      </c>
      <c r="Q680" t="s">
        <v>56</v>
      </c>
      <c r="R680" s="21" t="s">
        <v>7863</v>
      </c>
      <c r="S680" s="21"/>
      <c r="T680" t="s">
        <v>7929</v>
      </c>
      <c r="U680" t="s">
        <v>7917</v>
      </c>
      <c r="X680" t="s">
        <v>7918</v>
      </c>
      <c r="Y680" t="s">
        <v>60</v>
      </c>
      <c r="AA680" s="15"/>
      <c r="AC680">
        <v>39.839765</v>
      </c>
      <c r="AD680">
        <v>-88.369113999999996</v>
      </c>
      <c r="AE680" t="s">
        <v>793</v>
      </c>
      <c r="AH680" t="s">
        <v>1715</v>
      </c>
      <c r="AI680" t="s">
        <v>63</v>
      </c>
      <c r="AJ680" t="s">
        <v>7930</v>
      </c>
      <c r="AK680">
        <v>194620</v>
      </c>
      <c r="AM680" t="s">
        <v>7931</v>
      </c>
      <c r="AN680" t="s">
        <v>7932</v>
      </c>
      <c r="AO680" t="s">
        <v>7933</v>
      </c>
      <c r="AP680" t="s">
        <v>68</v>
      </c>
      <c r="AR680" t="s">
        <v>7934</v>
      </c>
      <c r="AS680" t="s">
        <v>7935</v>
      </c>
      <c r="AT680" t="s">
        <v>7936</v>
      </c>
      <c r="AW680" s="14" t="s">
        <v>72</v>
      </c>
      <c r="AX680" s="14" t="s">
        <v>73</v>
      </c>
      <c r="AY680" s="14" t="s">
        <v>74</v>
      </c>
    </row>
    <row r="681" spans="1:51" ht="15" customHeight="1" x14ac:dyDescent="0.4">
      <c r="A681" s="12">
        <v>4011</v>
      </c>
      <c r="B681" s="21" t="s">
        <v>7937</v>
      </c>
      <c r="C681" s="13" t="s">
        <v>7938</v>
      </c>
      <c r="D681" s="25" t="s">
        <v>7938</v>
      </c>
      <c r="E681" s="13"/>
      <c r="F681" s="41"/>
      <c r="G681" s="41"/>
      <c r="H681" s="41"/>
      <c r="I681" s="14" t="s">
        <v>1878</v>
      </c>
      <c r="J681" s="15">
        <v>44840</v>
      </c>
      <c r="K681" t="s">
        <v>7861</v>
      </c>
      <c r="L681" t="s">
        <v>51</v>
      </c>
      <c r="M681" t="s">
        <v>52</v>
      </c>
      <c r="N681" t="s">
        <v>53</v>
      </c>
      <c r="O681" t="s">
        <v>1707</v>
      </c>
      <c r="P681" t="s">
        <v>7862</v>
      </c>
      <c r="Q681" t="s">
        <v>56</v>
      </c>
      <c r="R681" s="21" t="s">
        <v>7863</v>
      </c>
      <c r="S681" s="21"/>
      <c r="T681" t="s">
        <v>7939</v>
      </c>
      <c r="U681" t="s">
        <v>7917</v>
      </c>
      <c r="X681" t="s">
        <v>7918</v>
      </c>
      <c r="Y681" t="s">
        <v>1881</v>
      </c>
      <c r="AA681" s="15"/>
      <c r="AC681">
        <v>39.839716000000003</v>
      </c>
      <c r="AD681">
        <v>-88.369110000000006</v>
      </c>
      <c r="AE681" t="s">
        <v>7940</v>
      </c>
      <c r="AH681" t="s">
        <v>1715</v>
      </c>
      <c r="AI681" t="s">
        <v>63</v>
      </c>
      <c r="AJ681" t="s">
        <v>7941</v>
      </c>
      <c r="AK681">
        <v>194139</v>
      </c>
      <c r="AM681" t="s">
        <v>7942</v>
      </c>
      <c r="AN681" t="s">
        <v>7943</v>
      </c>
      <c r="AO681" t="s">
        <v>7944</v>
      </c>
      <c r="AP681" t="s">
        <v>68</v>
      </c>
      <c r="AR681" t="s">
        <v>7945</v>
      </c>
      <c r="AS681" t="s">
        <v>7946</v>
      </c>
      <c r="AT681" t="s">
        <v>7947</v>
      </c>
      <c r="AW681" s="14" t="s">
        <v>72</v>
      </c>
      <c r="AX681" s="14" t="s">
        <v>73</v>
      </c>
      <c r="AY681" s="14" t="s">
        <v>1723</v>
      </c>
    </row>
    <row r="682" spans="1:51" ht="15" customHeight="1" x14ac:dyDescent="0.4">
      <c r="A682" s="12">
        <v>4012</v>
      </c>
      <c r="B682" s="21" t="s">
        <v>7948</v>
      </c>
      <c r="C682" s="13" t="s">
        <v>7949</v>
      </c>
      <c r="D682" s="25" t="s">
        <v>7949</v>
      </c>
      <c r="E682" s="13"/>
      <c r="F682" s="41"/>
      <c r="G682" s="41"/>
      <c r="H682" s="41"/>
      <c r="I682" s="14" t="s">
        <v>1878</v>
      </c>
      <c r="J682" s="15">
        <v>44840</v>
      </c>
      <c r="K682" t="s">
        <v>7861</v>
      </c>
      <c r="L682" t="s">
        <v>51</v>
      </c>
      <c r="M682" t="s">
        <v>52</v>
      </c>
      <c r="N682" t="s">
        <v>53</v>
      </c>
      <c r="O682" t="s">
        <v>1707</v>
      </c>
      <c r="P682" t="s">
        <v>7862</v>
      </c>
      <c r="Q682" t="s">
        <v>56</v>
      </c>
      <c r="R682" s="21" t="s">
        <v>7863</v>
      </c>
      <c r="S682" s="21"/>
      <c r="T682" t="s">
        <v>7950</v>
      </c>
      <c r="U682" t="s">
        <v>49</v>
      </c>
      <c r="X682" t="s">
        <v>7918</v>
      </c>
      <c r="Y682" t="s">
        <v>1881</v>
      </c>
      <c r="AA682" s="15"/>
      <c r="AC682">
        <v>39.839182999999998</v>
      </c>
      <c r="AD682">
        <v>-88.369715999999997</v>
      </c>
      <c r="AE682" t="s">
        <v>7951</v>
      </c>
      <c r="AH682" t="s">
        <v>1715</v>
      </c>
      <c r="AI682" t="s">
        <v>63</v>
      </c>
      <c r="AJ682" t="s">
        <v>7952</v>
      </c>
      <c r="AK682">
        <v>194138</v>
      </c>
      <c r="AM682" t="s">
        <v>7953</v>
      </c>
      <c r="AN682" t="s">
        <v>7954</v>
      </c>
      <c r="AO682" t="s">
        <v>7955</v>
      </c>
      <c r="AP682" t="s">
        <v>68</v>
      </c>
      <c r="AR682" t="s">
        <v>7956</v>
      </c>
      <c r="AS682" t="s">
        <v>7957</v>
      </c>
      <c r="AT682" t="s">
        <v>7958</v>
      </c>
      <c r="AW682" s="14" t="s">
        <v>72</v>
      </c>
      <c r="AX682" s="14" t="s">
        <v>73</v>
      </c>
      <c r="AY682" s="14" t="s">
        <v>1723</v>
      </c>
    </row>
    <row r="683" spans="1:51" ht="15" customHeight="1" x14ac:dyDescent="0.4">
      <c r="A683" s="12">
        <v>4013</v>
      </c>
      <c r="B683" s="21" t="s">
        <v>7959</v>
      </c>
      <c r="C683" s="13" t="s">
        <v>7960</v>
      </c>
      <c r="D683" s="25" t="s">
        <v>7960</v>
      </c>
      <c r="E683" s="13"/>
      <c r="F683" s="41"/>
      <c r="G683" s="41"/>
      <c r="H683" s="41"/>
      <c r="I683" s="14" t="s">
        <v>1878</v>
      </c>
      <c r="J683" s="15">
        <v>44840</v>
      </c>
      <c r="K683" t="s">
        <v>7861</v>
      </c>
      <c r="L683" t="s">
        <v>51</v>
      </c>
      <c r="M683" t="s">
        <v>52</v>
      </c>
      <c r="N683" t="s">
        <v>53</v>
      </c>
      <c r="O683" t="s">
        <v>1707</v>
      </c>
      <c r="P683" t="s">
        <v>7862</v>
      </c>
      <c r="Q683" t="s">
        <v>56</v>
      </c>
      <c r="R683" s="21" t="s">
        <v>7863</v>
      </c>
      <c r="S683" s="21"/>
      <c r="T683" t="s">
        <v>7929</v>
      </c>
      <c r="U683" t="s">
        <v>7961</v>
      </c>
      <c r="X683" t="s">
        <v>7918</v>
      </c>
      <c r="Y683" t="s">
        <v>1881</v>
      </c>
      <c r="AA683" s="15"/>
      <c r="AC683">
        <v>39.839106999999998</v>
      </c>
      <c r="AD683">
        <v>-88.369207000000003</v>
      </c>
      <c r="AE683" t="s">
        <v>7951</v>
      </c>
      <c r="AH683" t="s">
        <v>1715</v>
      </c>
      <c r="AI683" t="s">
        <v>63</v>
      </c>
      <c r="AJ683" t="s">
        <v>7962</v>
      </c>
      <c r="AK683">
        <v>194140</v>
      </c>
      <c r="AM683" t="s">
        <v>7963</v>
      </c>
      <c r="AN683" t="s">
        <v>7964</v>
      </c>
      <c r="AO683" t="s">
        <v>7965</v>
      </c>
      <c r="AP683" t="s">
        <v>68</v>
      </c>
      <c r="AR683" t="s">
        <v>7966</v>
      </c>
      <c r="AS683" t="s">
        <v>7967</v>
      </c>
      <c r="AT683" t="s">
        <v>7968</v>
      </c>
      <c r="AW683" s="14" t="s">
        <v>72</v>
      </c>
      <c r="AX683" s="14" t="s">
        <v>73</v>
      </c>
      <c r="AY683" s="14" t="s">
        <v>1723</v>
      </c>
    </row>
    <row r="684" spans="1:51" ht="15" customHeight="1" x14ac:dyDescent="0.4">
      <c r="A684" s="12">
        <v>4014</v>
      </c>
      <c r="B684" s="21" t="s">
        <v>7969</v>
      </c>
      <c r="C684" s="13" t="s">
        <v>7970</v>
      </c>
      <c r="D684" s="13" t="s">
        <v>7970</v>
      </c>
      <c r="E684" s="13"/>
      <c r="F684" s="41"/>
      <c r="G684" s="41"/>
      <c r="H684" s="41"/>
      <c r="I684" s="14" t="s">
        <v>49</v>
      </c>
      <c r="J684" s="15">
        <v>44784</v>
      </c>
      <c r="K684" t="s">
        <v>7971</v>
      </c>
      <c r="L684" t="s">
        <v>51</v>
      </c>
      <c r="M684" t="s">
        <v>7972</v>
      </c>
      <c r="N684" t="s">
        <v>53</v>
      </c>
      <c r="O684" t="s">
        <v>999</v>
      </c>
      <c r="P684" t="s">
        <v>7973</v>
      </c>
      <c r="Q684" t="s">
        <v>56</v>
      </c>
      <c r="R684" s="21" t="s">
        <v>7974</v>
      </c>
      <c r="S684" s="21"/>
      <c r="T684" t="s">
        <v>7975</v>
      </c>
      <c r="U684" t="s">
        <v>7976</v>
      </c>
      <c r="Y684" t="s">
        <v>60</v>
      </c>
      <c r="AA684" s="15"/>
      <c r="AC684">
        <v>45.398057999999999</v>
      </c>
      <c r="AD684">
        <v>-93.182768999999993</v>
      </c>
      <c r="AE684" t="s">
        <v>4928</v>
      </c>
      <c r="AH684" t="s">
        <v>1715</v>
      </c>
      <c r="AI684" t="s">
        <v>63</v>
      </c>
      <c r="AJ684" t="s">
        <v>7977</v>
      </c>
      <c r="AK684">
        <v>194569</v>
      </c>
      <c r="AM684" t="s">
        <v>7978</v>
      </c>
      <c r="AN684" t="s">
        <v>7979</v>
      </c>
      <c r="AO684" t="s">
        <v>7980</v>
      </c>
      <c r="AP684" t="s">
        <v>68</v>
      </c>
      <c r="AR684" t="s">
        <v>7981</v>
      </c>
      <c r="AS684" t="s">
        <v>7982</v>
      </c>
      <c r="AT684" t="s">
        <v>7983</v>
      </c>
      <c r="AW684" s="14" t="s">
        <v>72</v>
      </c>
      <c r="AX684" s="14" t="s">
        <v>73</v>
      </c>
      <c r="AY684" s="14" t="s">
        <v>74</v>
      </c>
    </row>
    <row r="685" spans="1:51" ht="15" customHeight="1" x14ac:dyDescent="0.4">
      <c r="A685" s="12">
        <v>4015</v>
      </c>
      <c r="B685" s="21" t="s">
        <v>7984</v>
      </c>
      <c r="C685" s="13" t="s">
        <v>7985</v>
      </c>
      <c r="D685" s="13" t="s">
        <v>7985</v>
      </c>
      <c r="E685" s="13"/>
      <c r="F685" s="41"/>
      <c r="G685" s="41"/>
      <c r="H685" s="41"/>
      <c r="I685" s="14" t="s">
        <v>49</v>
      </c>
      <c r="J685" s="15">
        <v>44784</v>
      </c>
      <c r="K685" t="s">
        <v>7971</v>
      </c>
      <c r="L685" t="s">
        <v>51</v>
      </c>
      <c r="M685" t="s">
        <v>7972</v>
      </c>
      <c r="N685" t="s">
        <v>53</v>
      </c>
      <c r="O685" t="s">
        <v>999</v>
      </c>
      <c r="P685" t="s">
        <v>7973</v>
      </c>
      <c r="Q685" t="s">
        <v>56</v>
      </c>
      <c r="R685" s="21" t="s">
        <v>7974</v>
      </c>
      <c r="S685" s="21"/>
      <c r="T685" t="s">
        <v>7986</v>
      </c>
      <c r="U685" t="s">
        <v>7987</v>
      </c>
      <c r="X685" t="s">
        <v>1758</v>
      </c>
      <c r="Y685" t="s">
        <v>60</v>
      </c>
      <c r="AA685" s="15"/>
      <c r="AC685">
        <v>45.397713000000003</v>
      </c>
      <c r="AD685">
        <v>-93.182551000000004</v>
      </c>
      <c r="AE685" t="s">
        <v>4892</v>
      </c>
      <c r="AH685" t="s">
        <v>1715</v>
      </c>
      <c r="AI685" t="s">
        <v>63</v>
      </c>
      <c r="AJ685" t="s">
        <v>7988</v>
      </c>
      <c r="AK685">
        <v>194570</v>
      </c>
      <c r="AM685" t="s">
        <v>7989</v>
      </c>
      <c r="AN685" t="s">
        <v>7990</v>
      </c>
      <c r="AO685" t="s">
        <v>7991</v>
      </c>
      <c r="AP685" t="s">
        <v>68</v>
      </c>
      <c r="AR685" t="s">
        <v>7992</v>
      </c>
      <c r="AS685" t="s">
        <v>7993</v>
      </c>
      <c r="AT685" t="s">
        <v>7994</v>
      </c>
      <c r="AW685" s="14" t="s">
        <v>72</v>
      </c>
      <c r="AX685" s="14" t="s">
        <v>73</v>
      </c>
      <c r="AY685" s="14" t="s">
        <v>74</v>
      </c>
    </row>
    <row r="686" spans="1:51" ht="15" customHeight="1" x14ac:dyDescent="0.4">
      <c r="A686" s="12">
        <v>4016</v>
      </c>
      <c r="B686" s="21" t="s">
        <v>7995</v>
      </c>
      <c r="C686" s="13" t="s">
        <v>7996</v>
      </c>
      <c r="D686" s="13" t="s">
        <v>7996</v>
      </c>
      <c r="E686" s="13"/>
      <c r="F686" s="41"/>
      <c r="G686" s="41"/>
      <c r="H686" s="41"/>
      <c r="I686" s="14" t="s">
        <v>49</v>
      </c>
      <c r="J686" s="15">
        <v>44784</v>
      </c>
      <c r="K686" t="s">
        <v>7971</v>
      </c>
      <c r="L686" t="s">
        <v>51</v>
      </c>
      <c r="M686" t="s">
        <v>7972</v>
      </c>
      <c r="N686" t="s">
        <v>53</v>
      </c>
      <c r="O686" t="s">
        <v>999</v>
      </c>
      <c r="P686" t="s">
        <v>7973</v>
      </c>
      <c r="Q686" t="s">
        <v>56</v>
      </c>
      <c r="R686" s="21" t="s">
        <v>7974</v>
      </c>
      <c r="S686" s="21"/>
      <c r="T686" t="s">
        <v>7997</v>
      </c>
      <c r="U686" t="s">
        <v>7998</v>
      </c>
      <c r="X686" t="s">
        <v>1758</v>
      </c>
      <c r="Y686" t="s">
        <v>60</v>
      </c>
      <c r="AA686" s="15"/>
      <c r="AC686">
        <v>45.398910999999998</v>
      </c>
      <c r="AD686">
        <v>-93.183117999999993</v>
      </c>
      <c r="AE686" t="s">
        <v>4916</v>
      </c>
      <c r="AH686" t="s">
        <v>1715</v>
      </c>
      <c r="AI686" t="s">
        <v>63</v>
      </c>
      <c r="AJ686" t="s">
        <v>7999</v>
      </c>
      <c r="AK686">
        <v>194571</v>
      </c>
      <c r="AM686" t="s">
        <v>8000</v>
      </c>
      <c r="AN686" t="s">
        <v>8001</v>
      </c>
      <c r="AO686" t="s">
        <v>8002</v>
      </c>
      <c r="AP686" t="s">
        <v>68</v>
      </c>
      <c r="AR686" t="s">
        <v>8003</v>
      </c>
      <c r="AS686" t="s">
        <v>8004</v>
      </c>
      <c r="AT686" t="s">
        <v>8005</v>
      </c>
      <c r="AW686" s="14" t="s">
        <v>72</v>
      </c>
      <c r="AX686" s="14" t="s">
        <v>73</v>
      </c>
      <c r="AY686" s="14" t="s">
        <v>74</v>
      </c>
    </row>
    <row r="687" spans="1:51" ht="15" customHeight="1" x14ac:dyDescent="0.4">
      <c r="A687" s="12">
        <v>4017</v>
      </c>
      <c r="B687" s="21" t="s">
        <v>8006</v>
      </c>
      <c r="C687" s="13" t="s">
        <v>8007</v>
      </c>
      <c r="D687" s="13" t="s">
        <v>8007</v>
      </c>
      <c r="E687" s="13"/>
      <c r="F687" s="41"/>
      <c r="G687" s="41"/>
      <c r="H687" s="41"/>
      <c r="I687" s="14" t="s">
        <v>49</v>
      </c>
      <c r="J687" s="15">
        <v>44784</v>
      </c>
      <c r="K687" t="s">
        <v>7971</v>
      </c>
      <c r="L687" t="s">
        <v>51</v>
      </c>
      <c r="M687" t="s">
        <v>7972</v>
      </c>
      <c r="N687" t="s">
        <v>53</v>
      </c>
      <c r="O687" t="s">
        <v>999</v>
      </c>
      <c r="P687" t="s">
        <v>7973</v>
      </c>
      <c r="Q687" t="s">
        <v>56</v>
      </c>
      <c r="R687" s="21" t="s">
        <v>7974</v>
      </c>
      <c r="S687" s="21"/>
      <c r="T687" t="s">
        <v>8008</v>
      </c>
      <c r="U687" t="s">
        <v>8009</v>
      </c>
      <c r="X687" t="s">
        <v>1758</v>
      </c>
      <c r="Y687" t="s">
        <v>60</v>
      </c>
      <c r="AA687" s="15"/>
      <c r="AC687">
        <v>45.401020000000003</v>
      </c>
      <c r="AD687">
        <v>-93.183355000000006</v>
      </c>
      <c r="AE687" t="s">
        <v>8010</v>
      </c>
      <c r="AH687" t="s">
        <v>1715</v>
      </c>
      <c r="AI687" t="s">
        <v>63</v>
      </c>
      <c r="AJ687" t="s">
        <v>8011</v>
      </c>
      <c r="AK687">
        <v>194568</v>
      </c>
      <c r="AM687" t="s">
        <v>8012</v>
      </c>
      <c r="AN687" t="s">
        <v>8013</v>
      </c>
      <c r="AO687" t="s">
        <v>8014</v>
      </c>
      <c r="AP687" t="s">
        <v>68</v>
      </c>
      <c r="AR687" t="s">
        <v>8015</v>
      </c>
      <c r="AS687" t="s">
        <v>8016</v>
      </c>
      <c r="AT687" t="s">
        <v>8017</v>
      </c>
      <c r="AW687" s="14" t="s">
        <v>72</v>
      </c>
      <c r="AX687" s="14" t="s">
        <v>73</v>
      </c>
      <c r="AY687" s="14" t="s">
        <v>74</v>
      </c>
    </row>
    <row r="688" spans="1:51" ht="15" customHeight="1" x14ac:dyDescent="0.4">
      <c r="A688" s="12">
        <v>4018</v>
      </c>
      <c r="B688" s="21" t="s">
        <v>8018</v>
      </c>
      <c r="C688" s="13" t="s">
        <v>8019</v>
      </c>
      <c r="D688" s="13" t="s">
        <v>8019</v>
      </c>
      <c r="E688" s="13"/>
      <c r="F688" s="41"/>
      <c r="G688" s="41"/>
      <c r="H688" s="41"/>
      <c r="I688" s="14" t="s">
        <v>49</v>
      </c>
      <c r="J688" s="15">
        <v>44784</v>
      </c>
      <c r="K688" t="s">
        <v>7971</v>
      </c>
      <c r="L688" t="s">
        <v>51</v>
      </c>
      <c r="M688" t="s">
        <v>7972</v>
      </c>
      <c r="N688" t="s">
        <v>53</v>
      </c>
      <c r="O688" t="s">
        <v>999</v>
      </c>
      <c r="P688" t="s">
        <v>7973</v>
      </c>
      <c r="Q688" t="s">
        <v>56</v>
      </c>
      <c r="R688" s="21" t="s">
        <v>7974</v>
      </c>
      <c r="S688" s="21"/>
      <c r="T688" t="s">
        <v>8020</v>
      </c>
      <c r="U688" t="s">
        <v>8021</v>
      </c>
      <c r="X688" t="s">
        <v>1758</v>
      </c>
      <c r="Y688" t="s">
        <v>60</v>
      </c>
      <c r="AA688" s="15"/>
      <c r="AC688">
        <v>45.400162000000002</v>
      </c>
      <c r="AD688">
        <v>-93.183261000000002</v>
      </c>
      <c r="AE688" t="s">
        <v>5221</v>
      </c>
      <c r="AH688" t="s">
        <v>1715</v>
      </c>
      <c r="AI688" t="s">
        <v>63</v>
      </c>
      <c r="AL688" t="s">
        <v>8022</v>
      </c>
      <c r="AP688" t="s">
        <v>68</v>
      </c>
      <c r="AR688" t="s">
        <v>8023</v>
      </c>
      <c r="AS688" t="s">
        <v>8024</v>
      </c>
      <c r="AT688" t="s">
        <v>8025</v>
      </c>
      <c r="AW688" s="14" t="s">
        <v>72</v>
      </c>
      <c r="AX688" s="14" t="s">
        <v>73</v>
      </c>
      <c r="AY688" s="14" t="s">
        <v>74</v>
      </c>
    </row>
    <row r="689" spans="1:51" s="34" customFormat="1" ht="15" customHeight="1" x14ac:dyDescent="0.4">
      <c r="A689" s="33">
        <v>4019</v>
      </c>
      <c r="B689" s="37" t="s">
        <v>8026</v>
      </c>
      <c r="C689" s="35" t="s">
        <v>8027</v>
      </c>
      <c r="D689" s="35" t="s">
        <v>8027</v>
      </c>
      <c r="E689" s="35" t="s">
        <v>8019</v>
      </c>
      <c r="F689" s="56" t="s">
        <v>1878</v>
      </c>
      <c r="G689" s="56" t="s">
        <v>8141</v>
      </c>
      <c r="H689" s="42"/>
      <c r="I689" s="34" t="s">
        <v>1878</v>
      </c>
      <c r="J689" s="36">
        <v>44799</v>
      </c>
      <c r="K689" s="34" t="s">
        <v>7971</v>
      </c>
      <c r="L689" s="34" t="s">
        <v>51</v>
      </c>
      <c r="M689" s="34" t="s">
        <v>7972</v>
      </c>
      <c r="N689" s="34" t="s">
        <v>53</v>
      </c>
      <c r="O689" s="34" t="s">
        <v>999</v>
      </c>
      <c r="P689" s="34" t="s">
        <v>7973</v>
      </c>
      <c r="Q689" s="34" t="s">
        <v>56</v>
      </c>
      <c r="R689" s="37" t="s">
        <v>7974</v>
      </c>
      <c r="S689" s="37"/>
      <c r="Y689" s="34" t="s">
        <v>1881</v>
      </c>
      <c r="AA689" s="36"/>
      <c r="AC689" s="34">
        <v>45.400886</v>
      </c>
      <c r="AD689" s="34">
        <v>-93.200292000000005</v>
      </c>
      <c r="AE689" s="34" t="s">
        <v>4952</v>
      </c>
      <c r="AH689" s="34" t="s">
        <v>1715</v>
      </c>
      <c r="AI689" s="34" t="s">
        <v>63</v>
      </c>
      <c r="AJ689" s="34" t="s">
        <v>8028</v>
      </c>
      <c r="AK689" s="34">
        <v>194539</v>
      </c>
      <c r="AM689" s="34" t="s">
        <v>8029</v>
      </c>
      <c r="AN689" s="34" t="s">
        <v>8030</v>
      </c>
      <c r="AO689" s="34" t="s">
        <v>8031</v>
      </c>
      <c r="AP689" s="34" t="s">
        <v>68</v>
      </c>
      <c r="AR689" s="34" t="s">
        <v>8032</v>
      </c>
      <c r="AS689" s="34" t="s">
        <v>8033</v>
      </c>
      <c r="AT689" s="34" t="s">
        <v>8034</v>
      </c>
      <c r="AW689" s="34" t="s">
        <v>72</v>
      </c>
      <c r="AX689" s="34" t="s">
        <v>73</v>
      </c>
      <c r="AY689" s="34" t="s">
        <v>1723</v>
      </c>
    </row>
    <row r="690" spans="1:51" ht="15" customHeight="1" x14ac:dyDescent="0.4">
      <c r="A690" s="12">
        <v>4020</v>
      </c>
      <c r="B690" s="21" t="s">
        <v>8035</v>
      </c>
      <c r="C690" s="13" t="s">
        <v>8036</v>
      </c>
      <c r="D690" s="13" t="s">
        <v>8036</v>
      </c>
      <c r="E690" s="13"/>
      <c r="F690" s="41"/>
      <c r="G690" s="41"/>
      <c r="H690" s="41"/>
      <c r="I690" s="14" t="s">
        <v>1878</v>
      </c>
      <c r="J690" s="15">
        <v>44799</v>
      </c>
      <c r="K690" t="s">
        <v>7971</v>
      </c>
      <c r="L690" t="s">
        <v>51</v>
      </c>
      <c r="M690" t="s">
        <v>7972</v>
      </c>
      <c r="N690" t="s">
        <v>53</v>
      </c>
      <c r="O690" t="s">
        <v>999</v>
      </c>
      <c r="P690" t="s">
        <v>7973</v>
      </c>
      <c r="Q690" t="s">
        <v>56</v>
      </c>
      <c r="R690" s="21" t="s">
        <v>7974</v>
      </c>
      <c r="S690" s="21"/>
      <c r="T690" t="s">
        <v>8037</v>
      </c>
      <c r="U690" t="s">
        <v>8038</v>
      </c>
      <c r="Y690" t="s">
        <v>1881</v>
      </c>
      <c r="AA690" s="15"/>
      <c r="AC690">
        <v>45.424425999999997</v>
      </c>
      <c r="AD690">
        <v>-93.200337000000005</v>
      </c>
      <c r="AE690" t="s">
        <v>8039</v>
      </c>
      <c r="AH690" t="s">
        <v>1715</v>
      </c>
      <c r="AI690" t="s">
        <v>63</v>
      </c>
      <c r="AJ690" t="s">
        <v>8040</v>
      </c>
      <c r="AK690">
        <v>194540</v>
      </c>
      <c r="AM690" t="s">
        <v>8041</v>
      </c>
      <c r="AN690" t="s">
        <v>8042</v>
      </c>
      <c r="AO690" t="s">
        <v>8043</v>
      </c>
      <c r="AP690" t="s">
        <v>68</v>
      </c>
      <c r="AR690" t="s">
        <v>8044</v>
      </c>
      <c r="AS690" t="s">
        <v>8045</v>
      </c>
      <c r="AT690" t="s">
        <v>8046</v>
      </c>
      <c r="AW690" s="14" t="s">
        <v>72</v>
      </c>
      <c r="AX690" s="14" t="s">
        <v>73</v>
      </c>
      <c r="AY690" s="14" t="s">
        <v>1723</v>
      </c>
    </row>
    <row r="691" spans="1:51" ht="15" customHeight="1" x14ac:dyDescent="0.4">
      <c r="A691" s="12">
        <v>4021</v>
      </c>
      <c r="B691" s="21" t="s">
        <v>8047</v>
      </c>
      <c r="C691" s="13" t="s">
        <v>8048</v>
      </c>
      <c r="D691" s="13" t="s">
        <v>8048</v>
      </c>
      <c r="E691" s="13"/>
      <c r="F691" s="41"/>
      <c r="G691" s="41"/>
      <c r="H691" s="41"/>
      <c r="I691" s="14" t="s">
        <v>1878</v>
      </c>
      <c r="J691" s="15">
        <v>44799</v>
      </c>
      <c r="K691" t="s">
        <v>7971</v>
      </c>
      <c r="L691" t="s">
        <v>51</v>
      </c>
      <c r="M691" t="s">
        <v>7972</v>
      </c>
      <c r="N691" t="s">
        <v>53</v>
      </c>
      <c r="O691" t="s">
        <v>999</v>
      </c>
      <c r="P691" t="s">
        <v>7973</v>
      </c>
      <c r="Q691" t="s">
        <v>56</v>
      </c>
      <c r="R691" s="21" t="s">
        <v>7974</v>
      </c>
      <c r="S691" s="21"/>
      <c r="T691" t="s">
        <v>8049</v>
      </c>
      <c r="U691" t="s">
        <v>8050</v>
      </c>
      <c r="Y691" t="s">
        <v>1881</v>
      </c>
      <c r="AA691" s="15"/>
      <c r="AC691">
        <v>45.424388</v>
      </c>
      <c r="AD691">
        <v>-93.200192000000001</v>
      </c>
      <c r="AE691" t="s">
        <v>1428</v>
      </c>
      <c r="AH691" t="s">
        <v>1715</v>
      </c>
      <c r="AI691" t="s">
        <v>63</v>
      </c>
      <c r="AJ691" t="s">
        <v>8051</v>
      </c>
      <c r="AK691">
        <v>194541</v>
      </c>
      <c r="AM691" t="s">
        <v>8052</v>
      </c>
      <c r="AN691" t="s">
        <v>8053</v>
      </c>
      <c r="AO691" t="s">
        <v>8054</v>
      </c>
      <c r="AP691" t="s">
        <v>68</v>
      </c>
      <c r="AR691" t="s">
        <v>8055</v>
      </c>
      <c r="AS691" t="s">
        <v>8056</v>
      </c>
      <c r="AT691" t="s">
        <v>8057</v>
      </c>
      <c r="AW691" s="14" t="s">
        <v>72</v>
      </c>
      <c r="AX691" s="14" t="s">
        <v>73</v>
      </c>
      <c r="AY691" s="14" t="s">
        <v>1723</v>
      </c>
    </row>
    <row r="692" spans="1:51" ht="15" customHeight="1" x14ac:dyDescent="0.4">
      <c r="A692" s="12">
        <v>4022</v>
      </c>
      <c r="B692" s="21" t="s">
        <v>8058</v>
      </c>
      <c r="C692" s="13" t="s">
        <v>8059</v>
      </c>
      <c r="D692" s="13" t="s">
        <v>8059</v>
      </c>
      <c r="E692" s="13"/>
      <c r="F692" s="41"/>
      <c r="G692" s="41"/>
      <c r="H692" s="41"/>
      <c r="I692" s="14" t="s">
        <v>1878</v>
      </c>
      <c r="J692" s="15">
        <v>44799</v>
      </c>
      <c r="K692" t="s">
        <v>7971</v>
      </c>
      <c r="L692" t="s">
        <v>51</v>
      </c>
      <c r="M692" t="s">
        <v>7972</v>
      </c>
      <c r="N692" t="s">
        <v>53</v>
      </c>
      <c r="O692" t="s">
        <v>999</v>
      </c>
      <c r="P692" t="s">
        <v>7973</v>
      </c>
      <c r="Q692" t="s">
        <v>56</v>
      </c>
      <c r="R692" s="21" t="s">
        <v>7974</v>
      </c>
      <c r="S692" s="21"/>
      <c r="T692" t="s">
        <v>8060</v>
      </c>
      <c r="U692" t="s">
        <v>8061</v>
      </c>
      <c r="Y692" t="s">
        <v>1881</v>
      </c>
      <c r="AA692" s="15"/>
      <c r="AC692">
        <v>45.424658999999998</v>
      </c>
      <c r="AD692">
        <v>-93.200742000000005</v>
      </c>
      <c r="AE692" t="s">
        <v>8062</v>
      </c>
      <c r="AH692" t="s">
        <v>1715</v>
      </c>
      <c r="AI692" t="s">
        <v>63</v>
      </c>
      <c r="AJ692" t="s">
        <v>8063</v>
      </c>
      <c r="AK692">
        <v>194542</v>
      </c>
      <c r="AM692" t="s">
        <v>8064</v>
      </c>
      <c r="AN692" t="s">
        <v>8065</v>
      </c>
      <c r="AO692" t="s">
        <v>8066</v>
      </c>
      <c r="AP692" t="s">
        <v>68</v>
      </c>
      <c r="AR692" t="s">
        <v>8067</v>
      </c>
      <c r="AS692" t="s">
        <v>8068</v>
      </c>
      <c r="AT692" t="s">
        <v>8069</v>
      </c>
      <c r="AW692" s="14" t="s">
        <v>72</v>
      </c>
      <c r="AX692" s="14" t="s">
        <v>73</v>
      </c>
      <c r="AY692" s="14" t="s">
        <v>1723</v>
      </c>
    </row>
    <row r="693" spans="1:51" ht="15" customHeight="1" x14ac:dyDescent="0.4">
      <c r="A693" s="12">
        <v>4023</v>
      </c>
      <c r="B693" s="21" t="s">
        <v>8070</v>
      </c>
      <c r="C693" s="13" t="s">
        <v>8071</v>
      </c>
      <c r="D693" s="13" t="s">
        <v>8071</v>
      </c>
      <c r="E693" s="13"/>
      <c r="F693" s="41"/>
      <c r="G693" s="41"/>
      <c r="H693" s="41"/>
      <c r="I693" s="14" t="s">
        <v>1878</v>
      </c>
      <c r="J693" s="15">
        <v>44799</v>
      </c>
      <c r="K693" t="s">
        <v>7971</v>
      </c>
      <c r="L693" t="s">
        <v>51</v>
      </c>
      <c r="M693" t="s">
        <v>7972</v>
      </c>
      <c r="N693" t="s">
        <v>53</v>
      </c>
      <c r="O693" t="s">
        <v>999</v>
      </c>
      <c r="P693" t="s">
        <v>7973</v>
      </c>
      <c r="Q693" t="s">
        <v>56</v>
      </c>
      <c r="R693" s="21" t="s">
        <v>7974</v>
      </c>
      <c r="S693" s="21"/>
      <c r="T693" t="s">
        <v>8072</v>
      </c>
      <c r="U693" t="s">
        <v>8073</v>
      </c>
      <c r="Y693" t="s">
        <v>1881</v>
      </c>
      <c r="AA693" s="15"/>
      <c r="AC693">
        <v>45.424821000000001</v>
      </c>
      <c r="AD693">
        <v>-93.201047000000003</v>
      </c>
      <c r="AE693" t="s">
        <v>6130</v>
      </c>
      <c r="AH693" t="s">
        <v>1715</v>
      </c>
      <c r="AI693" t="s">
        <v>63</v>
      </c>
      <c r="AJ693" t="s">
        <v>8074</v>
      </c>
      <c r="AK693">
        <v>194543</v>
      </c>
      <c r="AM693" t="s">
        <v>8075</v>
      </c>
      <c r="AN693" t="s">
        <v>8076</v>
      </c>
      <c r="AO693" t="s">
        <v>8077</v>
      </c>
      <c r="AP693" t="s">
        <v>68</v>
      </c>
      <c r="AR693" t="s">
        <v>8078</v>
      </c>
      <c r="AS693" t="s">
        <v>8079</v>
      </c>
      <c r="AT693" t="s">
        <v>8080</v>
      </c>
      <c r="AW693" s="14" t="s">
        <v>72</v>
      </c>
      <c r="AX693" s="14" t="s">
        <v>73</v>
      </c>
      <c r="AY693" s="14" t="s">
        <v>1723</v>
      </c>
    </row>
    <row r="694" spans="1:51" ht="15" customHeight="1" x14ac:dyDescent="0.4">
      <c r="A694" s="12">
        <v>4024</v>
      </c>
      <c r="B694" s="21" t="s">
        <v>8081</v>
      </c>
      <c r="C694" s="13" t="s">
        <v>8082</v>
      </c>
      <c r="D694" s="28" t="s">
        <v>8082</v>
      </c>
      <c r="E694" s="13"/>
      <c r="F694" s="41"/>
      <c r="G694" s="41"/>
      <c r="H694" s="41"/>
      <c r="I694" s="14" t="s">
        <v>49</v>
      </c>
      <c r="J694" s="15">
        <v>44715</v>
      </c>
      <c r="K694" t="s">
        <v>1704</v>
      </c>
      <c r="L694" t="s">
        <v>51</v>
      </c>
      <c r="M694" t="s">
        <v>7972</v>
      </c>
      <c r="N694" t="s">
        <v>53</v>
      </c>
      <c r="O694" t="s">
        <v>175</v>
      </c>
      <c r="P694" t="s">
        <v>2099</v>
      </c>
      <c r="Q694" t="s">
        <v>56</v>
      </c>
      <c r="R694" s="21" t="s">
        <v>2100</v>
      </c>
      <c r="S694" s="21"/>
      <c r="T694" t="s">
        <v>8083</v>
      </c>
      <c r="U694" t="s">
        <v>8084</v>
      </c>
      <c r="Y694" t="s">
        <v>60</v>
      </c>
      <c r="AA694" s="15"/>
      <c r="AC694">
        <v>36.644689</v>
      </c>
      <c r="AD694">
        <v>-89.290721000000005</v>
      </c>
      <c r="AE694" t="s">
        <v>2103</v>
      </c>
      <c r="AH694" t="s">
        <v>1715</v>
      </c>
      <c r="AI694" t="s">
        <v>63</v>
      </c>
      <c r="AJ694" t="s">
        <v>8085</v>
      </c>
      <c r="AK694">
        <v>192562</v>
      </c>
      <c r="AM694" t="s">
        <v>8086</v>
      </c>
      <c r="AN694" t="s">
        <v>8087</v>
      </c>
      <c r="AO694" t="s">
        <v>8088</v>
      </c>
      <c r="AP694" t="s">
        <v>68</v>
      </c>
      <c r="AR694" t="s">
        <v>8089</v>
      </c>
      <c r="AS694" t="s">
        <v>8090</v>
      </c>
      <c r="AT694" t="s">
        <v>8091</v>
      </c>
      <c r="AW694" s="14" t="s">
        <v>72</v>
      </c>
      <c r="AX694" s="14" t="s">
        <v>73</v>
      </c>
      <c r="AY694" s="14" t="s">
        <v>74</v>
      </c>
    </row>
  </sheetData>
  <conditionalFormatting sqref="AU1:AU694">
    <cfRule type="duplicateValues" dxfId="47" priority="12"/>
  </conditionalFormatting>
  <conditionalFormatting sqref="A1:A694">
    <cfRule type="duplicateValues" dxfId="46" priority="8"/>
  </conditionalFormatting>
  <conditionalFormatting sqref="B1:B694">
    <cfRule type="duplicateValues" dxfId="45" priority="5"/>
    <cfRule type="duplicateValues" dxfId="44" priority="6"/>
    <cfRule type="duplicateValues" dxfId="43" priority="13"/>
    <cfRule type="duplicateValues" dxfId="42" priority="14"/>
  </conditionalFormatting>
  <conditionalFormatting sqref="Y197:Y694 Z142 Y80:Y150 Y1:Y69">
    <cfRule type="containsText" dxfId="41" priority="7" operator="containsText" text="|">
      <formula>NOT(ISERROR(SEARCH("|",Y1)))</formula>
    </cfRule>
  </conditionalFormatting>
  <conditionalFormatting sqref="D198:D683 D1:D196">
    <cfRule type="duplicateValues" dxfId="40" priority="15"/>
  </conditionalFormatting>
  <conditionalFormatting sqref="Z142 Y1:Y694">
    <cfRule type="containsText" dxfId="39" priority="4" operator="containsText" text="|">
      <formula>NOT(ISERROR(SEARCH("|",Y1)))</formula>
    </cfRule>
  </conditionalFormatting>
  <conditionalFormatting sqref="C1:C694">
    <cfRule type="duplicateValues" dxfId="38" priority="3"/>
  </conditionalFormatting>
  <conditionalFormatting sqref="D1:D694">
    <cfRule type="duplicateValues" dxfId="37" priority="2"/>
  </conditionalFormatting>
  <conditionalFormatting sqref="D1:D694">
    <cfRule type="duplicateValues" dxfId="36" priority="1"/>
  </conditionalFormatting>
  <hyperlinks>
    <hyperlink ref="AO64" r:id="rId1" xr:uid="{23E92340-DABD-456B-A91C-E8AC8C50F876}"/>
    <hyperlink ref="AO165" r:id="rId2" xr:uid="{7B47F471-512D-4D90-A265-8D1BF3953AB4}"/>
    <hyperlink ref="AO269" r:id="rId3" xr:uid="{BC24726C-6FFC-4DB8-8CF4-7BE77A70124A}"/>
    <hyperlink ref="AO672" r:id="rId4" xr:uid="{D36A8158-9BB1-4AF4-9D04-BAC78F34F6DF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5F41-60C7-4AE9-ADA8-5437FECFF603}">
  <dimension ref="A1:BC694"/>
  <sheetViews>
    <sheetView topLeftCell="F1" workbookViewId="0">
      <pane ySplit="1" topLeftCell="A476" activePane="bottomLeft" state="frozen"/>
      <selection activeCell="D1" sqref="D1"/>
      <selection pane="bottomLeft" activeCell="F1" sqref="A1:XFD1048576"/>
    </sheetView>
  </sheetViews>
  <sheetFormatPr defaultRowHeight="14.6" x14ac:dyDescent="0.4"/>
  <cols>
    <col min="2" max="2" width="10.69140625" bestFit="1" customWidth="1"/>
    <col min="3" max="3" width="15.69140625" customWidth="1"/>
    <col min="4" max="4" width="19.69140625" bestFit="1" customWidth="1"/>
    <col min="5" max="5" width="17.84375" customWidth="1"/>
    <col min="6" max="9" width="17.84375" style="18" customWidth="1"/>
    <col min="10" max="10" width="42.921875" style="18" customWidth="1"/>
    <col min="11" max="12" width="8" style="65" customWidth="1"/>
    <col min="13" max="13" width="33.3828125" bestFit="1" customWidth="1"/>
    <col min="14" max="14" width="17.3828125" hidden="1" customWidth="1"/>
    <col min="15" max="15" width="39" hidden="1" customWidth="1"/>
    <col min="16" max="16" width="19" hidden="1" customWidth="1"/>
    <col min="17" max="17" width="22.15234375" hidden="1" customWidth="1"/>
    <col min="18" max="18" width="10.3046875" hidden="1" customWidth="1"/>
    <col min="19" max="19" width="13.69140625" hidden="1" customWidth="1"/>
    <col min="20" max="20" width="11.53515625" hidden="1" customWidth="1"/>
    <col min="21" max="21" width="0" hidden="1" customWidth="1"/>
    <col min="22" max="22" width="22.53515625" hidden="1" customWidth="1"/>
    <col min="23" max="23" width="15.3046875" hidden="1" customWidth="1"/>
    <col min="24" max="24" width="23.3828125" hidden="1" customWidth="1"/>
    <col min="25" max="28" width="0" hidden="1" customWidth="1"/>
    <col min="29" max="29" width="70.15234375" customWidth="1"/>
    <col min="30" max="30" width="27.3046875" customWidth="1"/>
    <col min="31" max="31" width="23.84375" customWidth="1"/>
    <col min="32" max="32" width="28.69140625" customWidth="1"/>
    <col min="35" max="36" width="13" customWidth="1"/>
    <col min="40" max="40" width="69.3828125" customWidth="1"/>
    <col min="41" max="41" width="10.53515625" customWidth="1"/>
    <col min="43" max="43" width="17.84375" customWidth="1"/>
    <col min="44" max="44" width="46" customWidth="1"/>
    <col min="45" max="45" width="76.15234375" customWidth="1"/>
    <col min="46" max="46" width="17.15234375" customWidth="1"/>
    <col min="47" max="47" width="17.3046875" customWidth="1"/>
    <col min="48" max="48" width="26" bestFit="1" customWidth="1"/>
    <col min="49" max="49" width="30.84375" customWidth="1"/>
    <col min="50" max="50" width="35.69140625" customWidth="1"/>
    <col min="51" max="51" width="27.15234375" style="31" customWidth="1"/>
    <col min="52" max="52" width="24.3828125" style="31" customWidth="1"/>
    <col min="53" max="54" width="23" customWidth="1"/>
    <col min="55" max="55" width="30.3046875" customWidth="1"/>
  </cols>
  <sheetData>
    <row r="1" spans="1:55" ht="15" customHeight="1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0" t="s">
        <v>8094</v>
      </c>
      <c r="G1" s="40" t="s">
        <v>8096</v>
      </c>
      <c r="H1" s="40" t="s">
        <v>8172</v>
      </c>
      <c r="I1" s="40" t="s">
        <v>8139</v>
      </c>
      <c r="J1" s="40" t="s">
        <v>8168</v>
      </c>
      <c r="K1" s="64" t="s">
        <v>8165</v>
      </c>
      <c r="L1" s="64" t="s">
        <v>8146</v>
      </c>
      <c r="M1" s="4" t="s">
        <v>5</v>
      </c>
      <c r="N1" s="5" t="s">
        <v>6</v>
      </c>
      <c r="O1" s="2" t="s">
        <v>7</v>
      </c>
      <c r="P1" s="6" t="s">
        <v>8</v>
      </c>
      <c r="Q1" s="2" t="s">
        <v>9</v>
      </c>
      <c r="R1" s="7" t="s">
        <v>10</v>
      </c>
      <c r="S1" s="8" t="s">
        <v>11</v>
      </c>
      <c r="T1" s="2" t="s">
        <v>12</v>
      </c>
      <c r="U1" s="2" t="s">
        <v>13</v>
      </c>
      <c r="V1" s="2" t="s">
        <v>14</v>
      </c>
      <c r="W1" s="9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5" t="s">
        <v>23</v>
      </c>
      <c r="AF1" s="2" t="s">
        <v>24</v>
      </c>
      <c r="AG1" s="10" t="s">
        <v>25</v>
      </c>
      <c r="AH1" s="2" t="s">
        <v>26</v>
      </c>
      <c r="AI1" s="2" t="s">
        <v>8092</v>
      </c>
      <c r="AJ1" s="2" t="s">
        <v>27</v>
      </c>
      <c r="AK1" s="2" t="s">
        <v>28</v>
      </c>
      <c r="AL1" s="2" t="s">
        <v>29</v>
      </c>
      <c r="AM1" s="2" t="s">
        <v>30</v>
      </c>
      <c r="AN1" s="2" t="s">
        <v>8093</v>
      </c>
      <c r="AO1" s="2" t="s">
        <v>31</v>
      </c>
      <c r="AP1" s="2" t="s">
        <v>32</v>
      </c>
      <c r="AQ1" s="2" t="s">
        <v>33</v>
      </c>
      <c r="AR1" s="2" t="s">
        <v>34</v>
      </c>
      <c r="AS1" s="2" t="s">
        <v>35</v>
      </c>
      <c r="AT1" s="11" t="s">
        <v>37</v>
      </c>
      <c r="AU1" s="11" t="s">
        <v>38</v>
      </c>
      <c r="AV1" s="11" t="s">
        <v>39</v>
      </c>
      <c r="AW1" s="11" t="s">
        <v>40</v>
      </c>
      <c r="AX1" s="11" t="s">
        <v>41</v>
      </c>
      <c r="AY1" s="30" t="s">
        <v>42</v>
      </c>
      <c r="AZ1" s="32" t="s">
        <v>36</v>
      </c>
      <c r="BA1" s="4" t="s">
        <v>43</v>
      </c>
      <c r="BB1" s="4" t="s">
        <v>44</v>
      </c>
      <c r="BC1" s="4" t="s">
        <v>45</v>
      </c>
    </row>
    <row r="2" spans="1:55" ht="15" customHeight="1" x14ac:dyDescent="0.4">
      <c r="A2" s="12">
        <v>3892</v>
      </c>
      <c r="B2" s="21" t="s">
        <v>6552</v>
      </c>
      <c r="C2" s="13" t="s">
        <v>6553</v>
      </c>
      <c r="D2" s="25" t="s">
        <v>6553</v>
      </c>
      <c r="E2" s="13"/>
      <c r="F2" s="41"/>
      <c r="G2" s="41"/>
      <c r="H2" s="41"/>
      <c r="I2" s="41"/>
      <c r="J2" s="41"/>
      <c r="K2" s="65" t="str">
        <f>IFERROR(VLOOKUP(D2,Sheet4!A$1:M$56,11,FALSE),"")</f>
        <v/>
      </c>
      <c r="L2" s="65" t="str">
        <f>_xlfn.CONCAT(J2,K2)</f>
        <v/>
      </c>
      <c r="M2" s="14" t="s">
        <v>2006</v>
      </c>
      <c r="N2" s="15">
        <v>44803</v>
      </c>
      <c r="O2" t="s">
        <v>2719</v>
      </c>
      <c r="P2" t="s">
        <v>51</v>
      </c>
      <c r="Q2" t="s">
        <v>52</v>
      </c>
      <c r="R2" t="s">
        <v>53</v>
      </c>
      <c r="S2" t="s">
        <v>6554</v>
      </c>
      <c r="T2" t="s">
        <v>6555</v>
      </c>
      <c r="U2" t="s">
        <v>56</v>
      </c>
      <c r="V2" t="s">
        <v>6556</v>
      </c>
      <c r="W2" s="21" t="s">
        <v>6557</v>
      </c>
      <c r="X2" t="s">
        <v>6558</v>
      </c>
      <c r="Y2" t="s">
        <v>6559</v>
      </c>
      <c r="AB2" t="s">
        <v>1758</v>
      </c>
      <c r="AC2" t="s">
        <v>2009</v>
      </c>
      <c r="AE2" s="15"/>
      <c r="AG2">
        <v>34.804527999999998</v>
      </c>
      <c r="AH2">
        <v>-92.326498000000001</v>
      </c>
      <c r="AI2" t="s">
        <v>6560</v>
      </c>
      <c r="AL2" t="s">
        <v>1715</v>
      </c>
      <c r="AM2" t="s">
        <v>63</v>
      </c>
      <c r="AN2" t="s">
        <v>6561</v>
      </c>
      <c r="AO2">
        <v>194234</v>
      </c>
      <c r="AQ2" t="s">
        <v>6562</v>
      </c>
      <c r="AR2" t="s">
        <v>6563</v>
      </c>
      <c r="AS2" t="s">
        <v>6564</v>
      </c>
      <c r="AT2" t="s">
        <v>68</v>
      </c>
      <c r="AV2" t="s">
        <v>6565</v>
      </c>
      <c r="AW2" t="s">
        <v>6566</v>
      </c>
      <c r="AX2" t="s">
        <v>6567</v>
      </c>
      <c r="BA2" s="14" t="s">
        <v>72</v>
      </c>
      <c r="BB2" s="14" t="s">
        <v>73</v>
      </c>
      <c r="BC2" s="14" t="s">
        <v>74</v>
      </c>
    </row>
    <row r="3" spans="1:55" ht="15" customHeight="1" x14ac:dyDescent="0.4">
      <c r="A3" s="12">
        <v>3893</v>
      </c>
      <c r="B3" s="21" t="s">
        <v>6568</v>
      </c>
      <c r="C3" s="13" t="s">
        <v>6569</v>
      </c>
      <c r="D3" s="25" t="s">
        <v>6569</v>
      </c>
      <c r="E3" s="13"/>
      <c r="F3" s="41"/>
      <c r="G3" s="41"/>
      <c r="H3" s="41"/>
      <c r="I3" s="41"/>
      <c r="J3" s="41"/>
      <c r="K3" s="65" t="str">
        <f>IFERROR(VLOOKUP(D3,Sheet4!A$1:M$56,11,FALSE),"")</f>
        <v/>
      </c>
      <c r="L3" s="65" t="str">
        <f t="shared" ref="L3:L66" si="0">_xlfn.CONCAT(J3,K3)</f>
        <v/>
      </c>
      <c r="M3" s="14" t="s">
        <v>49</v>
      </c>
      <c r="N3" s="15">
        <v>44803</v>
      </c>
      <c r="O3" t="s">
        <v>2719</v>
      </c>
      <c r="P3" t="s">
        <v>51</v>
      </c>
      <c r="Q3" t="s">
        <v>52</v>
      </c>
      <c r="R3" t="s">
        <v>53</v>
      </c>
      <c r="S3" t="s">
        <v>6554</v>
      </c>
      <c r="T3" t="s">
        <v>6555</v>
      </c>
      <c r="U3" t="s">
        <v>56</v>
      </c>
      <c r="V3" t="s">
        <v>6556</v>
      </c>
      <c r="W3" s="21" t="s">
        <v>6557</v>
      </c>
      <c r="X3" t="s">
        <v>6570</v>
      </c>
      <c r="Y3" t="s">
        <v>6571</v>
      </c>
      <c r="AB3" t="s">
        <v>2336</v>
      </c>
      <c r="AC3" t="s">
        <v>60</v>
      </c>
      <c r="AE3" s="15"/>
      <c r="AG3">
        <v>34.804341999999998</v>
      </c>
      <c r="AH3">
        <v>-92.326644999999999</v>
      </c>
      <c r="AI3" t="s">
        <v>6572</v>
      </c>
      <c r="AL3" t="s">
        <v>1715</v>
      </c>
      <c r="AM3" t="s">
        <v>63</v>
      </c>
      <c r="AN3" t="s">
        <v>6573</v>
      </c>
      <c r="AO3">
        <v>194576</v>
      </c>
      <c r="AQ3" t="s">
        <v>6574</v>
      </c>
      <c r="AR3" t="s">
        <v>6575</v>
      </c>
      <c r="AS3" t="s">
        <v>6576</v>
      </c>
      <c r="AT3" t="s">
        <v>68</v>
      </c>
      <c r="AV3" t="s">
        <v>6577</v>
      </c>
      <c r="AW3" t="s">
        <v>6578</v>
      </c>
      <c r="AX3" t="s">
        <v>6579</v>
      </c>
      <c r="BA3" s="14" t="s">
        <v>72</v>
      </c>
      <c r="BB3" s="14" t="s">
        <v>73</v>
      </c>
      <c r="BC3" s="14" t="s">
        <v>74</v>
      </c>
    </row>
    <row r="4" spans="1:55" ht="15" customHeight="1" x14ac:dyDescent="0.4">
      <c r="A4" s="12">
        <v>3894</v>
      </c>
      <c r="B4" s="21" t="s">
        <v>6580</v>
      </c>
      <c r="C4" s="13" t="s">
        <v>6581</v>
      </c>
      <c r="D4" s="25" t="s">
        <v>6581</v>
      </c>
      <c r="E4" s="13"/>
      <c r="F4" s="41"/>
      <c r="G4" s="41"/>
      <c r="H4" s="41"/>
      <c r="I4" s="41"/>
      <c r="J4" s="41"/>
      <c r="K4" s="65" t="str">
        <f>IFERROR(VLOOKUP(D4,Sheet4!A$1:M$56,11,FALSE),"")</f>
        <v/>
      </c>
      <c r="L4" s="65" t="str">
        <f t="shared" si="0"/>
        <v/>
      </c>
      <c r="M4" s="14" t="s">
        <v>1752</v>
      </c>
      <c r="N4" s="15">
        <v>44803</v>
      </c>
      <c r="O4" t="s">
        <v>2719</v>
      </c>
      <c r="P4" t="s">
        <v>51</v>
      </c>
      <c r="Q4" t="s">
        <v>52</v>
      </c>
      <c r="R4" t="s">
        <v>53</v>
      </c>
      <c r="S4" t="s">
        <v>6554</v>
      </c>
      <c r="T4" t="s">
        <v>6555</v>
      </c>
      <c r="U4" t="s">
        <v>56</v>
      </c>
      <c r="V4" t="s">
        <v>6556</v>
      </c>
      <c r="W4" s="21" t="s">
        <v>6557</v>
      </c>
      <c r="X4" t="s">
        <v>6582</v>
      </c>
      <c r="Y4" t="s">
        <v>6583</v>
      </c>
      <c r="AB4" t="s">
        <v>1758</v>
      </c>
      <c r="AC4" t="s">
        <v>1759</v>
      </c>
      <c r="AE4" s="15"/>
      <c r="AG4">
        <v>34.804412999999997</v>
      </c>
      <c r="AH4">
        <v>-92.326312000000001</v>
      </c>
      <c r="AI4" t="s">
        <v>6584</v>
      </c>
      <c r="AL4" t="s">
        <v>1715</v>
      </c>
      <c r="AM4" t="s">
        <v>63</v>
      </c>
      <c r="AN4" t="s">
        <v>6585</v>
      </c>
      <c r="AO4">
        <v>193548</v>
      </c>
      <c r="AQ4" t="s">
        <v>6586</v>
      </c>
      <c r="AR4" t="s">
        <v>6587</v>
      </c>
      <c r="AS4" t="s">
        <v>6588</v>
      </c>
      <c r="AT4" t="s">
        <v>68</v>
      </c>
      <c r="AV4" t="s">
        <v>6589</v>
      </c>
      <c r="AW4" t="s">
        <v>6590</v>
      </c>
      <c r="AX4" t="s">
        <v>6591</v>
      </c>
      <c r="BA4" s="14" t="s">
        <v>72</v>
      </c>
      <c r="BB4" s="14" t="s">
        <v>73</v>
      </c>
      <c r="BC4" s="14" t="s">
        <v>1768</v>
      </c>
    </row>
    <row r="5" spans="1:55" ht="15" customHeight="1" x14ac:dyDescent="0.4">
      <c r="A5" s="12">
        <v>3895</v>
      </c>
      <c r="B5" s="21" t="s">
        <v>6592</v>
      </c>
      <c r="C5" s="13" t="s">
        <v>6593</v>
      </c>
      <c r="D5" s="25" t="s">
        <v>6593</v>
      </c>
      <c r="E5" s="13"/>
      <c r="F5" s="41"/>
      <c r="G5" s="41"/>
      <c r="H5" s="41"/>
      <c r="I5" s="41"/>
      <c r="J5" s="41"/>
      <c r="K5" s="65" t="str">
        <f>IFERROR(VLOOKUP(D5,Sheet4!A$1:M$56,11,FALSE),"")</f>
        <v/>
      </c>
      <c r="L5" s="65" t="str">
        <f t="shared" si="0"/>
        <v/>
      </c>
      <c r="M5" s="14" t="s">
        <v>49</v>
      </c>
      <c r="N5" s="15">
        <v>44803</v>
      </c>
      <c r="O5" t="s">
        <v>2719</v>
      </c>
      <c r="P5" t="s">
        <v>51</v>
      </c>
      <c r="Q5" t="s">
        <v>52</v>
      </c>
      <c r="R5" t="s">
        <v>53</v>
      </c>
      <c r="S5" t="s">
        <v>6554</v>
      </c>
      <c r="T5" t="s">
        <v>6555</v>
      </c>
      <c r="U5" t="s">
        <v>56</v>
      </c>
      <c r="V5" t="s">
        <v>6556</v>
      </c>
      <c r="W5" s="21" t="s">
        <v>6557</v>
      </c>
      <c r="X5" t="s">
        <v>6594</v>
      </c>
      <c r="Y5" t="s">
        <v>6595</v>
      </c>
      <c r="AC5" t="s">
        <v>60</v>
      </c>
      <c r="AE5" s="15"/>
      <c r="AG5">
        <v>34.805005999999999</v>
      </c>
      <c r="AH5">
        <v>-92.327102999999994</v>
      </c>
      <c r="AI5" t="s">
        <v>6596</v>
      </c>
      <c r="AL5" t="s">
        <v>1715</v>
      </c>
      <c r="AM5" t="s">
        <v>63</v>
      </c>
      <c r="AN5" t="s">
        <v>6597</v>
      </c>
      <c r="AO5">
        <v>194575</v>
      </c>
      <c r="AQ5" t="s">
        <v>6598</v>
      </c>
      <c r="AR5" t="s">
        <v>6599</v>
      </c>
      <c r="AS5" t="s">
        <v>6600</v>
      </c>
      <c r="AT5" t="s">
        <v>68</v>
      </c>
      <c r="AV5" t="s">
        <v>6601</v>
      </c>
      <c r="AW5" t="s">
        <v>6602</v>
      </c>
      <c r="AX5" t="s">
        <v>6603</v>
      </c>
      <c r="BA5" s="14" t="s">
        <v>72</v>
      </c>
      <c r="BB5" s="14" t="s">
        <v>73</v>
      </c>
      <c r="BC5" s="14" t="s">
        <v>74</v>
      </c>
    </row>
    <row r="6" spans="1:55" ht="15" customHeight="1" x14ac:dyDescent="0.4">
      <c r="A6" s="12">
        <v>3896</v>
      </c>
      <c r="B6" s="21" t="s">
        <v>6604</v>
      </c>
      <c r="C6" s="13" t="s">
        <v>6605</v>
      </c>
      <c r="D6" s="25" t="s">
        <v>6605</v>
      </c>
      <c r="E6" s="13"/>
      <c r="F6" s="41"/>
      <c r="G6" s="41"/>
      <c r="H6" s="41"/>
      <c r="I6" s="41"/>
      <c r="J6" s="41"/>
      <c r="K6" s="65" t="str">
        <f>IFERROR(VLOOKUP(D6,Sheet4!A$1:M$56,11,FALSE),"")</f>
        <v/>
      </c>
      <c r="L6" s="65" t="str">
        <f t="shared" si="0"/>
        <v/>
      </c>
      <c r="M6" s="14" t="s">
        <v>1752</v>
      </c>
      <c r="N6" s="15">
        <v>44803</v>
      </c>
      <c r="O6" t="s">
        <v>2719</v>
      </c>
      <c r="P6" t="s">
        <v>51</v>
      </c>
      <c r="Q6" t="s">
        <v>52</v>
      </c>
      <c r="R6" t="s">
        <v>53</v>
      </c>
      <c r="S6" t="s">
        <v>6554</v>
      </c>
      <c r="T6" t="s">
        <v>6555</v>
      </c>
      <c r="U6" t="s">
        <v>56</v>
      </c>
      <c r="V6" t="s">
        <v>6556</v>
      </c>
      <c r="W6" s="21" t="s">
        <v>6557</v>
      </c>
      <c r="X6" t="s">
        <v>6606</v>
      </c>
      <c r="Y6" t="s">
        <v>6607</v>
      </c>
      <c r="AC6" t="s">
        <v>1759</v>
      </c>
      <c r="AE6" s="15"/>
      <c r="AG6">
        <v>34.805382000000002</v>
      </c>
      <c r="AH6">
        <v>-92.327056999999996</v>
      </c>
      <c r="AI6" t="s">
        <v>6608</v>
      </c>
      <c r="AL6" t="s">
        <v>1715</v>
      </c>
      <c r="AM6" t="s">
        <v>63</v>
      </c>
      <c r="AN6" t="s">
        <v>6609</v>
      </c>
      <c r="AO6">
        <v>193549</v>
      </c>
      <c r="AQ6" t="s">
        <v>6610</v>
      </c>
      <c r="AR6" t="s">
        <v>6611</v>
      </c>
      <c r="AS6" t="s">
        <v>6612</v>
      </c>
      <c r="AT6" t="s">
        <v>68</v>
      </c>
      <c r="AV6" t="s">
        <v>6613</v>
      </c>
      <c r="AW6" t="s">
        <v>6614</v>
      </c>
      <c r="AX6" t="s">
        <v>6615</v>
      </c>
      <c r="BA6" s="14" t="s">
        <v>72</v>
      </c>
      <c r="BB6" s="14" t="s">
        <v>73</v>
      </c>
      <c r="BC6" s="14" t="s">
        <v>1768</v>
      </c>
    </row>
    <row r="7" spans="1:55" ht="15" customHeight="1" x14ac:dyDescent="0.4">
      <c r="A7" s="12">
        <v>3897</v>
      </c>
      <c r="B7" s="21" t="s">
        <v>6616</v>
      </c>
      <c r="C7" s="13" t="s">
        <v>6617</v>
      </c>
      <c r="D7" s="25" t="s">
        <v>6617</v>
      </c>
      <c r="E7" s="13"/>
      <c r="F7" s="41"/>
      <c r="G7" s="41"/>
      <c r="H7" s="41"/>
      <c r="I7" s="41"/>
      <c r="J7" s="41"/>
      <c r="K7" s="65" t="str">
        <f>IFERROR(VLOOKUP(D7,Sheet4!A$1:M$56,11,FALSE),"")</f>
        <v/>
      </c>
      <c r="L7" s="65" t="str">
        <f t="shared" si="0"/>
        <v/>
      </c>
      <c r="M7" s="14" t="s">
        <v>2006</v>
      </c>
      <c r="N7" s="15">
        <v>44803</v>
      </c>
      <c r="O7" t="s">
        <v>2719</v>
      </c>
      <c r="P7" t="s">
        <v>51</v>
      </c>
      <c r="Q7" t="s">
        <v>52</v>
      </c>
      <c r="R7" t="s">
        <v>53</v>
      </c>
      <c r="S7" t="s">
        <v>6554</v>
      </c>
      <c r="T7" t="s">
        <v>6555</v>
      </c>
      <c r="U7" t="s">
        <v>56</v>
      </c>
      <c r="V7" t="s">
        <v>6556</v>
      </c>
      <c r="W7" s="21" t="s">
        <v>6557</v>
      </c>
      <c r="X7" t="s">
        <v>6618</v>
      </c>
      <c r="Y7" t="s">
        <v>6619</v>
      </c>
      <c r="AC7" t="s">
        <v>2009</v>
      </c>
      <c r="AE7" s="15"/>
      <c r="AG7">
        <v>34.805731000000002</v>
      </c>
      <c r="AH7">
        <v>-92.327413000000007</v>
      </c>
      <c r="AI7" t="s">
        <v>2103</v>
      </c>
      <c r="AL7" t="s">
        <v>1715</v>
      </c>
      <c r="AM7" t="s">
        <v>63</v>
      </c>
      <c r="AN7" t="s">
        <v>6620</v>
      </c>
      <c r="AO7">
        <v>194235</v>
      </c>
      <c r="AQ7" t="s">
        <v>6621</v>
      </c>
      <c r="AR7" t="s">
        <v>6622</v>
      </c>
      <c r="AS7" t="s">
        <v>6623</v>
      </c>
      <c r="AT7" t="s">
        <v>68</v>
      </c>
      <c r="AV7" t="s">
        <v>6624</v>
      </c>
      <c r="AW7" t="s">
        <v>6625</v>
      </c>
      <c r="AX7" t="s">
        <v>6626</v>
      </c>
      <c r="BA7" s="14" t="s">
        <v>72</v>
      </c>
      <c r="BB7" s="14" t="s">
        <v>73</v>
      </c>
      <c r="BC7" s="14" t="s">
        <v>74</v>
      </c>
    </row>
    <row r="8" spans="1:55" ht="15" customHeight="1" x14ac:dyDescent="0.4">
      <c r="A8" s="12">
        <v>3898</v>
      </c>
      <c r="B8" s="21" t="s">
        <v>6627</v>
      </c>
      <c r="C8" s="13" t="s">
        <v>6628</v>
      </c>
      <c r="D8" s="25" t="s">
        <v>6628</v>
      </c>
      <c r="E8" s="13"/>
      <c r="F8" s="41"/>
      <c r="G8" s="41"/>
      <c r="H8" s="41"/>
      <c r="I8" s="41"/>
      <c r="J8" s="41"/>
      <c r="K8" s="65" t="str">
        <f>IFERROR(VLOOKUP(D8,Sheet4!A$1:M$56,11,FALSE),"")</f>
        <v/>
      </c>
      <c r="L8" s="65" t="str">
        <f t="shared" si="0"/>
        <v/>
      </c>
      <c r="M8" s="14" t="s">
        <v>1878</v>
      </c>
      <c r="N8" s="15">
        <v>44803</v>
      </c>
      <c r="O8" t="s">
        <v>2719</v>
      </c>
      <c r="P8" t="s">
        <v>51</v>
      </c>
      <c r="Q8" t="s">
        <v>52</v>
      </c>
      <c r="R8" t="s">
        <v>53</v>
      </c>
      <c r="S8" t="s">
        <v>6554</v>
      </c>
      <c r="T8" t="s">
        <v>6555</v>
      </c>
      <c r="U8" t="s">
        <v>56</v>
      </c>
      <c r="V8" t="s">
        <v>6556</v>
      </c>
      <c r="W8" s="21" t="s">
        <v>6557</v>
      </c>
      <c r="X8" t="s">
        <v>6629</v>
      </c>
      <c r="Y8" t="s">
        <v>6630</v>
      </c>
      <c r="AC8" t="s">
        <v>1881</v>
      </c>
      <c r="AE8" s="15"/>
      <c r="AG8">
        <v>34.805909999999997</v>
      </c>
      <c r="AH8">
        <v>-92.327567999999999</v>
      </c>
      <c r="AI8" t="s">
        <v>6631</v>
      </c>
      <c r="AL8" t="s">
        <v>1715</v>
      </c>
      <c r="AM8" t="s">
        <v>63</v>
      </c>
      <c r="AN8" t="s">
        <v>6632</v>
      </c>
      <c r="AO8">
        <v>194165</v>
      </c>
      <c r="AQ8" t="s">
        <v>6633</v>
      </c>
      <c r="AR8" t="s">
        <v>6634</v>
      </c>
      <c r="AS8" t="s">
        <v>6635</v>
      </c>
      <c r="AT8" t="s">
        <v>68</v>
      </c>
      <c r="AV8" t="s">
        <v>6636</v>
      </c>
      <c r="AW8" t="s">
        <v>6637</v>
      </c>
      <c r="AX8" t="s">
        <v>6638</v>
      </c>
      <c r="BA8" s="14" t="s">
        <v>72</v>
      </c>
      <c r="BB8" s="14" t="s">
        <v>73</v>
      </c>
      <c r="BC8" s="14" t="s">
        <v>1723</v>
      </c>
    </row>
    <row r="9" spans="1:55" ht="15" customHeight="1" x14ac:dyDescent="0.4">
      <c r="A9" s="12">
        <v>3899</v>
      </c>
      <c r="B9" s="21" t="s">
        <v>6639</v>
      </c>
      <c r="C9" s="13" t="s">
        <v>6640</v>
      </c>
      <c r="D9" s="25" t="s">
        <v>6640</v>
      </c>
      <c r="E9" s="13"/>
      <c r="F9" s="41"/>
      <c r="G9" s="41"/>
      <c r="H9" s="41"/>
      <c r="I9" s="41"/>
      <c r="J9" s="41"/>
      <c r="K9" s="65" t="str">
        <f>IFERROR(VLOOKUP(D9,Sheet4!A$1:M$56,11,FALSE),"")</f>
        <v/>
      </c>
      <c r="L9" s="65" t="str">
        <f t="shared" si="0"/>
        <v/>
      </c>
      <c r="M9" s="14" t="s">
        <v>1752</v>
      </c>
      <c r="N9" s="15">
        <v>44803</v>
      </c>
      <c r="O9" t="s">
        <v>2719</v>
      </c>
      <c r="P9" t="s">
        <v>51</v>
      </c>
      <c r="Q9" t="s">
        <v>52</v>
      </c>
      <c r="R9" t="s">
        <v>53</v>
      </c>
      <c r="S9" t="s">
        <v>6554</v>
      </c>
      <c r="T9" t="s">
        <v>6555</v>
      </c>
      <c r="U9" t="s">
        <v>56</v>
      </c>
      <c r="V9" t="s">
        <v>6556</v>
      </c>
      <c r="W9" s="21" t="s">
        <v>6557</v>
      </c>
      <c r="X9" t="s">
        <v>6641</v>
      </c>
      <c r="Y9" t="s">
        <v>6642</v>
      </c>
      <c r="AC9" t="s">
        <v>1759</v>
      </c>
      <c r="AE9" s="15"/>
      <c r="AG9">
        <v>34.806736999999998</v>
      </c>
      <c r="AH9">
        <v>-92.328942999999995</v>
      </c>
      <c r="AI9" t="s">
        <v>6643</v>
      </c>
      <c r="AL9" t="s">
        <v>1715</v>
      </c>
      <c r="AM9" t="s">
        <v>63</v>
      </c>
      <c r="AN9" t="s">
        <v>6644</v>
      </c>
      <c r="AO9">
        <v>193550</v>
      </c>
      <c r="AQ9" t="s">
        <v>6645</v>
      </c>
      <c r="AR9" t="s">
        <v>6646</v>
      </c>
      <c r="AS9" t="s">
        <v>6647</v>
      </c>
      <c r="AT9" t="s">
        <v>68</v>
      </c>
      <c r="AV9" t="s">
        <v>6648</v>
      </c>
      <c r="AW9" t="s">
        <v>6649</v>
      </c>
      <c r="AX9" t="s">
        <v>6650</v>
      </c>
      <c r="BA9" s="14" t="s">
        <v>72</v>
      </c>
      <c r="BB9" s="14" t="s">
        <v>73</v>
      </c>
      <c r="BC9" s="14" t="s">
        <v>1768</v>
      </c>
    </row>
    <row r="10" spans="1:55" ht="15" customHeight="1" x14ac:dyDescent="0.4">
      <c r="A10" s="12">
        <v>3900</v>
      </c>
      <c r="B10" s="21" t="s">
        <v>6651</v>
      </c>
      <c r="C10" s="13" t="s">
        <v>6652</v>
      </c>
      <c r="D10" s="25" t="s">
        <v>6652</v>
      </c>
      <c r="E10" s="13"/>
      <c r="F10" s="41"/>
      <c r="G10" s="41"/>
      <c r="H10" s="41"/>
      <c r="I10" s="41"/>
      <c r="J10" s="41"/>
      <c r="K10" s="65" t="str">
        <f>IFERROR(VLOOKUP(D10,Sheet4!A$1:M$56,11,FALSE),"")</f>
        <v>Based on ADMIXTURE results of 78,187 SNPs, may be trace admixed with Quercus bicolor</v>
      </c>
      <c r="L10" s="65" t="str">
        <f t="shared" si="0"/>
        <v>Based on ADMIXTURE results of 78,187 SNPs, may be trace admixed with Quercus bicolor</v>
      </c>
      <c r="M10" s="14" t="s">
        <v>49</v>
      </c>
      <c r="N10" s="15">
        <v>44803</v>
      </c>
      <c r="O10" t="s">
        <v>2719</v>
      </c>
      <c r="P10" t="s">
        <v>51</v>
      </c>
      <c r="Q10" t="s">
        <v>52</v>
      </c>
      <c r="R10" t="s">
        <v>53</v>
      </c>
      <c r="S10" t="s">
        <v>6554</v>
      </c>
      <c r="T10" t="s">
        <v>6555</v>
      </c>
      <c r="U10" t="s">
        <v>56</v>
      </c>
      <c r="V10" t="s">
        <v>6556</v>
      </c>
      <c r="W10" s="21" t="s">
        <v>6557</v>
      </c>
      <c r="X10" t="s">
        <v>6653</v>
      </c>
      <c r="Y10" t="s">
        <v>6654</v>
      </c>
      <c r="AC10" t="s">
        <v>60</v>
      </c>
      <c r="AE10" s="15"/>
      <c r="AG10">
        <v>34.806243000000002</v>
      </c>
      <c r="AH10">
        <v>-92.330089999999998</v>
      </c>
      <c r="AI10" t="s">
        <v>6655</v>
      </c>
      <c r="AL10" t="s">
        <v>1715</v>
      </c>
      <c r="AM10" t="s">
        <v>63</v>
      </c>
      <c r="AN10" t="s">
        <v>6656</v>
      </c>
      <c r="AO10">
        <v>194574</v>
      </c>
      <c r="AQ10" t="s">
        <v>6657</v>
      </c>
      <c r="AR10" t="s">
        <v>6658</v>
      </c>
      <c r="AS10" t="s">
        <v>6659</v>
      </c>
      <c r="AT10" t="s">
        <v>68</v>
      </c>
      <c r="AV10" t="s">
        <v>6660</v>
      </c>
      <c r="AW10" t="s">
        <v>6661</v>
      </c>
      <c r="AX10" t="s">
        <v>6662</v>
      </c>
      <c r="BA10" s="14" t="s">
        <v>72</v>
      </c>
      <c r="BB10" s="14" t="s">
        <v>73</v>
      </c>
      <c r="BC10" s="14" t="s">
        <v>74</v>
      </c>
    </row>
    <row r="11" spans="1:55" ht="15" customHeight="1" x14ac:dyDescent="0.4">
      <c r="A11" s="12">
        <v>3901</v>
      </c>
      <c r="B11" s="21" t="s">
        <v>6663</v>
      </c>
      <c r="C11" s="13" t="s">
        <v>6664</v>
      </c>
      <c r="D11" s="25" t="s">
        <v>6664</v>
      </c>
      <c r="E11" s="13"/>
      <c r="F11" s="41"/>
      <c r="G11" s="41"/>
      <c r="H11" s="41"/>
      <c r="I11" s="41"/>
      <c r="J11" s="41"/>
      <c r="K11" s="65" t="str">
        <f>IFERROR(VLOOKUP(D11,Sheet4!A$1:M$56,11,FALSE),"")</f>
        <v/>
      </c>
      <c r="L11" s="65" t="str">
        <f t="shared" si="0"/>
        <v/>
      </c>
      <c r="M11" s="14" t="s">
        <v>2006</v>
      </c>
      <c r="N11" s="15">
        <v>44803</v>
      </c>
      <c r="O11" t="s">
        <v>2719</v>
      </c>
      <c r="P11" t="s">
        <v>51</v>
      </c>
      <c r="Q11" t="s">
        <v>52</v>
      </c>
      <c r="R11" t="s">
        <v>53</v>
      </c>
      <c r="S11" t="s">
        <v>6554</v>
      </c>
      <c r="T11" t="s">
        <v>6555</v>
      </c>
      <c r="U11" t="s">
        <v>56</v>
      </c>
      <c r="V11" t="s">
        <v>6556</v>
      </c>
      <c r="W11" s="21" t="s">
        <v>6557</v>
      </c>
      <c r="X11" t="s">
        <v>6665</v>
      </c>
      <c r="Y11" t="s">
        <v>6666</v>
      </c>
      <c r="AB11" t="s">
        <v>2336</v>
      </c>
      <c r="AC11" t="s">
        <v>2009</v>
      </c>
      <c r="AE11" s="15"/>
      <c r="AG11">
        <v>34.806528</v>
      </c>
      <c r="AH11">
        <v>-92.330323000000007</v>
      </c>
      <c r="AI11" t="s">
        <v>6572</v>
      </c>
      <c r="AL11" t="s">
        <v>1715</v>
      </c>
      <c r="AM11" t="s">
        <v>63</v>
      </c>
      <c r="AN11" t="s">
        <v>6667</v>
      </c>
      <c r="AO11">
        <v>194236</v>
      </c>
      <c r="AQ11" t="s">
        <v>6668</v>
      </c>
      <c r="AR11" t="s">
        <v>6669</v>
      </c>
      <c r="AS11" t="s">
        <v>6670</v>
      </c>
      <c r="AT11" t="s">
        <v>68</v>
      </c>
      <c r="AV11" t="s">
        <v>6671</v>
      </c>
      <c r="AW11" t="s">
        <v>6672</v>
      </c>
      <c r="AX11" t="s">
        <v>6673</v>
      </c>
      <c r="BA11" s="14" t="s">
        <v>72</v>
      </c>
      <c r="BB11" s="14" t="s">
        <v>73</v>
      </c>
      <c r="BC11" s="14" t="s">
        <v>74</v>
      </c>
    </row>
    <row r="12" spans="1:55" ht="15" customHeight="1" x14ac:dyDescent="0.4">
      <c r="A12" s="12">
        <v>3902</v>
      </c>
      <c r="B12" s="21" t="s">
        <v>6674</v>
      </c>
      <c r="C12" s="13" t="s">
        <v>6675</v>
      </c>
      <c r="D12" s="25" t="s">
        <v>6675</v>
      </c>
      <c r="E12" s="13"/>
      <c r="F12" s="41"/>
      <c r="G12" s="41"/>
      <c r="H12" s="41"/>
      <c r="I12" s="41"/>
      <c r="J12" s="41"/>
      <c r="K12" s="65" t="str">
        <f>IFERROR(VLOOKUP(D12,Sheet4!A$1:M$56,11,FALSE),"")</f>
        <v/>
      </c>
      <c r="L12" s="65" t="str">
        <f t="shared" si="0"/>
        <v/>
      </c>
      <c r="M12" s="14" t="s">
        <v>1752</v>
      </c>
      <c r="N12" s="15">
        <v>44803</v>
      </c>
      <c r="O12" t="s">
        <v>2719</v>
      </c>
      <c r="P12" t="s">
        <v>51</v>
      </c>
      <c r="Q12" t="s">
        <v>52</v>
      </c>
      <c r="R12" t="s">
        <v>53</v>
      </c>
      <c r="S12" t="s">
        <v>6554</v>
      </c>
      <c r="T12" t="s">
        <v>6555</v>
      </c>
      <c r="U12" t="s">
        <v>56</v>
      </c>
      <c r="V12" t="s">
        <v>6556</v>
      </c>
      <c r="W12" s="21" t="s">
        <v>6557</v>
      </c>
      <c r="X12" t="s">
        <v>6676</v>
      </c>
      <c r="Y12" t="s">
        <v>6677</v>
      </c>
      <c r="AC12" t="s">
        <v>1759</v>
      </c>
      <c r="AE12" s="15"/>
      <c r="AG12">
        <v>34.806536000000001</v>
      </c>
      <c r="AH12">
        <v>-92.330337999999998</v>
      </c>
      <c r="AI12" t="s">
        <v>6678</v>
      </c>
      <c r="AL12" t="s">
        <v>1715</v>
      </c>
      <c r="AM12" t="s">
        <v>63</v>
      </c>
      <c r="AN12" t="s">
        <v>6679</v>
      </c>
      <c r="AO12">
        <v>193551</v>
      </c>
      <c r="AQ12" t="s">
        <v>6680</v>
      </c>
      <c r="AR12" t="s">
        <v>6681</v>
      </c>
      <c r="AS12" t="s">
        <v>6682</v>
      </c>
      <c r="AT12" t="s">
        <v>68</v>
      </c>
      <c r="AV12" t="s">
        <v>6683</v>
      </c>
      <c r="AW12" t="s">
        <v>6684</v>
      </c>
      <c r="AX12" t="s">
        <v>6685</v>
      </c>
      <c r="BA12" s="14" t="s">
        <v>72</v>
      </c>
      <c r="BB12" s="14" t="s">
        <v>73</v>
      </c>
      <c r="BC12" s="14" t="s">
        <v>1768</v>
      </c>
    </row>
    <row r="13" spans="1:55" ht="15" customHeight="1" x14ac:dyDescent="0.4">
      <c r="A13" s="12">
        <v>3903</v>
      </c>
      <c r="B13" s="21" t="s">
        <v>6686</v>
      </c>
      <c r="C13" s="13" t="s">
        <v>6687</v>
      </c>
      <c r="D13" s="25" t="s">
        <v>6687</v>
      </c>
      <c r="E13" s="13"/>
      <c r="F13" s="41"/>
      <c r="G13" s="41"/>
      <c r="H13" s="41"/>
      <c r="I13" s="41"/>
      <c r="J13" s="41"/>
      <c r="K13" s="65" t="str">
        <f>IFERROR(VLOOKUP(D13,Sheet4!A$1:M$56,11,FALSE),"")</f>
        <v/>
      </c>
      <c r="L13" s="65" t="str">
        <f t="shared" si="0"/>
        <v/>
      </c>
      <c r="M13" s="14" t="s">
        <v>1878</v>
      </c>
      <c r="N13" s="15">
        <v>44803</v>
      </c>
      <c r="O13" t="s">
        <v>2719</v>
      </c>
      <c r="P13" t="s">
        <v>51</v>
      </c>
      <c r="Q13" t="s">
        <v>52</v>
      </c>
      <c r="R13" t="s">
        <v>53</v>
      </c>
      <c r="S13" t="s">
        <v>6554</v>
      </c>
      <c r="T13" t="s">
        <v>6555</v>
      </c>
      <c r="U13" t="s">
        <v>56</v>
      </c>
      <c r="V13" t="s">
        <v>6556</v>
      </c>
      <c r="W13" s="21" t="s">
        <v>6557</v>
      </c>
      <c r="X13" t="s">
        <v>6688</v>
      </c>
      <c r="Y13" t="s">
        <v>6689</v>
      </c>
      <c r="AC13" t="s">
        <v>1881</v>
      </c>
      <c r="AE13" s="15"/>
      <c r="AG13">
        <v>34.803472999999997</v>
      </c>
      <c r="AH13">
        <v>-92.329470999999998</v>
      </c>
      <c r="AI13" t="s">
        <v>6690</v>
      </c>
      <c r="AL13" t="s">
        <v>1715</v>
      </c>
      <c r="AM13" t="s">
        <v>63</v>
      </c>
      <c r="AN13" t="s">
        <v>6691</v>
      </c>
      <c r="AO13">
        <v>194166</v>
      </c>
      <c r="AQ13" t="s">
        <v>6692</v>
      </c>
      <c r="AR13" t="s">
        <v>6693</v>
      </c>
      <c r="AS13" t="s">
        <v>6694</v>
      </c>
      <c r="AT13" t="s">
        <v>68</v>
      </c>
      <c r="AV13" t="s">
        <v>6695</v>
      </c>
      <c r="AW13" t="s">
        <v>6696</v>
      </c>
      <c r="AX13" t="s">
        <v>6697</v>
      </c>
      <c r="BA13" s="14" t="s">
        <v>72</v>
      </c>
      <c r="BB13" s="14" t="s">
        <v>73</v>
      </c>
      <c r="BC13" s="14" t="s">
        <v>1723</v>
      </c>
    </row>
    <row r="14" spans="1:55" ht="15" customHeight="1" x14ac:dyDescent="0.4">
      <c r="A14" s="12">
        <v>3904</v>
      </c>
      <c r="B14" s="21" t="s">
        <v>6698</v>
      </c>
      <c r="C14" s="13" t="s">
        <v>6699</v>
      </c>
      <c r="D14" s="25" t="s">
        <v>6699</v>
      </c>
      <c r="E14" s="13"/>
      <c r="F14" s="41"/>
      <c r="G14" s="41"/>
      <c r="H14" s="41"/>
      <c r="I14" s="41"/>
      <c r="J14" s="41"/>
      <c r="K14" s="65" t="str">
        <f>IFERROR(VLOOKUP(D14,Sheet4!A$1:M$56,11,FALSE),"")</f>
        <v/>
      </c>
      <c r="L14" s="65" t="str">
        <f t="shared" si="0"/>
        <v/>
      </c>
      <c r="M14" s="14" t="s">
        <v>1829</v>
      </c>
      <c r="N14" s="15">
        <v>44803</v>
      </c>
      <c r="O14" t="s">
        <v>2719</v>
      </c>
      <c r="P14" t="s">
        <v>51</v>
      </c>
      <c r="Q14" t="s">
        <v>52</v>
      </c>
      <c r="R14" t="s">
        <v>53</v>
      </c>
      <c r="S14" t="s">
        <v>6554</v>
      </c>
      <c r="T14" t="s">
        <v>6555</v>
      </c>
      <c r="U14" t="s">
        <v>56</v>
      </c>
      <c r="V14" t="s">
        <v>6556</v>
      </c>
      <c r="W14" s="21" t="s">
        <v>6557</v>
      </c>
      <c r="X14" t="s">
        <v>6700</v>
      </c>
      <c r="Y14" t="s">
        <v>6701</v>
      </c>
      <c r="AC14" t="s">
        <v>1832</v>
      </c>
      <c r="AE14" s="15"/>
      <c r="AG14">
        <v>34.801994999999998</v>
      </c>
      <c r="AH14">
        <v>-92.328254999999999</v>
      </c>
      <c r="AI14" t="s">
        <v>6702</v>
      </c>
      <c r="AL14" t="s">
        <v>1715</v>
      </c>
      <c r="AM14" t="s">
        <v>63</v>
      </c>
      <c r="AN14" t="s">
        <v>6703</v>
      </c>
      <c r="AO14">
        <v>194498</v>
      </c>
      <c r="AQ14" t="s">
        <v>6704</v>
      </c>
      <c r="AR14" t="s">
        <v>6705</v>
      </c>
      <c r="AS14" t="s">
        <v>6706</v>
      </c>
      <c r="AT14" t="s">
        <v>68</v>
      </c>
      <c r="AV14" t="s">
        <v>6707</v>
      </c>
      <c r="AW14" t="s">
        <v>6708</v>
      </c>
      <c r="AX14" t="s">
        <v>6709</v>
      </c>
      <c r="BA14" s="14" t="s">
        <v>72</v>
      </c>
      <c r="BB14" s="14" t="s">
        <v>73</v>
      </c>
      <c r="BC14" s="14" t="s">
        <v>74</v>
      </c>
    </row>
    <row r="15" spans="1:55" ht="15" customHeight="1" x14ac:dyDescent="0.4">
      <c r="A15" s="12">
        <v>3905</v>
      </c>
      <c r="B15" s="21" t="s">
        <v>6710</v>
      </c>
      <c r="C15" s="13" t="s">
        <v>6711</v>
      </c>
      <c r="D15" s="25" t="s">
        <v>6711</v>
      </c>
      <c r="E15" s="13"/>
      <c r="F15" s="41"/>
      <c r="G15" s="41"/>
      <c r="H15" s="41"/>
      <c r="I15" s="41"/>
      <c r="J15" s="41"/>
      <c r="K15" s="65" t="str">
        <f>IFERROR(VLOOKUP(D15,Sheet4!A$1:M$56,11,FALSE),"")</f>
        <v/>
      </c>
      <c r="L15" s="65" t="str">
        <f t="shared" si="0"/>
        <v/>
      </c>
      <c r="M15" s="14" t="s">
        <v>1829</v>
      </c>
      <c r="N15" s="15">
        <v>44803</v>
      </c>
      <c r="O15" t="s">
        <v>2719</v>
      </c>
      <c r="P15" t="s">
        <v>51</v>
      </c>
      <c r="Q15" t="s">
        <v>52</v>
      </c>
      <c r="R15" t="s">
        <v>53</v>
      </c>
      <c r="S15" t="s">
        <v>6554</v>
      </c>
      <c r="T15" t="s">
        <v>6555</v>
      </c>
      <c r="U15" t="s">
        <v>56</v>
      </c>
      <c r="V15" t="s">
        <v>6556</v>
      </c>
      <c r="W15" s="21" t="s">
        <v>6557</v>
      </c>
      <c r="X15" t="s">
        <v>6712</v>
      </c>
      <c r="Y15" t="s">
        <v>6713</v>
      </c>
      <c r="AC15" t="s">
        <v>1832</v>
      </c>
      <c r="AE15" s="15"/>
      <c r="AG15">
        <v>34.801788999999999</v>
      </c>
      <c r="AH15">
        <v>-92.328063</v>
      </c>
      <c r="AI15" t="s">
        <v>6714</v>
      </c>
      <c r="AL15" t="s">
        <v>1715</v>
      </c>
      <c r="AM15" t="s">
        <v>63</v>
      </c>
      <c r="AN15" t="s">
        <v>6715</v>
      </c>
      <c r="AO15">
        <v>194499</v>
      </c>
      <c r="AQ15" t="s">
        <v>6716</v>
      </c>
      <c r="AR15" t="s">
        <v>6717</v>
      </c>
      <c r="AS15" t="s">
        <v>6718</v>
      </c>
      <c r="AT15" t="s">
        <v>68</v>
      </c>
      <c r="AV15" t="s">
        <v>6719</v>
      </c>
      <c r="AW15" t="s">
        <v>6720</v>
      </c>
      <c r="AX15" t="s">
        <v>6721</v>
      </c>
      <c r="BA15" s="14" t="s">
        <v>72</v>
      </c>
      <c r="BB15" s="14" t="s">
        <v>73</v>
      </c>
      <c r="BC15" s="14" t="s">
        <v>74</v>
      </c>
    </row>
    <row r="16" spans="1:55" ht="15" customHeight="1" x14ac:dyDescent="0.4">
      <c r="A16" s="12">
        <v>3906</v>
      </c>
      <c r="B16" s="21" t="s">
        <v>6722</v>
      </c>
      <c r="C16" s="13" t="s">
        <v>6723</v>
      </c>
      <c r="D16" s="25" t="s">
        <v>6723</v>
      </c>
      <c r="E16" s="13"/>
      <c r="F16" s="41"/>
      <c r="G16" s="41"/>
      <c r="H16" s="41"/>
      <c r="I16" s="41"/>
      <c r="J16" s="41"/>
      <c r="K16" s="65" t="str">
        <f>IFERROR(VLOOKUP(D16,Sheet4!A$1:M$56,11,FALSE),"")</f>
        <v/>
      </c>
      <c r="L16" s="65" t="str">
        <f t="shared" si="0"/>
        <v/>
      </c>
      <c r="M16" s="14" t="s">
        <v>49</v>
      </c>
      <c r="N16" s="15">
        <v>44803</v>
      </c>
      <c r="O16" t="s">
        <v>2719</v>
      </c>
      <c r="P16" t="s">
        <v>51</v>
      </c>
      <c r="Q16" t="s">
        <v>52</v>
      </c>
      <c r="R16" t="s">
        <v>53</v>
      </c>
      <c r="S16" t="s">
        <v>6554</v>
      </c>
      <c r="T16" t="s">
        <v>6555</v>
      </c>
      <c r="U16" t="s">
        <v>56</v>
      </c>
      <c r="V16" t="s">
        <v>6556</v>
      </c>
      <c r="W16" s="21" t="s">
        <v>6557</v>
      </c>
      <c r="X16" t="s">
        <v>6724</v>
      </c>
      <c r="Y16" t="s">
        <v>6725</v>
      </c>
      <c r="AC16" t="s">
        <v>60</v>
      </c>
      <c r="AE16" s="15"/>
      <c r="AG16">
        <v>34.802582000000001</v>
      </c>
      <c r="AH16">
        <v>-92.327239000000006</v>
      </c>
      <c r="AI16" t="s">
        <v>6643</v>
      </c>
      <c r="AL16" t="s">
        <v>1715</v>
      </c>
      <c r="AM16" t="s">
        <v>63</v>
      </c>
      <c r="AN16" t="s">
        <v>6726</v>
      </c>
      <c r="AO16">
        <v>194573</v>
      </c>
      <c r="AQ16" t="s">
        <v>6727</v>
      </c>
      <c r="AR16" t="s">
        <v>6728</v>
      </c>
      <c r="AS16" t="s">
        <v>6729</v>
      </c>
      <c r="AT16" t="s">
        <v>68</v>
      </c>
      <c r="AV16" t="s">
        <v>6730</v>
      </c>
      <c r="AW16" t="s">
        <v>6731</v>
      </c>
      <c r="AX16" t="s">
        <v>6732</v>
      </c>
      <c r="BA16" s="14" t="s">
        <v>72</v>
      </c>
      <c r="BB16" s="14" t="s">
        <v>73</v>
      </c>
      <c r="BC16" s="14" t="s">
        <v>74</v>
      </c>
    </row>
    <row r="17" spans="1:55" ht="15" customHeight="1" x14ac:dyDescent="0.4">
      <c r="A17" s="12">
        <v>3907</v>
      </c>
      <c r="B17" s="21" t="s">
        <v>6733</v>
      </c>
      <c r="C17" s="13" t="s">
        <v>6734</v>
      </c>
      <c r="D17" s="25" t="s">
        <v>6734</v>
      </c>
      <c r="E17" s="13"/>
      <c r="F17" s="41"/>
      <c r="G17" s="41"/>
      <c r="H17" s="41"/>
      <c r="I17" s="41"/>
      <c r="J17" s="41"/>
      <c r="K17" s="65" t="str">
        <f>IFERROR(VLOOKUP(D17,Sheet4!A$1:M$56,11,FALSE),"")</f>
        <v/>
      </c>
      <c r="L17" s="65" t="str">
        <f t="shared" si="0"/>
        <v/>
      </c>
      <c r="M17" s="14" t="s">
        <v>1878</v>
      </c>
      <c r="N17" s="15">
        <v>44803</v>
      </c>
      <c r="O17" t="s">
        <v>2719</v>
      </c>
      <c r="P17" t="s">
        <v>51</v>
      </c>
      <c r="Q17" t="s">
        <v>52</v>
      </c>
      <c r="R17" t="s">
        <v>53</v>
      </c>
      <c r="S17" t="s">
        <v>6554</v>
      </c>
      <c r="T17" t="s">
        <v>6555</v>
      </c>
      <c r="U17" t="s">
        <v>56</v>
      </c>
      <c r="V17" t="s">
        <v>6556</v>
      </c>
      <c r="W17" s="21" t="s">
        <v>6557</v>
      </c>
      <c r="X17" t="s">
        <v>6735</v>
      </c>
      <c r="Y17" t="s">
        <v>6736</v>
      </c>
      <c r="AC17" t="s">
        <v>1881</v>
      </c>
      <c r="AE17" s="15"/>
      <c r="AG17">
        <v>34.803696000000002</v>
      </c>
      <c r="AH17">
        <v>-92.327312000000006</v>
      </c>
      <c r="AI17" t="s">
        <v>6655</v>
      </c>
      <c r="AL17" t="s">
        <v>1715</v>
      </c>
      <c r="AM17" t="s">
        <v>63</v>
      </c>
      <c r="AN17" t="s">
        <v>6737</v>
      </c>
      <c r="AO17">
        <v>194167</v>
      </c>
      <c r="AQ17" t="s">
        <v>6738</v>
      </c>
      <c r="AR17" t="s">
        <v>6739</v>
      </c>
      <c r="AS17" t="s">
        <v>6740</v>
      </c>
      <c r="AT17" t="s">
        <v>68</v>
      </c>
      <c r="AV17" t="s">
        <v>6741</v>
      </c>
      <c r="AW17" t="s">
        <v>6742</v>
      </c>
      <c r="AX17" t="s">
        <v>6743</v>
      </c>
      <c r="BA17" s="14" t="s">
        <v>72</v>
      </c>
      <c r="BB17" s="14" t="s">
        <v>73</v>
      </c>
      <c r="BC17" s="14" t="s">
        <v>1723</v>
      </c>
    </row>
    <row r="18" spans="1:55" ht="15" customHeight="1" x14ac:dyDescent="0.4">
      <c r="A18" s="12">
        <v>3908</v>
      </c>
      <c r="B18" s="21" t="s">
        <v>6744</v>
      </c>
      <c r="C18" s="13" t="s">
        <v>6745</v>
      </c>
      <c r="D18" s="25" t="s">
        <v>6745</v>
      </c>
      <c r="E18" s="13"/>
      <c r="F18" s="41"/>
      <c r="G18" s="41"/>
      <c r="H18" s="41"/>
      <c r="I18" s="41"/>
      <c r="J18" s="41"/>
      <c r="K18" s="65" t="str">
        <f>IFERROR(VLOOKUP(D18,Sheet4!A$1:M$56,11,FALSE),"")</f>
        <v/>
      </c>
      <c r="L18" s="65" t="str">
        <f t="shared" si="0"/>
        <v/>
      </c>
      <c r="M18" s="14" t="s">
        <v>1752</v>
      </c>
      <c r="N18" s="15">
        <v>44803</v>
      </c>
      <c r="O18" t="s">
        <v>2719</v>
      </c>
      <c r="P18" t="s">
        <v>51</v>
      </c>
      <c r="Q18" t="s">
        <v>52</v>
      </c>
      <c r="R18" t="s">
        <v>53</v>
      </c>
      <c r="S18" t="s">
        <v>6554</v>
      </c>
      <c r="T18" t="s">
        <v>6555</v>
      </c>
      <c r="U18" t="s">
        <v>56</v>
      </c>
      <c r="V18" t="s">
        <v>6556</v>
      </c>
      <c r="W18" s="21" t="s">
        <v>6557</v>
      </c>
      <c r="X18" t="s">
        <v>6746</v>
      </c>
      <c r="Y18" t="s">
        <v>6747</v>
      </c>
      <c r="AC18" t="s">
        <v>1759</v>
      </c>
      <c r="AE18" s="15"/>
      <c r="AG18">
        <v>34.805413999999999</v>
      </c>
      <c r="AH18">
        <v>-92.324095999999997</v>
      </c>
      <c r="AI18" t="s">
        <v>6572</v>
      </c>
      <c r="AL18" t="s">
        <v>1715</v>
      </c>
      <c r="AM18" t="s">
        <v>63</v>
      </c>
      <c r="AN18" t="s">
        <v>6748</v>
      </c>
      <c r="AO18">
        <v>193552</v>
      </c>
      <c r="AQ18" t="s">
        <v>6749</v>
      </c>
      <c r="AR18" t="s">
        <v>6750</v>
      </c>
      <c r="AS18" t="s">
        <v>6751</v>
      </c>
      <c r="AT18" t="s">
        <v>68</v>
      </c>
      <c r="AV18" t="s">
        <v>6752</v>
      </c>
      <c r="AW18" t="s">
        <v>6753</v>
      </c>
      <c r="AX18" t="s">
        <v>6754</v>
      </c>
      <c r="BA18" s="14" t="s">
        <v>72</v>
      </c>
      <c r="BB18" s="14" t="s">
        <v>73</v>
      </c>
      <c r="BC18" s="14" t="s">
        <v>1768</v>
      </c>
    </row>
    <row r="19" spans="1:55" ht="15" customHeight="1" x14ac:dyDescent="0.4">
      <c r="A19" s="12">
        <v>3909</v>
      </c>
      <c r="B19" s="21" t="s">
        <v>6755</v>
      </c>
      <c r="C19" s="13" t="s">
        <v>6756</v>
      </c>
      <c r="D19" s="25" t="s">
        <v>6756</v>
      </c>
      <c r="E19" s="13"/>
      <c r="F19" s="41"/>
      <c r="G19" s="41"/>
      <c r="H19" s="41"/>
      <c r="I19" s="41"/>
      <c r="J19" s="41"/>
      <c r="K19" s="65" t="str">
        <f>IFERROR(VLOOKUP(D19,Sheet4!A$1:M$56,11,FALSE),"")</f>
        <v/>
      </c>
      <c r="L19" s="65" t="str">
        <f t="shared" si="0"/>
        <v/>
      </c>
      <c r="M19" s="14" t="s">
        <v>49</v>
      </c>
      <c r="N19" s="15">
        <v>44803</v>
      </c>
      <c r="O19" t="s">
        <v>2719</v>
      </c>
      <c r="P19" t="s">
        <v>51</v>
      </c>
      <c r="Q19" t="s">
        <v>52</v>
      </c>
      <c r="R19" t="s">
        <v>53</v>
      </c>
      <c r="S19" t="s">
        <v>6554</v>
      </c>
      <c r="T19" t="s">
        <v>6555</v>
      </c>
      <c r="U19" t="s">
        <v>56</v>
      </c>
      <c r="V19" t="s">
        <v>6556</v>
      </c>
      <c r="W19" s="21" t="s">
        <v>6557</v>
      </c>
      <c r="X19" t="s">
        <v>6757</v>
      </c>
      <c r="Y19" t="s">
        <v>6758</v>
      </c>
      <c r="AB19" t="s">
        <v>1758</v>
      </c>
      <c r="AC19" t="s">
        <v>60</v>
      </c>
      <c r="AE19" s="15"/>
      <c r="AG19">
        <v>34.806089999999998</v>
      </c>
      <c r="AH19">
        <v>-92.323036000000002</v>
      </c>
      <c r="AI19" t="s">
        <v>6560</v>
      </c>
      <c r="AL19" t="s">
        <v>1715</v>
      </c>
      <c r="AM19" t="s">
        <v>63</v>
      </c>
      <c r="AN19" t="s">
        <v>6759</v>
      </c>
      <c r="AO19">
        <v>194572</v>
      </c>
      <c r="AQ19" t="s">
        <v>6760</v>
      </c>
      <c r="AR19" t="s">
        <v>6761</v>
      </c>
      <c r="AS19" t="s">
        <v>6762</v>
      </c>
      <c r="AT19" t="s">
        <v>68</v>
      </c>
      <c r="AV19" t="s">
        <v>6763</v>
      </c>
      <c r="AW19" t="s">
        <v>6764</v>
      </c>
      <c r="AX19" t="s">
        <v>6765</v>
      </c>
      <c r="BA19" s="14" t="s">
        <v>72</v>
      </c>
      <c r="BB19" s="14" t="s">
        <v>73</v>
      </c>
      <c r="BC19" s="14" t="s">
        <v>74</v>
      </c>
    </row>
    <row r="20" spans="1:55" ht="15" customHeight="1" x14ac:dyDescent="0.4">
      <c r="A20" s="12">
        <v>3910</v>
      </c>
      <c r="B20" s="21" t="s">
        <v>6766</v>
      </c>
      <c r="C20" s="13" t="s">
        <v>6767</v>
      </c>
      <c r="D20" s="25" t="s">
        <v>6767</v>
      </c>
      <c r="E20" s="13"/>
      <c r="F20" s="41"/>
      <c r="G20" s="41"/>
      <c r="H20" s="41"/>
      <c r="I20" s="41"/>
      <c r="J20" s="41"/>
      <c r="K20" s="65" t="str">
        <f>IFERROR(VLOOKUP(D20,Sheet4!A$1:M$56,11,FALSE),"")</f>
        <v/>
      </c>
      <c r="L20" s="65" t="str">
        <f t="shared" si="0"/>
        <v/>
      </c>
      <c r="M20" s="14" t="s">
        <v>2006</v>
      </c>
      <c r="N20" s="15">
        <v>44803</v>
      </c>
      <c r="O20" t="s">
        <v>2719</v>
      </c>
      <c r="P20" t="s">
        <v>51</v>
      </c>
      <c r="Q20" t="s">
        <v>52</v>
      </c>
      <c r="R20" t="s">
        <v>53</v>
      </c>
      <c r="S20" t="s">
        <v>6554</v>
      </c>
      <c r="T20" t="s">
        <v>6555</v>
      </c>
      <c r="U20" t="s">
        <v>56</v>
      </c>
      <c r="V20" t="s">
        <v>6556</v>
      </c>
      <c r="W20" s="21" t="s">
        <v>6557</v>
      </c>
      <c r="X20" t="s">
        <v>6768</v>
      </c>
      <c r="Y20" t="s">
        <v>6769</v>
      </c>
      <c r="AB20" t="s">
        <v>1758</v>
      </c>
      <c r="AC20" t="s">
        <v>2009</v>
      </c>
      <c r="AE20" s="15"/>
      <c r="AG20">
        <v>34.806755000000003</v>
      </c>
      <c r="AH20">
        <v>-92.322327999999999</v>
      </c>
      <c r="AI20" t="s">
        <v>6770</v>
      </c>
      <c r="AL20" t="s">
        <v>1715</v>
      </c>
      <c r="AM20" t="s">
        <v>63</v>
      </c>
      <c r="AN20" t="s">
        <v>6771</v>
      </c>
      <c r="AO20">
        <v>194237</v>
      </c>
      <c r="AQ20" t="s">
        <v>6772</v>
      </c>
      <c r="AR20" t="s">
        <v>6773</v>
      </c>
      <c r="AS20" t="s">
        <v>6774</v>
      </c>
      <c r="AT20" t="s">
        <v>68</v>
      </c>
      <c r="AV20" t="s">
        <v>6775</v>
      </c>
      <c r="AW20" t="s">
        <v>6776</v>
      </c>
      <c r="AX20" t="s">
        <v>6777</v>
      </c>
      <c r="BA20" s="14" t="s">
        <v>72</v>
      </c>
      <c r="BB20" s="14" t="s">
        <v>73</v>
      </c>
      <c r="BC20" s="14" t="s">
        <v>74</v>
      </c>
    </row>
    <row r="21" spans="1:55" ht="15" customHeight="1" x14ac:dyDescent="0.4">
      <c r="A21" s="12">
        <v>3911</v>
      </c>
      <c r="B21" s="21" t="s">
        <v>6778</v>
      </c>
      <c r="C21" s="13" t="s">
        <v>6779</v>
      </c>
      <c r="D21" s="25" t="s">
        <v>6779</v>
      </c>
      <c r="E21" s="13"/>
      <c r="F21" s="41"/>
      <c r="G21" s="41"/>
      <c r="H21" s="41"/>
      <c r="I21" s="41"/>
      <c r="J21" s="41"/>
      <c r="K21" s="65" t="str">
        <f>IFERROR(VLOOKUP(D21,Sheet4!A$1:M$56,11,FALSE),"")</f>
        <v/>
      </c>
      <c r="L21" s="65" t="str">
        <f t="shared" si="0"/>
        <v/>
      </c>
      <c r="M21" s="14" t="s">
        <v>1878</v>
      </c>
      <c r="N21" s="15">
        <v>44803</v>
      </c>
      <c r="O21" t="s">
        <v>2719</v>
      </c>
      <c r="P21" t="s">
        <v>51</v>
      </c>
      <c r="Q21" t="s">
        <v>52</v>
      </c>
      <c r="R21" t="s">
        <v>53</v>
      </c>
      <c r="S21" t="s">
        <v>6554</v>
      </c>
      <c r="T21" t="s">
        <v>6555</v>
      </c>
      <c r="U21" t="s">
        <v>56</v>
      </c>
      <c r="V21" t="s">
        <v>6556</v>
      </c>
      <c r="W21" s="21" t="s">
        <v>6557</v>
      </c>
      <c r="X21" t="s">
        <v>6780</v>
      </c>
      <c r="Y21" t="s">
        <v>6781</v>
      </c>
      <c r="AC21" t="s">
        <v>1881</v>
      </c>
      <c r="AE21" s="15"/>
      <c r="AG21">
        <v>34.808943999999997</v>
      </c>
      <c r="AH21">
        <v>-92.326110999999997</v>
      </c>
      <c r="AI21" t="s">
        <v>6782</v>
      </c>
      <c r="AL21" t="s">
        <v>1715</v>
      </c>
      <c r="AM21" t="s">
        <v>63</v>
      </c>
      <c r="AN21" t="s">
        <v>6783</v>
      </c>
      <c r="AO21">
        <v>194168</v>
      </c>
      <c r="AQ21" t="s">
        <v>6784</v>
      </c>
      <c r="AR21" t="s">
        <v>6785</v>
      </c>
      <c r="AS21" t="s">
        <v>6786</v>
      </c>
      <c r="AT21" t="s">
        <v>68</v>
      </c>
      <c r="AV21" t="s">
        <v>6787</v>
      </c>
      <c r="AW21" t="s">
        <v>6788</v>
      </c>
      <c r="AX21" t="s">
        <v>6789</v>
      </c>
      <c r="BA21" s="14" t="s">
        <v>72</v>
      </c>
      <c r="BB21" s="14" t="s">
        <v>73</v>
      </c>
      <c r="BC21" s="14" t="s">
        <v>1723</v>
      </c>
    </row>
    <row r="22" spans="1:55" ht="15" customHeight="1" x14ac:dyDescent="0.4">
      <c r="A22" s="12">
        <v>3912</v>
      </c>
      <c r="B22" s="21" t="s">
        <v>6790</v>
      </c>
      <c r="C22" s="13" t="s">
        <v>6791</v>
      </c>
      <c r="D22" s="25" t="s">
        <v>6791</v>
      </c>
      <c r="E22" s="13"/>
      <c r="F22" s="41"/>
      <c r="G22" s="41"/>
      <c r="H22" s="41"/>
      <c r="I22" s="41"/>
      <c r="J22" s="41"/>
      <c r="K22" s="65" t="str">
        <f>IFERROR(VLOOKUP(D22,Sheet4!A$1:M$56,11,FALSE),"")</f>
        <v/>
      </c>
      <c r="L22" s="65" t="str">
        <f t="shared" si="0"/>
        <v/>
      </c>
      <c r="M22" s="14" t="s">
        <v>1878</v>
      </c>
      <c r="N22" s="15">
        <v>44803</v>
      </c>
      <c r="O22" t="s">
        <v>2719</v>
      </c>
      <c r="P22" t="s">
        <v>51</v>
      </c>
      <c r="Q22" t="s">
        <v>52</v>
      </c>
      <c r="R22" t="s">
        <v>53</v>
      </c>
      <c r="S22" t="s">
        <v>6554</v>
      </c>
      <c r="T22" t="s">
        <v>6555</v>
      </c>
      <c r="U22" t="s">
        <v>56</v>
      </c>
      <c r="V22" t="s">
        <v>6556</v>
      </c>
      <c r="W22" s="21" t="s">
        <v>6557</v>
      </c>
      <c r="X22" t="s">
        <v>6792</v>
      </c>
      <c r="Y22" t="s">
        <v>6793</v>
      </c>
      <c r="AC22" t="s">
        <v>1881</v>
      </c>
      <c r="AE22" s="15"/>
      <c r="AG22">
        <v>34.809268000000003</v>
      </c>
      <c r="AH22">
        <v>-92.327698999999996</v>
      </c>
      <c r="AI22" t="s">
        <v>6678</v>
      </c>
      <c r="AL22" t="s">
        <v>1715</v>
      </c>
      <c r="AM22" t="s">
        <v>63</v>
      </c>
      <c r="AN22" t="s">
        <v>6794</v>
      </c>
      <c r="AO22">
        <v>194169</v>
      </c>
      <c r="AQ22" t="s">
        <v>6795</v>
      </c>
      <c r="AR22" t="s">
        <v>6796</v>
      </c>
      <c r="AS22" t="s">
        <v>6797</v>
      </c>
      <c r="AT22" t="s">
        <v>68</v>
      </c>
      <c r="AV22" t="s">
        <v>6798</v>
      </c>
      <c r="AW22" t="s">
        <v>6799</v>
      </c>
      <c r="AX22" t="s">
        <v>6800</v>
      </c>
      <c r="BA22" s="14" t="s">
        <v>72</v>
      </c>
      <c r="BB22" s="14" t="s">
        <v>73</v>
      </c>
      <c r="BC22" s="14" t="s">
        <v>1723</v>
      </c>
    </row>
    <row r="23" spans="1:55" ht="15" customHeight="1" x14ac:dyDescent="0.4">
      <c r="A23" s="12">
        <v>3541</v>
      </c>
      <c r="B23" s="21" t="s">
        <v>2432</v>
      </c>
      <c r="C23" s="13" t="s">
        <v>2433</v>
      </c>
      <c r="D23" s="25" t="s">
        <v>2433</v>
      </c>
      <c r="E23" s="13"/>
      <c r="F23" s="41"/>
      <c r="G23" s="41"/>
      <c r="H23" s="41"/>
      <c r="I23" s="41"/>
      <c r="J23" s="41"/>
      <c r="K23" s="65" t="str">
        <f>IFERROR(VLOOKUP(D23,Sheet4!A$1:M$56,11,FALSE),"")</f>
        <v/>
      </c>
      <c r="L23" s="65" t="str">
        <f t="shared" si="0"/>
        <v/>
      </c>
      <c r="M23" s="14" t="s">
        <v>49</v>
      </c>
      <c r="N23" s="15">
        <v>44720</v>
      </c>
      <c r="O23" t="s">
        <v>2434</v>
      </c>
      <c r="P23" t="s">
        <v>51</v>
      </c>
      <c r="Q23" t="s">
        <v>52</v>
      </c>
      <c r="R23" t="s">
        <v>53</v>
      </c>
      <c r="S23" t="s">
        <v>2435</v>
      </c>
      <c r="T23" t="s">
        <v>2436</v>
      </c>
      <c r="U23" t="s">
        <v>56</v>
      </c>
      <c r="V23" s="21" t="s">
        <v>2437</v>
      </c>
      <c r="W23" s="21"/>
      <c r="X23" t="s">
        <v>2438</v>
      </c>
      <c r="Y23" t="s">
        <v>2439</v>
      </c>
      <c r="AB23" t="s">
        <v>2440</v>
      </c>
      <c r="AC23" t="s">
        <v>60</v>
      </c>
      <c r="AE23" s="15"/>
      <c r="AG23">
        <v>42.031072379999998</v>
      </c>
      <c r="AH23">
        <v>-93.630173009999993</v>
      </c>
      <c r="AL23" t="s">
        <v>1715</v>
      </c>
      <c r="AM23" t="s">
        <v>63</v>
      </c>
      <c r="AN23" t="s">
        <v>2441</v>
      </c>
      <c r="AO23">
        <v>192666</v>
      </c>
      <c r="AQ23" t="s">
        <v>2442</v>
      </c>
      <c r="AR23" t="s">
        <v>2443</v>
      </c>
      <c r="AS23" t="s">
        <v>2444</v>
      </c>
      <c r="AT23" t="s">
        <v>68</v>
      </c>
      <c r="AV23" t="s">
        <v>2445</v>
      </c>
      <c r="AW23" t="s">
        <v>2446</v>
      </c>
      <c r="AX23" t="s">
        <v>2447</v>
      </c>
      <c r="BA23" s="14" t="s">
        <v>72</v>
      </c>
      <c r="BB23" s="14" t="s">
        <v>73</v>
      </c>
      <c r="BC23" s="14" t="s">
        <v>74</v>
      </c>
    </row>
    <row r="24" spans="1:55" ht="15" customHeight="1" x14ac:dyDescent="0.4">
      <c r="A24" s="12">
        <v>3542</v>
      </c>
      <c r="B24" s="21" t="s">
        <v>2448</v>
      </c>
      <c r="C24" s="13" t="s">
        <v>2449</v>
      </c>
      <c r="D24" s="25" t="s">
        <v>2449</v>
      </c>
      <c r="E24" s="13"/>
      <c r="F24" s="41"/>
      <c r="G24" s="41"/>
      <c r="H24" s="41"/>
      <c r="I24" s="41"/>
      <c r="J24" s="41"/>
      <c r="K24" s="65" t="str">
        <f>IFERROR(VLOOKUP(D24,Sheet4!A$1:M$56,11,FALSE),"")</f>
        <v/>
      </c>
      <c r="L24" s="65" t="str">
        <f t="shared" si="0"/>
        <v/>
      </c>
      <c r="M24" s="14" t="s">
        <v>49</v>
      </c>
      <c r="N24" s="15">
        <v>44720</v>
      </c>
      <c r="O24" t="s">
        <v>2434</v>
      </c>
      <c r="P24" t="s">
        <v>51</v>
      </c>
      <c r="Q24" t="s">
        <v>52</v>
      </c>
      <c r="R24" t="s">
        <v>53</v>
      </c>
      <c r="S24" t="s">
        <v>2435</v>
      </c>
      <c r="T24" t="s">
        <v>2436</v>
      </c>
      <c r="U24" t="s">
        <v>56</v>
      </c>
      <c r="V24" s="21" t="s">
        <v>2437</v>
      </c>
      <c r="W24" s="21"/>
      <c r="X24" t="s">
        <v>2450</v>
      </c>
      <c r="Y24" t="s">
        <v>2451</v>
      </c>
      <c r="AB24" t="s">
        <v>2452</v>
      </c>
      <c r="AC24" t="s">
        <v>60</v>
      </c>
      <c r="AE24" s="15"/>
      <c r="AG24">
        <v>42.03371379</v>
      </c>
      <c r="AH24">
        <v>-93.630409979999996</v>
      </c>
      <c r="AL24" t="s">
        <v>1715</v>
      </c>
      <c r="AM24" t="s">
        <v>63</v>
      </c>
      <c r="AN24" t="s">
        <v>2453</v>
      </c>
      <c r="AO24">
        <v>192663</v>
      </c>
      <c r="AQ24" t="s">
        <v>2454</v>
      </c>
      <c r="AR24" t="s">
        <v>2455</v>
      </c>
      <c r="AS24" t="s">
        <v>2456</v>
      </c>
      <c r="AT24" t="s">
        <v>68</v>
      </c>
      <c r="AV24" t="s">
        <v>2457</v>
      </c>
      <c r="AW24" t="s">
        <v>2458</v>
      </c>
      <c r="AX24" t="s">
        <v>2459</v>
      </c>
      <c r="BA24" s="14" t="s">
        <v>72</v>
      </c>
      <c r="BB24" s="14" t="s">
        <v>73</v>
      </c>
      <c r="BC24" s="14" t="s">
        <v>74</v>
      </c>
    </row>
    <row r="25" spans="1:55" ht="15" customHeight="1" x14ac:dyDescent="0.4">
      <c r="A25" s="12">
        <v>3543</v>
      </c>
      <c r="B25" s="21" t="s">
        <v>2460</v>
      </c>
      <c r="C25" s="13" t="s">
        <v>2461</v>
      </c>
      <c r="D25" s="25" t="s">
        <v>2461</v>
      </c>
      <c r="E25" s="13"/>
      <c r="F25" s="41"/>
      <c r="G25" s="41"/>
      <c r="H25" s="41"/>
      <c r="I25" s="41"/>
      <c r="J25" s="41"/>
      <c r="K25" s="65" t="str">
        <f>IFERROR(VLOOKUP(D25,Sheet4!A$1:M$56,11,FALSE),"")</f>
        <v/>
      </c>
      <c r="L25" s="65" t="str">
        <f t="shared" si="0"/>
        <v/>
      </c>
      <c r="M25" s="14" t="s">
        <v>49</v>
      </c>
      <c r="N25" s="15">
        <v>44720</v>
      </c>
      <c r="O25" t="s">
        <v>2434</v>
      </c>
      <c r="P25" t="s">
        <v>51</v>
      </c>
      <c r="Q25" t="s">
        <v>52</v>
      </c>
      <c r="R25" t="s">
        <v>53</v>
      </c>
      <c r="S25" t="s">
        <v>2435</v>
      </c>
      <c r="T25" t="s">
        <v>2436</v>
      </c>
      <c r="U25" t="s">
        <v>56</v>
      </c>
      <c r="V25" s="21" t="s">
        <v>2437</v>
      </c>
      <c r="W25" s="21"/>
      <c r="X25" t="s">
        <v>2462</v>
      </c>
      <c r="Y25" t="s">
        <v>2463</v>
      </c>
      <c r="AC25" t="s">
        <v>60</v>
      </c>
      <c r="AE25" s="15"/>
      <c r="AG25">
        <v>42.034319250000003</v>
      </c>
      <c r="AH25">
        <v>-93.630245009999996</v>
      </c>
      <c r="AL25" t="s">
        <v>1715</v>
      </c>
      <c r="AM25" t="s">
        <v>63</v>
      </c>
      <c r="AN25" t="s">
        <v>2464</v>
      </c>
      <c r="AO25">
        <v>194191</v>
      </c>
      <c r="AQ25" t="s">
        <v>2465</v>
      </c>
      <c r="AR25" t="s">
        <v>2466</v>
      </c>
      <c r="AS25" t="s">
        <v>2467</v>
      </c>
      <c r="AT25" t="s">
        <v>68</v>
      </c>
      <c r="AV25" t="s">
        <v>2468</v>
      </c>
      <c r="AW25" t="s">
        <v>2469</v>
      </c>
      <c r="AX25" t="s">
        <v>2470</v>
      </c>
      <c r="BA25" s="14" t="s">
        <v>72</v>
      </c>
      <c r="BB25" s="14" t="s">
        <v>73</v>
      </c>
      <c r="BC25" s="14" t="s">
        <v>74</v>
      </c>
    </row>
    <row r="26" spans="1:55" ht="15" customHeight="1" x14ac:dyDescent="0.4">
      <c r="A26" s="12">
        <v>3544</v>
      </c>
      <c r="B26" s="21" t="s">
        <v>2471</v>
      </c>
      <c r="C26" s="13" t="s">
        <v>2472</v>
      </c>
      <c r="D26" s="25" t="s">
        <v>2472</v>
      </c>
      <c r="E26" s="13"/>
      <c r="F26" s="41"/>
      <c r="G26" s="41"/>
      <c r="H26" s="41"/>
      <c r="I26" s="41"/>
      <c r="J26" s="41"/>
      <c r="K26" s="65" t="str">
        <f>IFERROR(VLOOKUP(D26,Sheet4!A$1:M$56,11,FALSE),"")</f>
        <v/>
      </c>
      <c r="L26" s="65" t="str">
        <f t="shared" si="0"/>
        <v/>
      </c>
      <c r="M26" s="14" t="s">
        <v>49</v>
      </c>
      <c r="N26" s="15">
        <v>44720</v>
      </c>
      <c r="O26" t="s">
        <v>2434</v>
      </c>
      <c r="P26" t="s">
        <v>51</v>
      </c>
      <c r="Q26" t="s">
        <v>52</v>
      </c>
      <c r="R26" t="s">
        <v>53</v>
      </c>
      <c r="S26" t="s">
        <v>2435</v>
      </c>
      <c r="T26" t="s">
        <v>2436</v>
      </c>
      <c r="U26" t="s">
        <v>56</v>
      </c>
      <c r="V26" s="21" t="s">
        <v>2437</v>
      </c>
      <c r="W26" s="21"/>
      <c r="X26" t="s">
        <v>2473</v>
      </c>
      <c r="Y26" t="s">
        <v>2474</v>
      </c>
      <c r="AC26" t="s">
        <v>60</v>
      </c>
      <c r="AE26" s="15"/>
      <c r="AG26">
        <v>42.029397359999997</v>
      </c>
      <c r="AH26">
        <v>-93.628202259999995</v>
      </c>
      <c r="AL26" t="s">
        <v>1715</v>
      </c>
      <c r="AM26" t="s">
        <v>63</v>
      </c>
      <c r="AN26" t="s">
        <v>2475</v>
      </c>
      <c r="AO26">
        <v>194192</v>
      </c>
      <c r="AQ26" t="s">
        <v>2476</v>
      </c>
      <c r="AR26" t="s">
        <v>2477</v>
      </c>
      <c r="AS26" t="s">
        <v>2478</v>
      </c>
      <c r="AT26" t="s">
        <v>68</v>
      </c>
      <c r="AV26" t="s">
        <v>2479</v>
      </c>
      <c r="AW26" t="s">
        <v>2480</v>
      </c>
      <c r="AX26" t="s">
        <v>2481</v>
      </c>
      <c r="BA26" s="14" t="s">
        <v>72</v>
      </c>
      <c r="BB26" s="14" t="s">
        <v>73</v>
      </c>
      <c r="BC26" s="14" t="s">
        <v>74</v>
      </c>
    </row>
    <row r="27" spans="1:55" ht="15" customHeight="1" x14ac:dyDescent="0.4">
      <c r="A27" s="12">
        <v>3545</v>
      </c>
      <c r="B27" s="21" t="s">
        <v>2482</v>
      </c>
      <c r="C27" s="13" t="s">
        <v>2483</v>
      </c>
      <c r="D27" s="25" t="s">
        <v>2483</v>
      </c>
      <c r="E27" s="13"/>
      <c r="F27" s="41"/>
      <c r="G27" s="41"/>
      <c r="H27" s="41"/>
      <c r="I27" s="41"/>
      <c r="J27" s="41"/>
      <c r="K27" s="65" t="str">
        <f>IFERROR(VLOOKUP(D27,Sheet4!A$1:M$56,11,FALSE),"")</f>
        <v/>
      </c>
      <c r="L27" s="65" t="str">
        <f t="shared" si="0"/>
        <v/>
      </c>
      <c r="M27" s="14" t="s">
        <v>49</v>
      </c>
      <c r="N27" s="15">
        <v>44720</v>
      </c>
      <c r="O27" t="s">
        <v>2434</v>
      </c>
      <c r="P27" t="s">
        <v>51</v>
      </c>
      <c r="Q27" t="s">
        <v>52</v>
      </c>
      <c r="R27" t="s">
        <v>53</v>
      </c>
      <c r="S27" t="s">
        <v>2435</v>
      </c>
      <c r="T27" t="s">
        <v>2436</v>
      </c>
      <c r="U27" t="s">
        <v>56</v>
      </c>
      <c r="V27" s="21" t="s">
        <v>2437</v>
      </c>
      <c r="W27" s="21"/>
      <c r="X27" t="s">
        <v>2438</v>
      </c>
      <c r="Y27" t="s">
        <v>2484</v>
      </c>
      <c r="AC27" t="s">
        <v>60</v>
      </c>
      <c r="AE27" s="15"/>
      <c r="AG27">
        <v>42.028730779999997</v>
      </c>
      <c r="AH27">
        <v>-93.628244769999995</v>
      </c>
      <c r="AL27" t="s">
        <v>1715</v>
      </c>
      <c r="AM27" t="s">
        <v>63</v>
      </c>
      <c r="AN27" t="s">
        <v>2485</v>
      </c>
      <c r="AO27">
        <v>194193</v>
      </c>
      <c r="AQ27" t="s">
        <v>2486</v>
      </c>
      <c r="AR27" t="s">
        <v>2487</v>
      </c>
      <c r="AS27" t="s">
        <v>2488</v>
      </c>
      <c r="AT27" t="s">
        <v>68</v>
      </c>
      <c r="AV27" t="s">
        <v>2489</v>
      </c>
      <c r="AW27" t="s">
        <v>2490</v>
      </c>
      <c r="AX27" t="s">
        <v>2491</v>
      </c>
      <c r="BA27" s="14" t="s">
        <v>72</v>
      </c>
      <c r="BB27" s="14" t="s">
        <v>73</v>
      </c>
      <c r="BC27" s="14" t="s">
        <v>74</v>
      </c>
    </row>
    <row r="28" spans="1:55" ht="15" customHeight="1" x14ac:dyDescent="0.4">
      <c r="A28" s="12">
        <v>3561</v>
      </c>
      <c r="B28" s="21" t="s">
        <v>2660</v>
      </c>
      <c r="C28" s="13" t="s">
        <v>2661</v>
      </c>
      <c r="D28" s="25" t="s">
        <v>2661</v>
      </c>
      <c r="E28" s="13"/>
      <c r="F28" s="41"/>
      <c r="G28" s="41"/>
      <c r="H28" s="41"/>
      <c r="I28" s="41"/>
      <c r="J28" s="41"/>
      <c r="K28" s="65" t="str">
        <f>IFERROR(VLOOKUP(D28,Sheet4!A$1:M$56,11,FALSE),"")</f>
        <v/>
      </c>
      <c r="L28" s="65" t="str">
        <f t="shared" si="0"/>
        <v/>
      </c>
      <c r="M28" s="14" t="s">
        <v>49</v>
      </c>
      <c r="N28" s="15">
        <v>44721</v>
      </c>
      <c r="O28" t="s">
        <v>2434</v>
      </c>
      <c r="P28" t="s">
        <v>51</v>
      </c>
      <c r="Q28" t="s">
        <v>52</v>
      </c>
      <c r="R28" t="s">
        <v>53</v>
      </c>
      <c r="S28" t="s">
        <v>2435</v>
      </c>
      <c r="T28" t="s">
        <v>2662</v>
      </c>
      <c r="U28" t="s">
        <v>56</v>
      </c>
      <c r="V28" s="21" t="s">
        <v>2663</v>
      </c>
      <c r="W28" s="21"/>
      <c r="X28" t="s">
        <v>2664</v>
      </c>
      <c r="Y28" t="s">
        <v>2665</v>
      </c>
      <c r="AB28" t="s">
        <v>2666</v>
      </c>
      <c r="AC28" t="s">
        <v>60</v>
      </c>
      <c r="AE28" s="15"/>
      <c r="AG28">
        <v>41.9747171319</v>
      </c>
      <c r="AH28">
        <v>-91.721692700000006</v>
      </c>
      <c r="AL28" t="s">
        <v>1715</v>
      </c>
      <c r="AM28" t="s">
        <v>63</v>
      </c>
      <c r="AN28" t="s">
        <v>2667</v>
      </c>
      <c r="AO28">
        <v>194196</v>
      </c>
      <c r="AQ28" t="s">
        <v>2668</v>
      </c>
      <c r="AR28" t="s">
        <v>2669</v>
      </c>
      <c r="AS28" t="s">
        <v>2670</v>
      </c>
      <c r="AT28" t="s">
        <v>68</v>
      </c>
      <c r="AV28" t="s">
        <v>2671</v>
      </c>
      <c r="AW28" t="s">
        <v>2672</v>
      </c>
      <c r="AX28" t="s">
        <v>2673</v>
      </c>
      <c r="BA28" s="14" t="s">
        <v>72</v>
      </c>
      <c r="BB28" s="14" t="s">
        <v>73</v>
      </c>
      <c r="BC28" s="14" t="s">
        <v>74</v>
      </c>
    </row>
    <row r="29" spans="1:55" ht="15" customHeight="1" x14ac:dyDescent="0.4">
      <c r="A29" s="12">
        <v>3562</v>
      </c>
      <c r="B29" s="21" t="s">
        <v>2674</v>
      </c>
      <c r="C29" s="13" t="s">
        <v>2675</v>
      </c>
      <c r="D29" s="25" t="s">
        <v>2675</v>
      </c>
      <c r="E29" s="13"/>
      <c r="F29" s="41"/>
      <c r="G29" s="41"/>
      <c r="H29" s="41"/>
      <c r="I29" s="41"/>
      <c r="J29" s="41"/>
      <c r="K29" s="65" t="str">
        <f>IFERROR(VLOOKUP(D29,Sheet4!A$1:M$56,11,FALSE),"")</f>
        <v/>
      </c>
      <c r="L29" s="65" t="str">
        <f t="shared" si="0"/>
        <v/>
      </c>
      <c r="M29" s="14" t="s">
        <v>49</v>
      </c>
      <c r="N29" s="15">
        <v>44721</v>
      </c>
      <c r="O29" t="s">
        <v>2434</v>
      </c>
      <c r="P29" t="s">
        <v>51</v>
      </c>
      <c r="Q29" t="s">
        <v>52</v>
      </c>
      <c r="R29" t="s">
        <v>53</v>
      </c>
      <c r="S29" t="s">
        <v>2435</v>
      </c>
      <c r="T29" t="s">
        <v>2662</v>
      </c>
      <c r="U29" t="s">
        <v>56</v>
      </c>
      <c r="V29" s="21" t="s">
        <v>2663</v>
      </c>
      <c r="W29" s="21"/>
      <c r="X29" t="s">
        <v>2676</v>
      </c>
      <c r="Y29" t="s">
        <v>2677</v>
      </c>
      <c r="AB29" t="s">
        <v>2666</v>
      </c>
      <c r="AC29" t="s">
        <v>60</v>
      </c>
      <c r="AE29" s="15"/>
      <c r="AG29">
        <v>41.973659062599999</v>
      </c>
      <c r="AH29">
        <v>-91.725383465099995</v>
      </c>
      <c r="AL29" t="s">
        <v>1715</v>
      </c>
      <c r="AM29" t="s">
        <v>63</v>
      </c>
      <c r="AN29" t="s">
        <v>2678</v>
      </c>
      <c r="AO29">
        <v>194197</v>
      </c>
      <c r="AQ29" t="s">
        <v>2679</v>
      </c>
      <c r="AR29" t="s">
        <v>2680</v>
      </c>
      <c r="AS29" t="s">
        <v>2681</v>
      </c>
      <c r="AT29" t="s">
        <v>68</v>
      </c>
      <c r="AV29" t="s">
        <v>2682</v>
      </c>
      <c r="AW29" t="s">
        <v>2683</v>
      </c>
      <c r="AX29" t="s">
        <v>2684</v>
      </c>
      <c r="BA29" s="14" t="s">
        <v>72</v>
      </c>
      <c r="BB29" s="14" t="s">
        <v>73</v>
      </c>
      <c r="BC29" s="14" t="s">
        <v>74</v>
      </c>
    </row>
    <row r="30" spans="1:55" ht="15" customHeight="1" x14ac:dyDescent="0.4">
      <c r="A30" s="12">
        <v>3563</v>
      </c>
      <c r="B30" s="21" t="s">
        <v>2685</v>
      </c>
      <c r="C30" s="13" t="s">
        <v>2686</v>
      </c>
      <c r="D30" s="25" t="s">
        <v>2686</v>
      </c>
      <c r="E30" s="13"/>
      <c r="F30" s="41" t="s">
        <v>2222</v>
      </c>
      <c r="G30" s="41" t="s">
        <v>8102</v>
      </c>
      <c r="H30" s="41" t="s">
        <v>8101</v>
      </c>
      <c r="I30" s="41"/>
      <c r="J30" s="41"/>
      <c r="K30" s="65" t="str">
        <f>IFERROR(VLOOKUP(D30,Sheet4!A$1:M$56,11,FALSE),"")</f>
        <v>Based on ADMIXTURE results of 78,187 SNPs, may be trace admixed with Quercus macrocarpa</v>
      </c>
      <c r="L30" s="65" t="str">
        <f t="shared" si="0"/>
        <v>Based on ADMIXTURE results of 78,187 SNPs, may be trace admixed with Quercus macrocarpa</v>
      </c>
      <c r="M30" s="14" t="s">
        <v>2222</v>
      </c>
      <c r="N30" s="15">
        <v>44721</v>
      </c>
      <c r="O30" t="s">
        <v>2434</v>
      </c>
      <c r="P30" t="s">
        <v>51</v>
      </c>
      <c r="Q30" t="s">
        <v>52</v>
      </c>
      <c r="R30" t="s">
        <v>53</v>
      </c>
      <c r="S30" t="s">
        <v>2435</v>
      </c>
      <c r="T30" t="s">
        <v>2662</v>
      </c>
      <c r="U30" t="s">
        <v>56</v>
      </c>
      <c r="V30" s="21" t="s">
        <v>2663</v>
      </c>
      <c r="W30" s="21"/>
      <c r="X30" t="s">
        <v>2676</v>
      </c>
      <c r="Y30" t="s">
        <v>2687</v>
      </c>
      <c r="AB30" t="s">
        <v>1758</v>
      </c>
      <c r="AC30" t="s">
        <v>2225</v>
      </c>
      <c r="AE30" s="15"/>
      <c r="AG30">
        <v>41.973334453100001</v>
      </c>
      <c r="AH30">
        <v>-91.724763996999997</v>
      </c>
      <c r="AL30" t="s">
        <v>1715</v>
      </c>
      <c r="AM30" t="s">
        <v>63</v>
      </c>
      <c r="AN30" t="s">
        <v>2688</v>
      </c>
      <c r="AO30">
        <v>192564</v>
      </c>
      <c r="AQ30" t="s">
        <v>2689</v>
      </c>
      <c r="AR30" t="s">
        <v>2690</v>
      </c>
      <c r="AS30" t="s">
        <v>2691</v>
      </c>
      <c r="AT30" t="s">
        <v>68</v>
      </c>
      <c r="AV30" t="s">
        <v>2692</v>
      </c>
      <c r="AW30" t="s">
        <v>2693</v>
      </c>
      <c r="AX30" t="s">
        <v>2694</v>
      </c>
      <c r="BA30" s="14" t="s">
        <v>72</v>
      </c>
      <c r="BB30" s="14" t="s">
        <v>73</v>
      </c>
      <c r="BC30" s="14" t="s">
        <v>74</v>
      </c>
    </row>
    <row r="31" spans="1:55" ht="15" customHeight="1" x14ac:dyDescent="0.4">
      <c r="A31" s="12">
        <v>3564</v>
      </c>
      <c r="B31" s="21" t="s">
        <v>2695</v>
      </c>
      <c r="C31" s="13" t="s">
        <v>2696</v>
      </c>
      <c r="D31" s="25" t="s">
        <v>2696</v>
      </c>
      <c r="E31" s="13"/>
      <c r="F31" s="41"/>
      <c r="G31" s="41"/>
      <c r="H31" s="41"/>
      <c r="I31" s="41"/>
      <c r="J31" s="41"/>
      <c r="K31" s="65" t="str">
        <f>IFERROR(VLOOKUP(D31,Sheet4!A$1:M$56,11,FALSE),"")</f>
        <v/>
      </c>
      <c r="L31" s="65" t="str">
        <f t="shared" si="0"/>
        <v/>
      </c>
      <c r="M31" s="14" t="s">
        <v>49</v>
      </c>
      <c r="N31" s="15">
        <v>44721</v>
      </c>
      <c r="O31" t="s">
        <v>2434</v>
      </c>
      <c r="P31" t="s">
        <v>51</v>
      </c>
      <c r="Q31" t="s">
        <v>52</v>
      </c>
      <c r="R31" t="s">
        <v>53</v>
      </c>
      <c r="S31" t="s">
        <v>2435</v>
      </c>
      <c r="T31" t="s">
        <v>2662</v>
      </c>
      <c r="U31" t="s">
        <v>56</v>
      </c>
      <c r="V31" s="21" t="s">
        <v>2663</v>
      </c>
      <c r="W31" s="21"/>
      <c r="X31" t="s">
        <v>2697</v>
      </c>
      <c r="Y31" t="s">
        <v>2698</v>
      </c>
      <c r="AC31" t="s">
        <v>60</v>
      </c>
      <c r="AE31" s="15"/>
      <c r="AG31">
        <v>41.973905999999999</v>
      </c>
      <c r="AH31">
        <v>-91.722928999999993</v>
      </c>
      <c r="AI31" t="s">
        <v>1087</v>
      </c>
      <c r="AL31" t="s">
        <v>1715</v>
      </c>
      <c r="AM31" t="s">
        <v>63</v>
      </c>
      <c r="AN31" t="s">
        <v>2699</v>
      </c>
      <c r="AO31">
        <v>194198</v>
      </c>
      <c r="AQ31" t="s">
        <v>2700</v>
      </c>
      <c r="AR31" t="s">
        <v>2701</v>
      </c>
      <c r="AS31" t="s">
        <v>2702</v>
      </c>
      <c r="AT31" t="s">
        <v>68</v>
      </c>
      <c r="AV31" t="s">
        <v>2703</v>
      </c>
      <c r="AW31" t="s">
        <v>2704</v>
      </c>
      <c r="AX31" t="s">
        <v>2705</v>
      </c>
      <c r="BA31" s="14" t="s">
        <v>72</v>
      </c>
      <c r="BB31" s="14" t="s">
        <v>73</v>
      </c>
      <c r="BC31" s="14" t="s">
        <v>74</v>
      </c>
    </row>
    <row r="32" spans="1:55" ht="15" customHeight="1" x14ac:dyDescent="0.4">
      <c r="A32" s="12">
        <v>3565</v>
      </c>
      <c r="B32" s="21" t="s">
        <v>2706</v>
      </c>
      <c r="C32" s="13" t="s">
        <v>2707</v>
      </c>
      <c r="D32" s="25" t="s">
        <v>2707</v>
      </c>
      <c r="E32" s="13"/>
      <c r="F32" s="41"/>
      <c r="G32" s="41"/>
      <c r="H32" s="41"/>
      <c r="I32" s="41"/>
      <c r="J32" s="41"/>
      <c r="K32" s="65" t="str">
        <f>IFERROR(VLOOKUP(D32,Sheet4!A$1:M$56,11,FALSE),"")</f>
        <v/>
      </c>
      <c r="L32" s="65" t="str">
        <f t="shared" si="0"/>
        <v/>
      </c>
      <c r="M32" s="14" t="s">
        <v>49</v>
      </c>
      <c r="N32" s="15">
        <v>44721</v>
      </c>
      <c r="O32" t="s">
        <v>2434</v>
      </c>
      <c r="P32" t="s">
        <v>51</v>
      </c>
      <c r="Q32" t="s">
        <v>52</v>
      </c>
      <c r="R32" t="s">
        <v>53</v>
      </c>
      <c r="S32" t="s">
        <v>2435</v>
      </c>
      <c r="T32" t="s">
        <v>2662</v>
      </c>
      <c r="U32" t="s">
        <v>56</v>
      </c>
      <c r="V32" s="21" t="s">
        <v>2663</v>
      </c>
      <c r="W32" s="21"/>
      <c r="X32" t="s">
        <v>2697</v>
      </c>
      <c r="Y32" t="s">
        <v>2708</v>
      </c>
      <c r="AB32" t="s">
        <v>2321</v>
      </c>
      <c r="AC32" t="s">
        <v>60</v>
      </c>
      <c r="AE32" s="15"/>
      <c r="AG32">
        <v>41.983480999999998</v>
      </c>
      <c r="AH32">
        <v>-91.797434999999993</v>
      </c>
      <c r="AI32" t="s">
        <v>2709</v>
      </c>
      <c r="AL32" t="s">
        <v>1715</v>
      </c>
      <c r="AM32" t="s">
        <v>63</v>
      </c>
      <c r="AN32" t="s">
        <v>2710</v>
      </c>
      <c r="AO32">
        <v>194199</v>
      </c>
      <c r="AQ32" t="s">
        <v>2711</v>
      </c>
      <c r="AR32" t="s">
        <v>2712</v>
      </c>
      <c r="AS32" t="s">
        <v>2713</v>
      </c>
      <c r="AT32" t="s">
        <v>68</v>
      </c>
      <c r="AV32" t="s">
        <v>2714</v>
      </c>
      <c r="AW32" t="s">
        <v>2715</v>
      </c>
      <c r="AX32" t="s">
        <v>2716</v>
      </c>
      <c r="BA32" s="14" t="s">
        <v>72</v>
      </c>
      <c r="BB32" s="14" t="s">
        <v>73</v>
      </c>
      <c r="BC32" s="14" t="s">
        <v>74</v>
      </c>
    </row>
    <row r="33" spans="1:55" ht="15" customHeight="1" x14ac:dyDescent="0.4">
      <c r="A33" s="12">
        <v>3546</v>
      </c>
      <c r="B33" s="21" t="s">
        <v>2492</v>
      </c>
      <c r="C33" s="13" t="s">
        <v>2493</v>
      </c>
      <c r="D33" s="25" t="s">
        <v>2493</v>
      </c>
      <c r="E33" s="13"/>
      <c r="F33" s="41"/>
      <c r="G33" s="41"/>
      <c r="H33" s="41"/>
      <c r="I33" s="41"/>
      <c r="J33" s="41"/>
      <c r="K33" s="65" t="str">
        <f>IFERROR(VLOOKUP(D33,Sheet4!A$1:M$56,11,FALSE),"")</f>
        <v/>
      </c>
      <c r="L33" s="65" t="str">
        <f t="shared" si="0"/>
        <v/>
      </c>
      <c r="M33" s="14" t="s">
        <v>1878</v>
      </c>
      <c r="N33" s="15">
        <v>44721</v>
      </c>
      <c r="O33" t="s">
        <v>2434</v>
      </c>
      <c r="P33" t="s">
        <v>51</v>
      </c>
      <c r="Q33" t="s">
        <v>52</v>
      </c>
      <c r="R33" t="s">
        <v>53</v>
      </c>
      <c r="S33" t="s">
        <v>2435</v>
      </c>
      <c r="T33" t="s">
        <v>2494</v>
      </c>
      <c r="U33" t="s">
        <v>56</v>
      </c>
      <c r="V33" s="21" t="s">
        <v>2495</v>
      </c>
      <c r="W33" s="21"/>
      <c r="X33" t="s">
        <v>2496</v>
      </c>
      <c r="Y33">
        <v>0</v>
      </c>
      <c r="AC33" t="s">
        <v>1881</v>
      </c>
      <c r="AE33" s="15"/>
      <c r="AG33">
        <v>40.710377000000001</v>
      </c>
      <c r="AH33">
        <v>-91.797389440000003</v>
      </c>
      <c r="AL33" t="s">
        <v>1715</v>
      </c>
      <c r="AM33" t="s">
        <v>63</v>
      </c>
      <c r="AN33" t="s">
        <v>2497</v>
      </c>
      <c r="AO33">
        <v>193753</v>
      </c>
      <c r="AQ33" t="s">
        <v>2498</v>
      </c>
      <c r="AR33" t="s">
        <v>2499</v>
      </c>
      <c r="AS33" t="s">
        <v>2500</v>
      </c>
      <c r="AT33" t="s">
        <v>68</v>
      </c>
      <c r="AV33" t="s">
        <v>2501</v>
      </c>
      <c r="AW33" t="s">
        <v>2502</v>
      </c>
      <c r="AX33" t="s">
        <v>2503</v>
      </c>
      <c r="BA33" s="14" t="s">
        <v>72</v>
      </c>
      <c r="BB33" s="14" t="s">
        <v>73</v>
      </c>
      <c r="BC33" s="14" t="s">
        <v>1723</v>
      </c>
    </row>
    <row r="34" spans="1:55" ht="15" customHeight="1" x14ac:dyDescent="0.4">
      <c r="A34" s="12">
        <v>3547</v>
      </c>
      <c r="B34" s="21" t="s">
        <v>2504</v>
      </c>
      <c r="C34" s="13" t="s">
        <v>2505</v>
      </c>
      <c r="D34" s="25" t="s">
        <v>2505</v>
      </c>
      <c r="E34" s="13"/>
      <c r="F34" s="41"/>
      <c r="G34" s="41"/>
      <c r="H34" s="41"/>
      <c r="I34" s="41"/>
      <c r="J34" s="41"/>
      <c r="K34" s="65" t="str">
        <f>IFERROR(VLOOKUP(D34,Sheet4!A$1:M$56,11,FALSE),"")</f>
        <v/>
      </c>
      <c r="L34" s="65" t="str">
        <f t="shared" si="0"/>
        <v/>
      </c>
      <c r="M34" s="14" t="s">
        <v>1878</v>
      </c>
      <c r="N34" s="15">
        <v>44721</v>
      </c>
      <c r="O34" t="s">
        <v>2434</v>
      </c>
      <c r="P34" t="s">
        <v>51</v>
      </c>
      <c r="Q34" t="s">
        <v>52</v>
      </c>
      <c r="R34" t="s">
        <v>53</v>
      </c>
      <c r="S34" t="s">
        <v>2435</v>
      </c>
      <c r="T34" t="s">
        <v>2494</v>
      </c>
      <c r="U34" t="s">
        <v>56</v>
      </c>
      <c r="V34" s="21" t="s">
        <v>2495</v>
      </c>
      <c r="W34" s="21"/>
      <c r="X34" t="s">
        <v>2506</v>
      </c>
      <c r="Y34" t="s">
        <v>2507</v>
      </c>
      <c r="AC34" t="s">
        <v>1881</v>
      </c>
      <c r="AE34" s="15"/>
      <c r="AG34">
        <v>40.709859000000002</v>
      </c>
      <c r="AH34">
        <v>-91.796244999999999</v>
      </c>
      <c r="AL34" t="s">
        <v>1715</v>
      </c>
      <c r="AM34" t="s">
        <v>63</v>
      </c>
      <c r="AN34" t="s">
        <v>2508</v>
      </c>
      <c r="AO34">
        <v>193755</v>
      </c>
      <c r="AQ34" t="s">
        <v>2509</v>
      </c>
      <c r="AR34" t="s">
        <v>2510</v>
      </c>
      <c r="AS34" t="s">
        <v>2511</v>
      </c>
      <c r="AT34" t="s">
        <v>68</v>
      </c>
      <c r="AV34" t="s">
        <v>2512</v>
      </c>
      <c r="AW34" t="s">
        <v>2513</v>
      </c>
      <c r="AX34" t="s">
        <v>2514</v>
      </c>
      <c r="BA34" s="14" t="s">
        <v>72</v>
      </c>
      <c r="BB34" s="14" t="s">
        <v>73</v>
      </c>
      <c r="BC34" s="14" t="s">
        <v>1723</v>
      </c>
    </row>
    <row r="35" spans="1:55" ht="15" customHeight="1" x14ac:dyDescent="0.4">
      <c r="A35" s="12">
        <v>3548</v>
      </c>
      <c r="B35" s="21" t="s">
        <v>2515</v>
      </c>
      <c r="C35" s="13" t="s">
        <v>2516</v>
      </c>
      <c r="D35" s="25" t="s">
        <v>2516</v>
      </c>
      <c r="E35" s="13"/>
      <c r="F35" s="41"/>
      <c r="G35" s="41"/>
      <c r="H35" s="41"/>
      <c r="I35" s="41"/>
      <c r="J35" s="41"/>
      <c r="K35" s="65" t="str">
        <f>IFERROR(VLOOKUP(D35,Sheet4!A$1:M$56,11,FALSE),"")</f>
        <v/>
      </c>
      <c r="L35" s="65" t="str">
        <f t="shared" si="0"/>
        <v/>
      </c>
      <c r="M35" s="14" t="s">
        <v>1878</v>
      </c>
      <c r="N35" s="15">
        <v>44721</v>
      </c>
      <c r="O35" t="s">
        <v>2434</v>
      </c>
      <c r="P35" t="s">
        <v>51</v>
      </c>
      <c r="Q35" t="s">
        <v>52</v>
      </c>
      <c r="R35" t="s">
        <v>53</v>
      </c>
      <c r="S35" t="s">
        <v>2435</v>
      </c>
      <c r="T35" t="s">
        <v>2494</v>
      </c>
      <c r="U35" t="s">
        <v>56</v>
      </c>
      <c r="V35" s="21" t="s">
        <v>2495</v>
      </c>
      <c r="W35" s="21"/>
      <c r="X35" t="s">
        <v>2517</v>
      </c>
      <c r="Y35" t="s">
        <v>2518</v>
      </c>
      <c r="AC35" t="s">
        <v>1881</v>
      </c>
      <c r="AE35" s="15"/>
      <c r="AG35">
        <v>40.710200999999998</v>
      </c>
      <c r="AH35">
        <v>-91.794681999999995</v>
      </c>
      <c r="AK35" s="61"/>
      <c r="AL35" t="s">
        <v>1715</v>
      </c>
      <c r="AM35" t="s">
        <v>63</v>
      </c>
      <c r="AN35" t="s">
        <v>2519</v>
      </c>
      <c r="AO35">
        <v>192540</v>
      </c>
      <c r="AQ35" t="s">
        <v>2520</v>
      </c>
      <c r="AR35" t="s">
        <v>2521</v>
      </c>
      <c r="AS35" t="s">
        <v>2522</v>
      </c>
      <c r="AT35" t="s">
        <v>68</v>
      </c>
      <c r="AV35" t="s">
        <v>2523</v>
      </c>
      <c r="AW35" t="s">
        <v>2524</v>
      </c>
      <c r="AX35" t="s">
        <v>2525</v>
      </c>
      <c r="BA35" s="14" t="s">
        <v>72</v>
      </c>
      <c r="BB35" s="14" t="s">
        <v>73</v>
      </c>
      <c r="BC35" s="14" t="s">
        <v>1723</v>
      </c>
    </row>
    <row r="36" spans="1:55" ht="15" customHeight="1" x14ac:dyDescent="0.4">
      <c r="A36" s="12">
        <v>3549</v>
      </c>
      <c r="B36" s="21" t="s">
        <v>2526</v>
      </c>
      <c r="C36" s="13" t="s">
        <v>2527</v>
      </c>
      <c r="D36" s="25" t="s">
        <v>2527</v>
      </c>
      <c r="E36" s="13"/>
      <c r="F36" s="41"/>
      <c r="G36" s="41"/>
      <c r="H36" s="41"/>
      <c r="I36" s="41"/>
      <c r="J36" s="41"/>
      <c r="K36" s="65" t="str">
        <f>IFERROR(VLOOKUP(D36,Sheet4!A$1:M$56,11,FALSE),"")</f>
        <v/>
      </c>
      <c r="L36" s="65" t="str">
        <f t="shared" si="0"/>
        <v/>
      </c>
      <c r="M36" s="14" t="s">
        <v>1878</v>
      </c>
      <c r="N36" s="15">
        <v>44721</v>
      </c>
      <c r="O36" t="s">
        <v>2434</v>
      </c>
      <c r="P36" t="s">
        <v>51</v>
      </c>
      <c r="Q36" t="s">
        <v>52</v>
      </c>
      <c r="R36" t="s">
        <v>53</v>
      </c>
      <c r="S36" t="s">
        <v>2435</v>
      </c>
      <c r="T36" t="s">
        <v>2494</v>
      </c>
      <c r="U36" t="s">
        <v>56</v>
      </c>
      <c r="V36" s="21" t="s">
        <v>2495</v>
      </c>
      <c r="W36" s="21"/>
      <c r="X36" t="s">
        <v>2528</v>
      </c>
      <c r="Y36" t="s">
        <v>2529</v>
      </c>
      <c r="AC36" t="s">
        <v>1881</v>
      </c>
      <c r="AE36" s="15"/>
      <c r="AG36">
        <v>40.710552999999997</v>
      </c>
      <c r="AH36">
        <v>-91.792546000000002</v>
      </c>
      <c r="AL36" t="s">
        <v>1715</v>
      </c>
      <c r="AM36" t="s">
        <v>63</v>
      </c>
      <c r="AN36" t="s">
        <v>2530</v>
      </c>
      <c r="AO36">
        <v>193756</v>
      </c>
      <c r="AQ36" t="s">
        <v>2531</v>
      </c>
      <c r="AR36" t="s">
        <v>2532</v>
      </c>
      <c r="AS36" t="s">
        <v>2533</v>
      </c>
      <c r="AT36" t="s">
        <v>68</v>
      </c>
      <c r="AV36" t="s">
        <v>2534</v>
      </c>
      <c r="AW36" t="s">
        <v>2535</v>
      </c>
      <c r="AX36" t="s">
        <v>2536</v>
      </c>
      <c r="BA36" s="14" t="s">
        <v>72</v>
      </c>
      <c r="BB36" s="14" t="s">
        <v>73</v>
      </c>
      <c r="BC36" s="14" t="s">
        <v>1723</v>
      </c>
    </row>
    <row r="37" spans="1:55" ht="15" customHeight="1" x14ac:dyDescent="0.4">
      <c r="A37" s="12">
        <v>3550</v>
      </c>
      <c r="B37" s="21" t="s">
        <v>2537</v>
      </c>
      <c r="C37" s="13" t="s">
        <v>2538</v>
      </c>
      <c r="D37" s="25" t="s">
        <v>2538</v>
      </c>
      <c r="E37" s="13"/>
      <c r="F37" s="41"/>
      <c r="G37" s="41"/>
      <c r="H37" s="41"/>
      <c r="I37" s="41"/>
      <c r="J37" s="41" t="s">
        <v>8177</v>
      </c>
      <c r="K37" s="65" t="str">
        <f>IFERROR(VLOOKUP(D37,Sheet4!A$1:M$56,11,FALSE),"")</f>
        <v/>
      </c>
      <c r="L37" s="65" t="str">
        <f t="shared" si="0"/>
        <v>May have genomic admixture with Q. prinoides</v>
      </c>
      <c r="M37" s="14" t="s">
        <v>1829</v>
      </c>
      <c r="N37" s="15">
        <v>44721</v>
      </c>
      <c r="O37" t="s">
        <v>2434</v>
      </c>
      <c r="P37" t="s">
        <v>51</v>
      </c>
      <c r="Q37" t="s">
        <v>52</v>
      </c>
      <c r="R37" t="s">
        <v>53</v>
      </c>
      <c r="S37" t="s">
        <v>2435</v>
      </c>
      <c r="T37" t="s">
        <v>2494</v>
      </c>
      <c r="U37" t="s">
        <v>56</v>
      </c>
      <c r="V37" s="21" t="s">
        <v>2495</v>
      </c>
      <c r="W37" s="21"/>
      <c r="X37" t="s">
        <v>2539</v>
      </c>
      <c r="Y37" t="s">
        <v>2540</v>
      </c>
      <c r="AC37" t="s">
        <v>1832</v>
      </c>
      <c r="AE37" s="15"/>
      <c r="AG37">
        <v>40.708615999999999</v>
      </c>
      <c r="AH37">
        <v>-91.787231000000006</v>
      </c>
      <c r="AI37" t="s">
        <v>2541</v>
      </c>
      <c r="AL37" t="s">
        <v>1715</v>
      </c>
      <c r="AM37" t="s">
        <v>63</v>
      </c>
      <c r="AN37" t="s">
        <v>2542</v>
      </c>
      <c r="AO37">
        <v>194513</v>
      </c>
      <c r="AQ37" t="s">
        <v>2543</v>
      </c>
      <c r="AR37" t="s">
        <v>2544</v>
      </c>
      <c r="AS37" t="s">
        <v>2545</v>
      </c>
      <c r="AT37" t="s">
        <v>68</v>
      </c>
      <c r="AV37" t="s">
        <v>2546</v>
      </c>
      <c r="AW37" t="s">
        <v>2547</v>
      </c>
      <c r="AX37" t="s">
        <v>2548</v>
      </c>
      <c r="BA37" s="14" t="s">
        <v>72</v>
      </c>
      <c r="BB37" s="14" t="s">
        <v>73</v>
      </c>
      <c r="BC37" s="14" t="s">
        <v>74</v>
      </c>
    </row>
    <row r="38" spans="1:55" ht="15" customHeight="1" x14ac:dyDescent="0.4">
      <c r="A38" s="12">
        <v>3551</v>
      </c>
      <c r="B38" s="21" t="s">
        <v>2549</v>
      </c>
      <c r="C38" s="13" t="s">
        <v>2550</v>
      </c>
      <c r="D38" s="25" t="s">
        <v>2550</v>
      </c>
      <c r="E38" s="13"/>
      <c r="F38" s="41"/>
      <c r="G38" s="41"/>
      <c r="H38" s="41"/>
      <c r="I38" s="41"/>
      <c r="J38" s="41"/>
      <c r="K38" s="65" t="str">
        <f>IFERROR(VLOOKUP(D38,Sheet4!A$1:M$56,11,FALSE),"")</f>
        <v/>
      </c>
      <c r="L38" s="65" t="str">
        <f t="shared" si="0"/>
        <v/>
      </c>
      <c r="M38" s="14" t="s">
        <v>1829</v>
      </c>
      <c r="N38" s="15">
        <v>44721</v>
      </c>
      <c r="O38" t="s">
        <v>2434</v>
      </c>
      <c r="P38" t="s">
        <v>51</v>
      </c>
      <c r="Q38" t="s">
        <v>52</v>
      </c>
      <c r="R38" t="s">
        <v>53</v>
      </c>
      <c r="S38" t="s">
        <v>2435</v>
      </c>
      <c r="T38" t="s">
        <v>2494</v>
      </c>
      <c r="U38" t="s">
        <v>56</v>
      </c>
      <c r="V38" s="21" t="s">
        <v>2495</v>
      </c>
      <c r="W38" s="21"/>
      <c r="X38" t="s">
        <v>2551</v>
      </c>
      <c r="Y38" t="s">
        <v>2552</v>
      </c>
      <c r="AC38" t="s">
        <v>1832</v>
      </c>
      <c r="AE38" s="15"/>
      <c r="AG38">
        <v>40.707864999999998</v>
      </c>
      <c r="AH38">
        <v>-91.788325</v>
      </c>
      <c r="AI38" t="s">
        <v>1856</v>
      </c>
      <c r="AL38" t="s">
        <v>1715</v>
      </c>
      <c r="AM38" t="s">
        <v>63</v>
      </c>
      <c r="AN38" t="s">
        <v>2553</v>
      </c>
      <c r="AO38">
        <v>194514</v>
      </c>
      <c r="AQ38" t="s">
        <v>2554</v>
      </c>
      <c r="AR38" t="s">
        <v>2555</v>
      </c>
      <c r="AS38" t="s">
        <v>2556</v>
      </c>
      <c r="AT38" t="s">
        <v>68</v>
      </c>
      <c r="AV38" t="s">
        <v>2557</v>
      </c>
      <c r="AW38" t="s">
        <v>2558</v>
      </c>
      <c r="AX38" t="s">
        <v>2559</v>
      </c>
      <c r="BA38" s="14" t="s">
        <v>72</v>
      </c>
      <c r="BB38" s="14" t="s">
        <v>73</v>
      </c>
      <c r="BC38" s="14" t="s">
        <v>74</v>
      </c>
    </row>
    <row r="39" spans="1:55" ht="15" customHeight="1" x14ac:dyDescent="0.4">
      <c r="A39" s="12">
        <v>3552</v>
      </c>
      <c r="B39" s="21" t="s">
        <v>2560</v>
      </c>
      <c r="C39" s="13" t="s">
        <v>2561</v>
      </c>
      <c r="D39" s="25" t="s">
        <v>2561</v>
      </c>
      <c r="E39" s="13"/>
      <c r="F39" s="41"/>
      <c r="G39" s="41"/>
      <c r="H39" s="41"/>
      <c r="I39" s="41"/>
      <c r="J39" s="41" t="s">
        <v>8177</v>
      </c>
      <c r="K39" s="65" t="str">
        <f>IFERROR(VLOOKUP(D39,Sheet4!A$1:M$56,11,FALSE),"")</f>
        <v/>
      </c>
      <c r="L39" s="65" t="str">
        <f t="shared" si="0"/>
        <v>May have genomic admixture with Q. prinoides</v>
      </c>
      <c r="M39" s="14" t="s">
        <v>1829</v>
      </c>
      <c r="N39" s="15">
        <v>44721</v>
      </c>
      <c r="O39" t="s">
        <v>2434</v>
      </c>
      <c r="P39" t="s">
        <v>51</v>
      </c>
      <c r="Q39" t="s">
        <v>52</v>
      </c>
      <c r="R39" t="s">
        <v>53</v>
      </c>
      <c r="S39" t="s">
        <v>2435</v>
      </c>
      <c r="T39" t="s">
        <v>2494</v>
      </c>
      <c r="U39" t="s">
        <v>56</v>
      </c>
      <c r="V39" s="21" t="s">
        <v>2495</v>
      </c>
      <c r="W39" s="21"/>
      <c r="X39" t="s">
        <v>2562</v>
      </c>
      <c r="Y39" t="s">
        <v>2563</v>
      </c>
      <c r="AC39" t="s">
        <v>1832</v>
      </c>
      <c r="AE39" s="15"/>
      <c r="AG39">
        <v>40.707006</v>
      </c>
      <c r="AH39">
        <v>-91.789440999999997</v>
      </c>
      <c r="AI39" t="s">
        <v>2564</v>
      </c>
      <c r="AL39" t="s">
        <v>1715</v>
      </c>
      <c r="AM39" t="s">
        <v>63</v>
      </c>
      <c r="AN39" t="s">
        <v>2565</v>
      </c>
      <c r="AO39">
        <v>194515</v>
      </c>
      <c r="AQ39" t="s">
        <v>2566</v>
      </c>
      <c r="AR39" t="s">
        <v>2567</v>
      </c>
      <c r="AS39" t="s">
        <v>2568</v>
      </c>
      <c r="AT39" t="s">
        <v>68</v>
      </c>
      <c r="AV39" t="s">
        <v>2569</v>
      </c>
      <c r="AW39" t="s">
        <v>2570</v>
      </c>
      <c r="AX39" t="s">
        <v>2571</v>
      </c>
      <c r="BA39" s="14" t="s">
        <v>72</v>
      </c>
      <c r="BB39" s="14" t="s">
        <v>73</v>
      </c>
      <c r="BC39" s="14" t="s">
        <v>74</v>
      </c>
    </row>
    <row r="40" spans="1:55" ht="15" customHeight="1" x14ac:dyDescent="0.4">
      <c r="A40" s="12">
        <v>3553</v>
      </c>
      <c r="B40" s="21" t="s">
        <v>2572</v>
      </c>
      <c r="C40" s="13" t="s">
        <v>2573</v>
      </c>
      <c r="D40" s="25" t="s">
        <v>2573</v>
      </c>
      <c r="E40" s="13"/>
      <c r="F40" s="41"/>
      <c r="G40" s="41"/>
      <c r="H40" s="41"/>
      <c r="I40" s="41"/>
      <c r="J40" s="41"/>
      <c r="K40" s="65" t="str">
        <f>IFERROR(VLOOKUP(D40,Sheet4!A$1:M$56,11,FALSE),"")</f>
        <v/>
      </c>
      <c r="L40" s="65" t="str">
        <f t="shared" si="0"/>
        <v/>
      </c>
      <c r="M40" s="14" t="s">
        <v>1829</v>
      </c>
      <c r="N40" s="15">
        <v>44721</v>
      </c>
      <c r="O40" t="s">
        <v>2434</v>
      </c>
      <c r="P40" t="s">
        <v>51</v>
      </c>
      <c r="Q40" t="s">
        <v>52</v>
      </c>
      <c r="R40" t="s">
        <v>53</v>
      </c>
      <c r="S40" t="s">
        <v>2435</v>
      </c>
      <c r="T40" t="s">
        <v>2494</v>
      </c>
      <c r="U40" t="s">
        <v>56</v>
      </c>
      <c r="V40" s="21" t="s">
        <v>2495</v>
      </c>
      <c r="W40" s="21"/>
      <c r="X40" t="s">
        <v>2574</v>
      </c>
      <c r="Y40" t="s">
        <v>2575</v>
      </c>
      <c r="AC40" t="s">
        <v>1832</v>
      </c>
      <c r="AE40" s="15"/>
      <c r="AG40">
        <v>40.706792</v>
      </c>
      <c r="AH40">
        <v>-91.790750000000003</v>
      </c>
      <c r="AI40" t="s">
        <v>2576</v>
      </c>
      <c r="AL40" t="s">
        <v>1715</v>
      </c>
      <c r="AM40" t="s">
        <v>63</v>
      </c>
      <c r="AN40" t="s">
        <v>2577</v>
      </c>
      <c r="AO40">
        <v>194516</v>
      </c>
      <c r="AQ40" t="s">
        <v>2578</v>
      </c>
      <c r="AR40" t="s">
        <v>2579</v>
      </c>
      <c r="AS40" t="s">
        <v>2580</v>
      </c>
      <c r="AT40" t="s">
        <v>68</v>
      </c>
      <c r="AV40" t="s">
        <v>2581</v>
      </c>
      <c r="AW40" t="s">
        <v>2582</v>
      </c>
      <c r="AX40" t="s">
        <v>2583</v>
      </c>
      <c r="BA40" s="14" t="s">
        <v>72</v>
      </c>
      <c r="BB40" s="14" t="s">
        <v>73</v>
      </c>
      <c r="BC40" s="14" t="s">
        <v>74</v>
      </c>
    </row>
    <row r="41" spans="1:55" ht="15" customHeight="1" x14ac:dyDescent="0.4">
      <c r="A41" s="12">
        <v>3554</v>
      </c>
      <c r="B41" s="21" t="s">
        <v>2584</v>
      </c>
      <c r="C41" s="13" t="s">
        <v>2585</v>
      </c>
      <c r="D41" s="25" t="s">
        <v>2585</v>
      </c>
      <c r="E41" s="13"/>
      <c r="F41" s="41"/>
      <c r="G41" s="41"/>
      <c r="H41" s="41"/>
      <c r="I41" s="41"/>
      <c r="J41" s="41"/>
      <c r="K41" s="65" t="str">
        <f>IFERROR(VLOOKUP(D41,Sheet4!A$1:M$56,11,FALSE),"")</f>
        <v/>
      </c>
      <c r="L41" s="65" t="str">
        <f t="shared" si="0"/>
        <v/>
      </c>
      <c r="M41" s="14" t="s">
        <v>49</v>
      </c>
      <c r="N41" s="15">
        <v>44721</v>
      </c>
      <c r="O41" t="s">
        <v>2434</v>
      </c>
      <c r="P41" t="s">
        <v>51</v>
      </c>
      <c r="Q41" t="s">
        <v>52</v>
      </c>
      <c r="R41" t="s">
        <v>53</v>
      </c>
      <c r="S41" t="s">
        <v>2435</v>
      </c>
      <c r="T41" t="s">
        <v>2494</v>
      </c>
      <c r="U41" t="s">
        <v>56</v>
      </c>
      <c r="V41" s="21" t="s">
        <v>2495</v>
      </c>
      <c r="W41" s="21"/>
      <c r="X41" t="s">
        <v>2586</v>
      </c>
      <c r="Y41" t="s">
        <v>2587</v>
      </c>
      <c r="AC41" t="s">
        <v>60</v>
      </c>
      <c r="AE41" s="15"/>
      <c r="AG41">
        <v>40.707563999999998</v>
      </c>
      <c r="AH41">
        <v>-91.792401999999996</v>
      </c>
      <c r="AI41" t="s">
        <v>2541</v>
      </c>
      <c r="AL41" t="s">
        <v>1715</v>
      </c>
      <c r="AM41" t="s">
        <v>63</v>
      </c>
      <c r="AN41" t="s">
        <v>2588</v>
      </c>
      <c r="AO41">
        <v>194194</v>
      </c>
      <c r="AQ41" t="s">
        <v>2589</v>
      </c>
      <c r="AR41" t="s">
        <v>2590</v>
      </c>
      <c r="AS41" t="s">
        <v>2591</v>
      </c>
      <c r="AT41" t="s">
        <v>68</v>
      </c>
      <c r="AV41" t="s">
        <v>2592</v>
      </c>
      <c r="AW41" t="s">
        <v>2593</v>
      </c>
      <c r="AX41" t="s">
        <v>2594</v>
      </c>
      <c r="BA41" s="14" t="s">
        <v>72</v>
      </c>
      <c r="BB41" s="14" t="s">
        <v>73</v>
      </c>
      <c r="BC41" s="14" t="s">
        <v>74</v>
      </c>
    </row>
    <row r="42" spans="1:55" ht="15" customHeight="1" x14ac:dyDescent="0.4">
      <c r="A42" s="12">
        <v>3555</v>
      </c>
      <c r="B42" s="21" t="s">
        <v>2595</v>
      </c>
      <c r="C42" s="13" t="s">
        <v>2596</v>
      </c>
      <c r="D42" s="25" t="s">
        <v>2596</v>
      </c>
      <c r="E42" s="13"/>
      <c r="F42" s="41"/>
      <c r="G42" s="41"/>
      <c r="H42" s="41"/>
      <c r="I42" s="41"/>
      <c r="J42" s="41"/>
      <c r="K42" s="65" t="str">
        <f>IFERROR(VLOOKUP(D42,Sheet4!A$1:M$56,11,FALSE),"")</f>
        <v/>
      </c>
      <c r="L42" s="65" t="str">
        <f t="shared" si="0"/>
        <v/>
      </c>
      <c r="M42" s="14" t="s">
        <v>49</v>
      </c>
      <c r="N42" s="15">
        <v>44721</v>
      </c>
      <c r="O42" t="s">
        <v>2434</v>
      </c>
      <c r="P42" t="s">
        <v>51</v>
      </c>
      <c r="Q42" t="s">
        <v>52</v>
      </c>
      <c r="R42" t="s">
        <v>53</v>
      </c>
      <c r="S42" t="s">
        <v>2435</v>
      </c>
      <c r="T42" t="s">
        <v>2494</v>
      </c>
      <c r="U42" t="s">
        <v>56</v>
      </c>
      <c r="V42" s="21" t="s">
        <v>2495</v>
      </c>
      <c r="W42" s="21"/>
      <c r="X42" t="s">
        <v>2597</v>
      </c>
      <c r="Y42" t="s">
        <v>2598</v>
      </c>
      <c r="AC42" t="s">
        <v>60</v>
      </c>
      <c r="AE42" s="15"/>
      <c r="AG42">
        <v>40.707349999999998</v>
      </c>
      <c r="AH42">
        <v>-91.793153000000004</v>
      </c>
      <c r="AI42" t="s">
        <v>1856</v>
      </c>
      <c r="AL42" t="s">
        <v>1715</v>
      </c>
      <c r="AM42" t="s">
        <v>63</v>
      </c>
      <c r="AN42" t="s">
        <v>2599</v>
      </c>
      <c r="AO42">
        <v>194195</v>
      </c>
      <c r="AQ42" t="s">
        <v>2600</v>
      </c>
      <c r="AR42" t="s">
        <v>2601</v>
      </c>
      <c r="AS42" t="s">
        <v>2602</v>
      </c>
      <c r="AT42" t="s">
        <v>68</v>
      </c>
      <c r="AV42" t="s">
        <v>2603</v>
      </c>
      <c r="AW42" t="s">
        <v>2604</v>
      </c>
      <c r="AX42" t="s">
        <v>2605</v>
      </c>
      <c r="BA42" s="14" t="s">
        <v>72</v>
      </c>
      <c r="BB42" s="14" t="s">
        <v>73</v>
      </c>
      <c r="BC42" s="14" t="s">
        <v>74</v>
      </c>
    </row>
    <row r="43" spans="1:55" ht="15" customHeight="1" x14ac:dyDescent="0.4">
      <c r="A43" s="12">
        <v>3556</v>
      </c>
      <c r="B43" s="21" t="s">
        <v>2606</v>
      </c>
      <c r="C43" s="13" t="s">
        <v>2607</v>
      </c>
      <c r="D43" s="25" t="s">
        <v>2607</v>
      </c>
      <c r="E43" s="13"/>
      <c r="F43" s="41"/>
      <c r="G43" s="41"/>
      <c r="H43" s="41"/>
      <c r="I43" s="41"/>
      <c r="J43" s="41"/>
      <c r="K43" s="65" t="str">
        <f>IFERROR(VLOOKUP(D43,Sheet4!A$1:M$56,11,FALSE),"")</f>
        <v/>
      </c>
      <c r="L43" s="65" t="str">
        <f t="shared" si="0"/>
        <v/>
      </c>
      <c r="M43" s="14" t="s">
        <v>1878</v>
      </c>
      <c r="N43" s="15">
        <v>44721</v>
      </c>
      <c r="O43" t="s">
        <v>2434</v>
      </c>
      <c r="P43" t="s">
        <v>51</v>
      </c>
      <c r="Q43" t="s">
        <v>52</v>
      </c>
      <c r="R43" t="s">
        <v>53</v>
      </c>
      <c r="S43" t="s">
        <v>2435</v>
      </c>
      <c r="T43" t="s">
        <v>2494</v>
      </c>
      <c r="U43" t="s">
        <v>56</v>
      </c>
      <c r="V43" s="21" t="s">
        <v>2495</v>
      </c>
      <c r="W43" s="21"/>
      <c r="X43" t="s">
        <v>2608</v>
      </c>
      <c r="Y43" t="s">
        <v>2609</v>
      </c>
      <c r="AC43" t="s">
        <v>1881</v>
      </c>
      <c r="AE43" s="15"/>
      <c r="AG43">
        <v>40.706727999999998</v>
      </c>
      <c r="AH43">
        <v>-91.793217999999996</v>
      </c>
      <c r="AI43" t="s">
        <v>2564</v>
      </c>
      <c r="AL43" t="s">
        <v>1715</v>
      </c>
      <c r="AM43" t="s">
        <v>63</v>
      </c>
      <c r="AN43" t="s">
        <v>2610</v>
      </c>
      <c r="AO43">
        <v>193757</v>
      </c>
      <c r="AQ43" t="s">
        <v>2611</v>
      </c>
      <c r="AR43" t="s">
        <v>2612</v>
      </c>
      <c r="AS43" t="s">
        <v>2613</v>
      </c>
      <c r="AT43" t="s">
        <v>68</v>
      </c>
      <c r="AV43" t="s">
        <v>2614</v>
      </c>
      <c r="AW43" t="s">
        <v>2615</v>
      </c>
      <c r="AX43" t="s">
        <v>2616</v>
      </c>
      <c r="BA43" s="14" t="s">
        <v>72</v>
      </c>
      <c r="BB43" s="14" t="s">
        <v>73</v>
      </c>
      <c r="BC43" s="14" t="s">
        <v>1723</v>
      </c>
    </row>
    <row r="44" spans="1:55" ht="15" customHeight="1" x14ac:dyDescent="0.4">
      <c r="A44" s="12">
        <v>3557</v>
      </c>
      <c r="B44" s="21" t="s">
        <v>2617</v>
      </c>
      <c r="C44" s="13" t="s">
        <v>2618</v>
      </c>
      <c r="D44" s="25" t="s">
        <v>2618</v>
      </c>
      <c r="E44" s="13"/>
      <c r="F44" s="41"/>
      <c r="G44" s="41"/>
      <c r="H44" s="41"/>
      <c r="I44" s="41"/>
      <c r="J44" s="41"/>
      <c r="K44" s="65" t="str">
        <f>IFERROR(VLOOKUP(D44,Sheet4!A$1:M$56,11,FALSE),"")</f>
        <v/>
      </c>
      <c r="L44" s="65" t="str">
        <f t="shared" si="0"/>
        <v/>
      </c>
      <c r="M44" s="14" t="s">
        <v>1829</v>
      </c>
      <c r="N44" s="15">
        <v>44721</v>
      </c>
      <c r="O44" t="s">
        <v>2434</v>
      </c>
      <c r="P44" t="s">
        <v>51</v>
      </c>
      <c r="Q44" t="s">
        <v>52</v>
      </c>
      <c r="R44" t="s">
        <v>53</v>
      </c>
      <c r="S44" t="s">
        <v>2435</v>
      </c>
      <c r="T44" t="s">
        <v>2494</v>
      </c>
      <c r="U44" t="s">
        <v>56</v>
      </c>
      <c r="V44" s="21" t="s">
        <v>2495</v>
      </c>
      <c r="W44" s="21"/>
      <c r="X44" t="s">
        <v>2619</v>
      </c>
      <c r="Y44" t="s">
        <v>2620</v>
      </c>
      <c r="AC44" t="s">
        <v>1832</v>
      </c>
      <c r="AE44" s="15"/>
      <c r="AG44">
        <v>40.706856000000002</v>
      </c>
      <c r="AH44">
        <v>-91.793689999999998</v>
      </c>
      <c r="AI44" t="s">
        <v>2541</v>
      </c>
      <c r="AL44" t="s">
        <v>1715</v>
      </c>
      <c r="AM44" t="s">
        <v>63</v>
      </c>
      <c r="AN44" t="s">
        <v>2621</v>
      </c>
      <c r="AO44">
        <v>194517</v>
      </c>
      <c r="AQ44" t="s">
        <v>2622</v>
      </c>
      <c r="AR44" t="s">
        <v>2623</v>
      </c>
      <c r="AS44" t="s">
        <v>2624</v>
      </c>
      <c r="AT44" t="s">
        <v>68</v>
      </c>
      <c r="AV44" t="s">
        <v>2625</v>
      </c>
      <c r="AW44" t="s">
        <v>2626</v>
      </c>
      <c r="AX44" t="s">
        <v>2627</v>
      </c>
      <c r="BA44" s="14" t="s">
        <v>72</v>
      </c>
      <c r="BB44" s="14" t="s">
        <v>73</v>
      </c>
      <c r="BC44" s="14" t="s">
        <v>74</v>
      </c>
    </row>
    <row r="45" spans="1:55" ht="15" customHeight="1" x14ac:dyDescent="0.4">
      <c r="A45" s="12">
        <v>3558</v>
      </c>
      <c r="B45" s="21" t="s">
        <v>2628</v>
      </c>
      <c r="C45" s="13" t="s">
        <v>2629</v>
      </c>
      <c r="D45" s="25" t="s">
        <v>2629</v>
      </c>
      <c r="E45" s="13"/>
      <c r="F45" s="41" t="s">
        <v>1829</v>
      </c>
      <c r="G45" s="41"/>
      <c r="H45" s="41"/>
      <c r="I45" s="41"/>
      <c r="J45" s="41"/>
      <c r="K45" s="65" t="str">
        <f>IFERROR(VLOOKUP(D45,Sheet4!A$1:M$56,11,FALSE),"")</f>
        <v/>
      </c>
      <c r="L45" s="65" t="str">
        <f t="shared" si="0"/>
        <v/>
      </c>
      <c r="M45" s="14" t="s">
        <v>2222</v>
      </c>
      <c r="N45" s="15">
        <v>44721</v>
      </c>
      <c r="O45" t="s">
        <v>2434</v>
      </c>
      <c r="P45" t="s">
        <v>51</v>
      </c>
      <c r="Q45" t="s">
        <v>52</v>
      </c>
      <c r="R45" t="s">
        <v>53</v>
      </c>
      <c r="S45" t="s">
        <v>2435</v>
      </c>
      <c r="T45" t="s">
        <v>2494</v>
      </c>
      <c r="U45" t="s">
        <v>56</v>
      </c>
      <c r="V45" s="21" t="s">
        <v>2495</v>
      </c>
      <c r="W45" s="21"/>
      <c r="X45" t="s">
        <v>2619</v>
      </c>
      <c r="Y45" t="s">
        <v>2630</v>
      </c>
      <c r="AC45" t="s">
        <v>2225</v>
      </c>
      <c r="AE45" s="15"/>
      <c r="AG45">
        <v>40.704425000000001</v>
      </c>
      <c r="AH45">
        <v>-91.796592000000004</v>
      </c>
      <c r="AI45" t="s">
        <v>2631</v>
      </c>
      <c r="AL45" t="s">
        <v>1715</v>
      </c>
      <c r="AM45" t="s">
        <v>63</v>
      </c>
      <c r="AN45" t="s">
        <v>2632</v>
      </c>
      <c r="AO45">
        <v>192674</v>
      </c>
      <c r="AQ45" t="s">
        <v>2633</v>
      </c>
      <c r="AR45" t="s">
        <v>2634</v>
      </c>
      <c r="AS45" t="s">
        <v>2635</v>
      </c>
      <c r="AT45" t="s">
        <v>68</v>
      </c>
      <c r="AV45" t="s">
        <v>2636</v>
      </c>
      <c r="AW45" t="s">
        <v>2637</v>
      </c>
      <c r="AX45" t="s">
        <v>2638</v>
      </c>
      <c r="BA45" s="14" t="s">
        <v>72</v>
      </c>
      <c r="BB45" s="14" t="s">
        <v>73</v>
      </c>
      <c r="BC45" s="14" t="s">
        <v>74</v>
      </c>
    </row>
    <row r="46" spans="1:55" ht="15" customHeight="1" x14ac:dyDescent="0.4">
      <c r="A46" s="12">
        <v>3559</v>
      </c>
      <c r="B46" s="21" t="s">
        <v>2639</v>
      </c>
      <c r="C46" s="13" t="s">
        <v>2640</v>
      </c>
      <c r="D46" s="25" t="s">
        <v>2640</v>
      </c>
      <c r="E46" s="13"/>
      <c r="F46" s="41"/>
      <c r="G46" s="41"/>
      <c r="H46" s="41"/>
      <c r="I46" s="41"/>
      <c r="J46" s="41"/>
      <c r="K46" s="65" t="str">
        <f>IFERROR(VLOOKUP(D46,Sheet4!A$1:M$56,11,FALSE),"")</f>
        <v/>
      </c>
      <c r="L46" s="65" t="str">
        <f t="shared" si="0"/>
        <v/>
      </c>
      <c r="M46" s="14" t="s">
        <v>2222</v>
      </c>
      <c r="N46" s="15">
        <v>44721</v>
      </c>
      <c r="O46" t="s">
        <v>2434</v>
      </c>
      <c r="P46" t="s">
        <v>51</v>
      </c>
      <c r="Q46" t="s">
        <v>52</v>
      </c>
      <c r="R46" t="s">
        <v>53</v>
      </c>
      <c r="S46" t="s">
        <v>2435</v>
      </c>
      <c r="T46" t="s">
        <v>2494</v>
      </c>
      <c r="U46" t="s">
        <v>56</v>
      </c>
      <c r="V46" s="21" t="s">
        <v>2495</v>
      </c>
      <c r="W46" s="21"/>
      <c r="X46" t="s">
        <v>2619</v>
      </c>
      <c r="Y46" t="s">
        <v>2641</v>
      </c>
      <c r="AC46" t="s">
        <v>2225</v>
      </c>
      <c r="AE46" s="15"/>
      <c r="AG46">
        <v>40.703988000000003</v>
      </c>
      <c r="AH46">
        <v>-91.796583999999996</v>
      </c>
      <c r="AI46" t="s">
        <v>2576</v>
      </c>
      <c r="AL46" t="s">
        <v>1715</v>
      </c>
      <c r="AM46" t="s">
        <v>63</v>
      </c>
      <c r="AN46" t="s">
        <v>2642</v>
      </c>
      <c r="AO46">
        <v>192662</v>
      </c>
      <c r="AQ46" t="s">
        <v>2643</v>
      </c>
      <c r="AR46" t="s">
        <v>2644</v>
      </c>
      <c r="AS46" t="s">
        <v>2645</v>
      </c>
      <c r="AT46" t="s">
        <v>68</v>
      </c>
      <c r="AV46" t="s">
        <v>2646</v>
      </c>
      <c r="AW46" t="s">
        <v>2647</v>
      </c>
      <c r="AX46" t="s">
        <v>2648</v>
      </c>
      <c r="BA46" s="14" t="s">
        <v>72</v>
      </c>
      <c r="BB46" s="14" t="s">
        <v>73</v>
      </c>
      <c r="BC46" s="14" t="s">
        <v>74</v>
      </c>
    </row>
    <row r="47" spans="1:55" ht="15" customHeight="1" x14ac:dyDescent="0.4">
      <c r="A47" s="12">
        <v>3560</v>
      </c>
      <c r="B47" s="21" t="s">
        <v>2649</v>
      </c>
      <c r="C47" s="13" t="s">
        <v>2650</v>
      </c>
      <c r="D47" s="25" t="s">
        <v>2650</v>
      </c>
      <c r="E47" s="13"/>
      <c r="F47" s="41"/>
      <c r="G47" s="41"/>
      <c r="H47" s="41"/>
      <c r="I47" s="41"/>
      <c r="J47" s="41"/>
      <c r="K47" s="65" t="str">
        <f>IFERROR(VLOOKUP(D47,Sheet4!A$1:M$56,11,FALSE),"")</f>
        <v/>
      </c>
      <c r="L47" s="65" t="str">
        <f t="shared" si="0"/>
        <v/>
      </c>
      <c r="M47" s="14" t="s">
        <v>2222</v>
      </c>
      <c r="N47" s="15">
        <v>44721</v>
      </c>
      <c r="O47" t="s">
        <v>2434</v>
      </c>
      <c r="P47" t="s">
        <v>51</v>
      </c>
      <c r="Q47" t="s">
        <v>52</v>
      </c>
      <c r="R47" t="s">
        <v>53</v>
      </c>
      <c r="S47" t="s">
        <v>2435</v>
      </c>
      <c r="T47" t="s">
        <v>2494</v>
      </c>
      <c r="U47" t="s">
        <v>56</v>
      </c>
      <c r="V47" s="21" t="s">
        <v>2495</v>
      </c>
      <c r="W47" s="21"/>
      <c r="X47" t="s">
        <v>2651</v>
      </c>
      <c r="Y47" t="s">
        <v>2652</v>
      </c>
      <c r="AB47" t="s">
        <v>1758</v>
      </c>
      <c r="AC47" t="s">
        <v>2225</v>
      </c>
      <c r="AE47" s="15"/>
      <c r="AG47">
        <v>40.703502</v>
      </c>
      <c r="AH47">
        <v>-91.796851000000004</v>
      </c>
      <c r="AI47" t="s">
        <v>2576</v>
      </c>
      <c r="AL47" t="s">
        <v>1715</v>
      </c>
      <c r="AM47" t="s">
        <v>63</v>
      </c>
      <c r="AN47" t="s">
        <v>2653</v>
      </c>
      <c r="AO47">
        <v>192655</v>
      </c>
      <c r="AQ47" t="s">
        <v>2654</v>
      </c>
      <c r="AR47" t="s">
        <v>2655</v>
      </c>
      <c r="AS47" t="s">
        <v>2656</v>
      </c>
      <c r="AT47" t="s">
        <v>68</v>
      </c>
      <c r="AV47" t="s">
        <v>2657</v>
      </c>
      <c r="AW47" t="s">
        <v>2658</v>
      </c>
      <c r="AX47" t="s">
        <v>2659</v>
      </c>
      <c r="BA47" s="14" t="s">
        <v>72</v>
      </c>
      <c r="BB47" s="14" t="s">
        <v>73</v>
      </c>
      <c r="BC47" s="14" t="s">
        <v>74</v>
      </c>
    </row>
    <row r="48" spans="1:55" ht="15" customHeight="1" x14ac:dyDescent="0.4">
      <c r="A48" s="12">
        <v>4004</v>
      </c>
      <c r="B48" s="21" t="s">
        <v>7859</v>
      </c>
      <c r="C48" s="13" t="s">
        <v>7860</v>
      </c>
      <c r="D48" s="25" t="s">
        <v>7860</v>
      </c>
      <c r="E48" s="13"/>
      <c r="F48" s="41"/>
      <c r="G48" s="41"/>
      <c r="H48" s="41"/>
      <c r="I48" s="41"/>
      <c r="J48" s="41"/>
      <c r="K48" s="65" t="str">
        <f>IFERROR(VLOOKUP(D48,Sheet4!A$1:M$56,11,FALSE),"")</f>
        <v/>
      </c>
      <c r="L48" s="65" t="str">
        <f t="shared" si="0"/>
        <v/>
      </c>
      <c r="M48" s="14" t="s">
        <v>49</v>
      </c>
      <c r="N48" s="15">
        <v>44840</v>
      </c>
      <c r="O48" t="s">
        <v>7861</v>
      </c>
      <c r="P48" t="s">
        <v>51</v>
      </c>
      <c r="Q48" t="s">
        <v>52</v>
      </c>
      <c r="R48" t="s">
        <v>53</v>
      </c>
      <c r="S48" t="s">
        <v>1707</v>
      </c>
      <c r="T48" t="s">
        <v>7862</v>
      </c>
      <c r="U48" t="s">
        <v>56</v>
      </c>
      <c r="V48" s="21" t="s">
        <v>7863</v>
      </c>
      <c r="W48" s="21"/>
      <c r="X48" t="s">
        <v>6387</v>
      </c>
      <c r="Y48" t="s">
        <v>7864</v>
      </c>
      <c r="AB48" t="s">
        <v>2440</v>
      </c>
      <c r="AC48" t="s">
        <v>60</v>
      </c>
      <c r="AE48" s="15"/>
      <c r="AG48">
        <v>39.839267</v>
      </c>
      <c r="AH48">
        <v>-88.367813999999996</v>
      </c>
      <c r="AI48" t="s">
        <v>7700</v>
      </c>
      <c r="AL48" t="s">
        <v>1715</v>
      </c>
      <c r="AM48" t="s">
        <v>63</v>
      </c>
      <c r="AN48" t="s">
        <v>7865</v>
      </c>
      <c r="AO48">
        <v>194616</v>
      </c>
      <c r="AQ48" t="s">
        <v>7866</v>
      </c>
      <c r="AR48" t="s">
        <v>7867</v>
      </c>
      <c r="AS48" t="s">
        <v>7868</v>
      </c>
      <c r="AT48" t="s">
        <v>68</v>
      </c>
      <c r="AV48" t="s">
        <v>7869</v>
      </c>
      <c r="AW48" t="s">
        <v>7870</v>
      </c>
      <c r="AX48" t="s">
        <v>7871</v>
      </c>
      <c r="BA48" s="14" t="s">
        <v>72</v>
      </c>
      <c r="BB48" s="14" t="s">
        <v>73</v>
      </c>
      <c r="BC48" s="14" t="s">
        <v>74</v>
      </c>
    </row>
    <row r="49" spans="1:55" ht="15" customHeight="1" x14ac:dyDescent="0.4">
      <c r="A49" s="12">
        <v>4005</v>
      </c>
      <c r="B49" s="21" t="s">
        <v>7872</v>
      </c>
      <c r="C49" s="13" t="s">
        <v>7873</v>
      </c>
      <c r="D49" s="25" t="s">
        <v>7873</v>
      </c>
      <c r="E49" s="13"/>
      <c r="F49" s="41"/>
      <c r="G49" s="41"/>
      <c r="H49" s="41"/>
      <c r="I49" s="41"/>
      <c r="J49" s="41"/>
      <c r="K49" s="65" t="str">
        <f>IFERROR(VLOOKUP(D49,Sheet4!A$1:M$56,11,FALSE),"")</f>
        <v/>
      </c>
      <c r="L49" s="65" t="str">
        <f t="shared" si="0"/>
        <v/>
      </c>
      <c r="M49" s="14" t="s">
        <v>49</v>
      </c>
      <c r="N49" s="15">
        <v>44840</v>
      </c>
      <c r="O49" t="s">
        <v>7861</v>
      </c>
      <c r="P49" t="s">
        <v>51</v>
      </c>
      <c r="Q49" t="s">
        <v>52</v>
      </c>
      <c r="R49" t="s">
        <v>53</v>
      </c>
      <c r="S49" t="s">
        <v>1707</v>
      </c>
      <c r="T49" t="s">
        <v>7862</v>
      </c>
      <c r="U49" t="s">
        <v>56</v>
      </c>
      <c r="V49" s="21" t="s">
        <v>7863</v>
      </c>
      <c r="W49" s="21"/>
      <c r="X49" t="s">
        <v>6387</v>
      </c>
      <c r="Y49" t="s">
        <v>7874</v>
      </c>
      <c r="AB49" t="s">
        <v>2440</v>
      </c>
      <c r="AC49" t="s">
        <v>60</v>
      </c>
      <c r="AE49" s="15"/>
      <c r="AG49">
        <v>39.839402999999997</v>
      </c>
      <c r="AH49">
        <v>-88.367953999999997</v>
      </c>
      <c r="AI49" t="s">
        <v>7418</v>
      </c>
      <c r="AL49" t="s">
        <v>1715</v>
      </c>
      <c r="AM49" t="s">
        <v>63</v>
      </c>
      <c r="AN49" t="s">
        <v>7875</v>
      </c>
      <c r="AO49">
        <v>194617</v>
      </c>
      <c r="AQ49" t="s">
        <v>7876</v>
      </c>
      <c r="AR49" t="s">
        <v>7877</v>
      </c>
      <c r="AS49" t="s">
        <v>7878</v>
      </c>
      <c r="AT49" t="s">
        <v>68</v>
      </c>
      <c r="AV49" t="s">
        <v>7879</v>
      </c>
      <c r="AW49" t="s">
        <v>7880</v>
      </c>
      <c r="AX49" t="s">
        <v>7881</v>
      </c>
      <c r="BA49" s="14" t="s">
        <v>72</v>
      </c>
      <c r="BB49" s="14" t="s">
        <v>73</v>
      </c>
      <c r="BC49" s="14" t="s">
        <v>74</v>
      </c>
    </row>
    <row r="50" spans="1:55" ht="15" customHeight="1" x14ac:dyDescent="0.4">
      <c r="A50" s="12">
        <v>4006</v>
      </c>
      <c r="B50" s="21" t="s">
        <v>7882</v>
      </c>
      <c r="C50" s="13" t="s">
        <v>7883</v>
      </c>
      <c r="D50" s="25" t="s">
        <v>7883</v>
      </c>
      <c r="E50" s="13"/>
      <c r="F50" s="41"/>
      <c r="G50" s="41"/>
      <c r="H50" s="41"/>
      <c r="I50" s="41"/>
      <c r="J50" s="41"/>
      <c r="K50" s="65" t="str">
        <f>IFERROR(VLOOKUP(D50,Sheet4!A$1:M$56,11,FALSE),"")</f>
        <v/>
      </c>
      <c r="L50" s="65" t="str">
        <f t="shared" si="0"/>
        <v/>
      </c>
      <c r="M50" s="14" t="s">
        <v>49</v>
      </c>
      <c r="N50" s="15">
        <v>44840</v>
      </c>
      <c r="O50" t="s">
        <v>7861</v>
      </c>
      <c r="P50" t="s">
        <v>51</v>
      </c>
      <c r="Q50" t="s">
        <v>52</v>
      </c>
      <c r="R50" t="s">
        <v>53</v>
      </c>
      <c r="S50" t="s">
        <v>1707</v>
      </c>
      <c r="T50" t="s">
        <v>7862</v>
      </c>
      <c r="U50" t="s">
        <v>56</v>
      </c>
      <c r="V50" s="21" t="s">
        <v>7863</v>
      </c>
      <c r="W50" s="21"/>
      <c r="X50" t="s">
        <v>7884</v>
      </c>
      <c r="Y50" t="s">
        <v>7885</v>
      </c>
      <c r="AB50" t="s">
        <v>7886</v>
      </c>
      <c r="AC50" t="s">
        <v>60</v>
      </c>
      <c r="AE50" s="15"/>
      <c r="AG50">
        <v>39.839036999999998</v>
      </c>
      <c r="AH50">
        <v>-88.368015999999997</v>
      </c>
      <c r="AI50" t="s">
        <v>1760</v>
      </c>
      <c r="AL50" t="s">
        <v>1715</v>
      </c>
      <c r="AM50" t="s">
        <v>63</v>
      </c>
      <c r="AN50" t="s">
        <v>7887</v>
      </c>
      <c r="AO50">
        <v>194618</v>
      </c>
      <c r="AQ50" t="s">
        <v>7888</v>
      </c>
      <c r="AR50" t="s">
        <v>7889</v>
      </c>
      <c r="AS50" t="s">
        <v>7890</v>
      </c>
      <c r="AT50" t="s">
        <v>68</v>
      </c>
      <c r="AV50" t="s">
        <v>7891</v>
      </c>
      <c r="AW50" t="s">
        <v>7892</v>
      </c>
      <c r="AX50" t="s">
        <v>7893</v>
      </c>
      <c r="BA50" s="14" t="s">
        <v>72</v>
      </c>
      <c r="BB50" s="14" t="s">
        <v>73</v>
      </c>
      <c r="BC50" s="14" t="s">
        <v>74</v>
      </c>
    </row>
    <row r="51" spans="1:55" ht="15" customHeight="1" x14ac:dyDescent="0.4">
      <c r="A51" s="12">
        <v>4007</v>
      </c>
      <c r="B51" s="21" t="s">
        <v>7894</v>
      </c>
      <c r="C51" s="13" t="s">
        <v>7895</v>
      </c>
      <c r="D51" s="25" t="s">
        <v>7895</v>
      </c>
      <c r="E51" s="13"/>
      <c r="F51" s="41"/>
      <c r="G51" s="41"/>
      <c r="H51" s="41"/>
      <c r="I51" s="41"/>
      <c r="J51" s="41"/>
      <c r="K51" s="65" t="str">
        <f>IFERROR(VLOOKUP(D51,Sheet4!A$1:M$56,11,FALSE),"")</f>
        <v/>
      </c>
      <c r="L51" s="65" t="str">
        <f t="shared" si="0"/>
        <v/>
      </c>
      <c r="M51" s="14" t="s">
        <v>1878</v>
      </c>
      <c r="N51" s="15">
        <v>44840</v>
      </c>
      <c r="O51" t="s">
        <v>7861</v>
      </c>
      <c r="P51" t="s">
        <v>51</v>
      </c>
      <c r="Q51" t="s">
        <v>52</v>
      </c>
      <c r="R51" t="s">
        <v>53</v>
      </c>
      <c r="S51" t="s">
        <v>1707</v>
      </c>
      <c r="T51" t="s">
        <v>7862</v>
      </c>
      <c r="U51" t="s">
        <v>56</v>
      </c>
      <c r="V51" s="21" t="s">
        <v>7863</v>
      </c>
      <c r="W51" s="21"/>
      <c r="X51" t="s">
        <v>7896</v>
      </c>
      <c r="Y51" t="s">
        <v>1878</v>
      </c>
      <c r="AB51" t="s">
        <v>7897</v>
      </c>
      <c r="AC51" t="s">
        <v>1881</v>
      </c>
      <c r="AE51" s="15"/>
      <c r="AG51">
        <v>39.839322000000003</v>
      </c>
      <c r="AH51">
        <v>-88.368375999999998</v>
      </c>
      <c r="AI51" t="s">
        <v>2808</v>
      </c>
      <c r="AL51" t="s">
        <v>1715</v>
      </c>
      <c r="AM51" t="s">
        <v>63</v>
      </c>
      <c r="AN51" t="s">
        <v>7898</v>
      </c>
      <c r="AO51">
        <v>194142</v>
      </c>
      <c r="AQ51" t="s">
        <v>7899</v>
      </c>
      <c r="AR51" t="s">
        <v>7900</v>
      </c>
      <c r="AS51" t="s">
        <v>7901</v>
      </c>
      <c r="AT51" t="s">
        <v>68</v>
      </c>
      <c r="AV51" t="s">
        <v>7902</v>
      </c>
      <c r="AW51" t="s">
        <v>7903</v>
      </c>
      <c r="AX51" t="s">
        <v>7904</v>
      </c>
      <c r="BA51" s="14" t="s">
        <v>72</v>
      </c>
      <c r="BB51" s="14" t="s">
        <v>73</v>
      </c>
      <c r="BC51" s="14" t="s">
        <v>1723</v>
      </c>
    </row>
    <row r="52" spans="1:55" ht="15" customHeight="1" x14ac:dyDescent="0.4">
      <c r="A52" s="12">
        <v>4008</v>
      </c>
      <c r="B52" s="21" t="s">
        <v>7905</v>
      </c>
      <c r="C52" s="13" t="s">
        <v>7906</v>
      </c>
      <c r="D52" s="25" t="s">
        <v>7906</v>
      </c>
      <c r="E52" s="13"/>
      <c r="F52" s="41"/>
      <c r="G52" s="41"/>
      <c r="H52" s="41"/>
      <c r="I52" s="41"/>
      <c r="J52" s="41"/>
      <c r="K52" s="65" t="str">
        <f>IFERROR(VLOOKUP(D52,Sheet4!A$1:M$56,11,FALSE),"")</f>
        <v/>
      </c>
      <c r="L52" s="65" t="str">
        <f t="shared" si="0"/>
        <v/>
      </c>
      <c r="M52" s="14" t="s">
        <v>1878</v>
      </c>
      <c r="N52" s="15">
        <v>44840</v>
      </c>
      <c r="O52" t="s">
        <v>7861</v>
      </c>
      <c r="P52" t="s">
        <v>51</v>
      </c>
      <c r="Q52" t="s">
        <v>52</v>
      </c>
      <c r="R52" t="s">
        <v>53</v>
      </c>
      <c r="S52" t="s">
        <v>1707</v>
      </c>
      <c r="T52" t="s">
        <v>7862</v>
      </c>
      <c r="U52" t="s">
        <v>56</v>
      </c>
      <c r="V52" s="21" t="s">
        <v>7863</v>
      </c>
      <c r="W52" s="21"/>
      <c r="X52" t="s">
        <v>7884</v>
      </c>
      <c r="Y52" t="s">
        <v>7907</v>
      </c>
      <c r="AB52" t="s">
        <v>7897</v>
      </c>
      <c r="AC52" t="s">
        <v>1881</v>
      </c>
      <c r="AE52" s="15"/>
      <c r="AG52">
        <v>39.839317999999999</v>
      </c>
      <c r="AH52">
        <v>-88.368629999999996</v>
      </c>
      <c r="AI52" t="s">
        <v>7291</v>
      </c>
      <c r="AL52" t="s">
        <v>1715</v>
      </c>
      <c r="AM52" t="s">
        <v>63</v>
      </c>
      <c r="AN52" t="s">
        <v>7908</v>
      </c>
      <c r="AO52">
        <v>194137</v>
      </c>
      <c r="AQ52" t="s">
        <v>7909</v>
      </c>
      <c r="AR52" t="s">
        <v>7910</v>
      </c>
      <c r="AS52" t="s">
        <v>7911</v>
      </c>
      <c r="AT52" t="s">
        <v>68</v>
      </c>
      <c r="AV52" t="s">
        <v>7912</v>
      </c>
      <c r="AW52" t="s">
        <v>7913</v>
      </c>
      <c r="AX52" t="s">
        <v>7914</v>
      </c>
      <c r="BA52" s="14" t="s">
        <v>72</v>
      </c>
      <c r="BB52" s="14" t="s">
        <v>73</v>
      </c>
      <c r="BC52" s="14" t="s">
        <v>1723</v>
      </c>
    </row>
    <row r="53" spans="1:55" ht="15" customHeight="1" x14ac:dyDescent="0.4">
      <c r="A53" s="12">
        <v>4009</v>
      </c>
      <c r="B53" s="21" t="s">
        <v>7915</v>
      </c>
      <c r="C53" s="13" t="s">
        <v>7916</v>
      </c>
      <c r="D53" s="25" t="s">
        <v>7916</v>
      </c>
      <c r="E53" s="13"/>
      <c r="F53" s="41"/>
      <c r="G53" s="41"/>
      <c r="H53" s="41"/>
      <c r="I53" s="41"/>
      <c r="J53" s="41"/>
      <c r="K53" s="65" t="str">
        <f>IFERROR(VLOOKUP(D53,Sheet4!A$1:M$56,11,FALSE),"")</f>
        <v/>
      </c>
      <c r="L53" s="65" t="str">
        <f t="shared" si="0"/>
        <v/>
      </c>
      <c r="M53" s="14" t="s">
        <v>49</v>
      </c>
      <c r="N53" s="15">
        <v>44840</v>
      </c>
      <c r="O53" t="s">
        <v>7861</v>
      </c>
      <c r="P53" t="s">
        <v>51</v>
      </c>
      <c r="Q53" t="s">
        <v>52</v>
      </c>
      <c r="R53" t="s">
        <v>53</v>
      </c>
      <c r="S53" t="s">
        <v>1707</v>
      </c>
      <c r="T53" t="s">
        <v>7862</v>
      </c>
      <c r="U53" t="s">
        <v>56</v>
      </c>
      <c r="V53" s="21" t="s">
        <v>7863</v>
      </c>
      <c r="W53" s="21"/>
      <c r="X53" t="s">
        <v>7884</v>
      </c>
      <c r="Y53" t="s">
        <v>7917</v>
      </c>
      <c r="AB53" t="s">
        <v>7918</v>
      </c>
      <c r="AC53" t="s">
        <v>60</v>
      </c>
      <c r="AE53" s="15"/>
      <c r="AG53">
        <v>39.839492</v>
      </c>
      <c r="AH53">
        <v>-88.368621000000005</v>
      </c>
      <c r="AI53" t="s">
        <v>7919</v>
      </c>
      <c r="AL53" t="s">
        <v>1715</v>
      </c>
      <c r="AM53" t="s">
        <v>63</v>
      </c>
      <c r="AN53" t="s">
        <v>7920</v>
      </c>
      <c r="AO53">
        <v>194619</v>
      </c>
      <c r="AQ53" t="s">
        <v>7921</v>
      </c>
      <c r="AR53" t="s">
        <v>7922</v>
      </c>
      <c r="AS53" t="s">
        <v>7923</v>
      </c>
      <c r="AT53" t="s">
        <v>68</v>
      </c>
      <c r="AV53" t="s">
        <v>7924</v>
      </c>
      <c r="AW53" t="s">
        <v>7925</v>
      </c>
      <c r="AX53" t="s">
        <v>7926</v>
      </c>
      <c r="BA53" s="14" t="s">
        <v>72</v>
      </c>
      <c r="BB53" s="14" t="s">
        <v>73</v>
      </c>
      <c r="BC53" s="14" t="s">
        <v>74</v>
      </c>
    </row>
    <row r="54" spans="1:55" ht="15" customHeight="1" x14ac:dyDescent="0.4">
      <c r="A54" s="12">
        <v>4010</v>
      </c>
      <c r="B54" s="21" t="s">
        <v>7927</v>
      </c>
      <c r="C54" s="13" t="s">
        <v>7928</v>
      </c>
      <c r="D54" s="25" t="s">
        <v>7928</v>
      </c>
      <c r="E54" s="13"/>
      <c r="F54" s="41"/>
      <c r="G54" s="41"/>
      <c r="H54" s="41"/>
      <c r="I54" s="41"/>
      <c r="J54" s="41"/>
      <c r="K54" s="65" t="str">
        <f>IFERROR(VLOOKUP(D54,Sheet4!A$1:M$56,11,FALSE),"")</f>
        <v/>
      </c>
      <c r="L54" s="65" t="str">
        <f t="shared" si="0"/>
        <v/>
      </c>
      <c r="M54" s="14" t="s">
        <v>49</v>
      </c>
      <c r="N54" s="15">
        <v>44840</v>
      </c>
      <c r="O54" t="s">
        <v>7861</v>
      </c>
      <c r="P54" t="s">
        <v>51</v>
      </c>
      <c r="Q54" t="s">
        <v>52</v>
      </c>
      <c r="R54" t="s">
        <v>53</v>
      </c>
      <c r="S54" t="s">
        <v>1707</v>
      </c>
      <c r="T54" t="s">
        <v>7862</v>
      </c>
      <c r="U54" t="s">
        <v>56</v>
      </c>
      <c r="V54" s="21" t="s">
        <v>7863</v>
      </c>
      <c r="W54" s="21"/>
      <c r="X54" t="s">
        <v>7929</v>
      </c>
      <c r="Y54" t="s">
        <v>7917</v>
      </c>
      <c r="AB54" t="s">
        <v>7918</v>
      </c>
      <c r="AC54" t="s">
        <v>60</v>
      </c>
      <c r="AE54" s="15"/>
      <c r="AG54">
        <v>39.839765</v>
      </c>
      <c r="AH54">
        <v>-88.369113999999996</v>
      </c>
      <c r="AI54" t="s">
        <v>793</v>
      </c>
      <c r="AL54" t="s">
        <v>1715</v>
      </c>
      <c r="AM54" t="s">
        <v>63</v>
      </c>
      <c r="AN54" t="s">
        <v>7930</v>
      </c>
      <c r="AO54">
        <v>194620</v>
      </c>
      <c r="AQ54" t="s">
        <v>7931</v>
      </c>
      <c r="AR54" t="s">
        <v>7932</v>
      </c>
      <c r="AS54" t="s">
        <v>7933</v>
      </c>
      <c r="AT54" t="s">
        <v>68</v>
      </c>
      <c r="AV54" t="s">
        <v>7934</v>
      </c>
      <c r="AW54" t="s">
        <v>7935</v>
      </c>
      <c r="AX54" t="s">
        <v>7936</v>
      </c>
      <c r="BA54" s="14" t="s">
        <v>72</v>
      </c>
      <c r="BB54" s="14" t="s">
        <v>73</v>
      </c>
      <c r="BC54" s="14" t="s">
        <v>74</v>
      </c>
    </row>
    <row r="55" spans="1:55" ht="15" customHeight="1" x14ac:dyDescent="0.4">
      <c r="A55" s="12">
        <v>4011</v>
      </c>
      <c r="B55" s="21" t="s">
        <v>7937</v>
      </c>
      <c r="C55" s="13" t="s">
        <v>7938</v>
      </c>
      <c r="D55" s="25" t="s">
        <v>7938</v>
      </c>
      <c r="E55" s="13"/>
      <c r="F55" s="41"/>
      <c r="G55" s="41"/>
      <c r="H55" s="41"/>
      <c r="I55" s="41"/>
      <c r="J55" s="41"/>
      <c r="K55" s="65" t="str">
        <f>IFERROR(VLOOKUP(D55,Sheet4!A$1:M$56,11,FALSE),"")</f>
        <v/>
      </c>
      <c r="L55" s="65" t="str">
        <f t="shared" si="0"/>
        <v/>
      </c>
      <c r="M55" s="14" t="s">
        <v>1878</v>
      </c>
      <c r="N55" s="15">
        <v>44840</v>
      </c>
      <c r="O55" t="s">
        <v>7861</v>
      </c>
      <c r="P55" t="s">
        <v>51</v>
      </c>
      <c r="Q55" t="s">
        <v>52</v>
      </c>
      <c r="R55" t="s">
        <v>53</v>
      </c>
      <c r="S55" t="s">
        <v>1707</v>
      </c>
      <c r="T55" t="s">
        <v>7862</v>
      </c>
      <c r="U55" t="s">
        <v>56</v>
      </c>
      <c r="V55" s="21" t="s">
        <v>7863</v>
      </c>
      <c r="W55" s="21"/>
      <c r="X55" t="s">
        <v>7939</v>
      </c>
      <c r="Y55" t="s">
        <v>7917</v>
      </c>
      <c r="AB55" t="s">
        <v>7918</v>
      </c>
      <c r="AC55" t="s">
        <v>1881</v>
      </c>
      <c r="AE55" s="15"/>
      <c r="AG55">
        <v>39.839716000000003</v>
      </c>
      <c r="AH55">
        <v>-88.369110000000006</v>
      </c>
      <c r="AI55" t="s">
        <v>7940</v>
      </c>
      <c r="AL55" t="s">
        <v>1715</v>
      </c>
      <c r="AM55" t="s">
        <v>63</v>
      </c>
      <c r="AN55" t="s">
        <v>7941</v>
      </c>
      <c r="AO55">
        <v>194139</v>
      </c>
      <c r="AQ55" t="s">
        <v>7942</v>
      </c>
      <c r="AR55" t="s">
        <v>7943</v>
      </c>
      <c r="AS55" t="s">
        <v>7944</v>
      </c>
      <c r="AT55" t="s">
        <v>68</v>
      </c>
      <c r="AV55" t="s">
        <v>7945</v>
      </c>
      <c r="AW55" t="s">
        <v>7946</v>
      </c>
      <c r="AX55" t="s">
        <v>7947</v>
      </c>
      <c r="BA55" s="14" t="s">
        <v>72</v>
      </c>
      <c r="BB55" s="14" t="s">
        <v>73</v>
      </c>
      <c r="BC55" s="14" t="s">
        <v>1723</v>
      </c>
    </row>
    <row r="56" spans="1:55" ht="15" customHeight="1" x14ac:dyDescent="0.4">
      <c r="A56" s="12">
        <v>4012</v>
      </c>
      <c r="B56" s="21" t="s">
        <v>7948</v>
      </c>
      <c r="C56" s="13" t="s">
        <v>7949</v>
      </c>
      <c r="D56" s="25" t="s">
        <v>7949</v>
      </c>
      <c r="E56" s="13"/>
      <c r="F56" s="41"/>
      <c r="G56" s="41"/>
      <c r="H56" s="41"/>
      <c r="I56" s="41"/>
      <c r="J56" s="41"/>
      <c r="K56" s="65" t="str">
        <f>IFERROR(VLOOKUP(D56,Sheet4!A$1:M$56,11,FALSE),"")</f>
        <v/>
      </c>
      <c r="L56" s="65" t="str">
        <f t="shared" si="0"/>
        <v/>
      </c>
      <c r="M56" s="14" t="s">
        <v>1878</v>
      </c>
      <c r="N56" s="15">
        <v>44840</v>
      </c>
      <c r="O56" t="s">
        <v>7861</v>
      </c>
      <c r="P56" t="s">
        <v>51</v>
      </c>
      <c r="Q56" t="s">
        <v>52</v>
      </c>
      <c r="R56" t="s">
        <v>53</v>
      </c>
      <c r="S56" t="s">
        <v>1707</v>
      </c>
      <c r="T56" t="s">
        <v>7862</v>
      </c>
      <c r="U56" t="s">
        <v>56</v>
      </c>
      <c r="V56" s="21" t="s">
        <v>7863</v>
      </c>
      <c r="W56" s="21"/>
      <c r="X56" t="s">
        <v>7950</v>
      </c>
      <c r="Y56" t="s">
        <v>49</v>
      </c>
      <c r="AB56" t="s">
        <v>7918</v>
      </c>
      <c r="AC56" t="s">
        <v>1881</v>
      </c>
      <c r="AE56" s="15"/>
      <c r="AG56">
        <v>39.839182999999998</v>
      </c>
      <c r="AH56">
        <v>-88.369715999999997</v>
      </c>
      <c r="AI56" t="s">
        <v>7951</v>
      </c>
      <c r="AL56" t="s">
        <v>1715</v>
      </c>
      <c r="AM56" t="s">
        <v>63</v>
      </c>
      <c r="AN56" t="s">
        <v>7952</v>
      </c>
      <c r="AO56">
        <v>194138</v>
      </c>
      <c r="AQ56" t="s">
        <v>7953</v>
      </c>
      <c r="AR56" t="s">
        <v>7954</v>
      </c>
      <c r="AS56" t="s">
        <v>7955</v>
      </c>
      <c r="AT56" t="s">
        <v>68</v>
      </c>
      <c r="AV56" t="s">
        <v>7956</v>
      </c>
      <c r="AW56" t="s">
        <v>7957</v>
      </c>
      <c r="AX56" t="s">
        <v>7958</v>
      </c>
      <c r="BA56" s="14" t="s">
        <v>72</v>
      </c>
      <c r="BB56" s="14" t="s">
        <v>73</v>
      </c>
      <c r="BC56" s="14" t="s">
        <v>1723</v>
      </c>
    </row>
    <row r="57" spans="1:55" ht="15" customHeight="1" x14ac:dyDescent="0.4">
      <c r="A57" s="12">
        <v>4013</v>
      </c>
      <c r="B57" s="21" t="s">
        <v>7959</v>
      </c>
      <c r="C57" s="13" t="s">
        <v>7960</v>
      </c>
      <c r="D57" s="25" t="s">
        <v>7960</v>
      </c>
      <c r="E57" s="13"/>
      <c r="F57" s="41"/>
      <c r="G57" s="41"/>
      <c r="H57" s="41"/>
      <c r="I57" s="41"/>
      <c r="J57" s="41"/>
      <c r="K57" s="65" t="str">
        <f>IFERROR(VLOOKUP(D57,Sheet4!A$1:M$56,11,FALSE),"")</f>
        <v/>
      </c>
      <c r="L57" s="65" t="str">
        <f t="shared" si="0"/>
        <v/>
      </c>
      <c r="M57" s="14" t="s">
        <v>1878</v>
      </c>
      <c r="N57" s="15">
        <v>44840</v>
      </c>
      <c r="O57" t="s">
        <v>7861</v>
      </c>
      <c r="P57" t="s">
        <v>51</v>
      </c>
      <c r="Q57" t="s">
        <v>52</v>
      </c>
      <c r="R57" t="s">
        <v>53</v>
      </c>
      <c r="S57" t="s">
        <v>1707</v>
      </c>
      <c r="T57" t="s">
        <v>7862</v>
      </c>
      <c r="U57" t="s">
        <v>56</v>
      </c>
      <c r="V57" s="21" t="s">
        <v>7863</v>
      </c>
      <c r="W57" s="21"/>
      <c r="X57" t="s">
        <v>7929</v>
      </c>
      <c r="Y57" t="s">
        <v>7961</v>
      </c>
      <c r="AB57" t="s">
        <v>7918</v>
      </c>
      <c r="AC57" t="s">
        <v>1881</v>
      </c>
      <c r="AE57" s="15"/>
      <c r="AG57">
        <v>39.839106999999998</v>
      </c>
      <c r="AH57">
        <v>-88.369207000000003</v>
      </c>
      <c r="AI57" t="s">
        <v>7951</v>
      </c>
      <c r="AL57" t="s">
        <v>1715</v>
      </c>
      <c r="AM57" t="s">
        <v>63</v>
      </c>
      <c r="AN57" t="s">
        <v>7962</v>
      </c>
      <c r="AO57">
        <v>194140</v>
      </c>
      <c r="AQ57" t="s">
        <v>7963</v>
      </c>
      <c r="AR57" t="s">
        <v>7964</v>
      </c>
      <c r="AS57" t="s">
        <v>7965</v>
      </c>
      <c r="AT57" t="s">
        <v>68</v>
      </c>
      <c r="AV57" t="s">
        <v>7966</v>
      </c>
      <c r="AW57" t="s">
        <v>7967</v>
      </c>
      <c r="AX57" t="s">
        <v>7968</v>
      </c>
      <c r="BA57" s="14" t="s">
        <v>72</v>
      </c>
      <c r="BB57" s="14" t="s">
        <v>73</v>
      </c>
      <c r="BC57" s="14" t="s">
        <v>1723</v>
      </c>
    </row>
    <row r="58" spans="1:55" ht="15" customHeight="1" x14ac:dyDescent="0.4">
      <c r="A58" s="12">
        <v>3287</v>
      </c>
      <c r="B58" s="21" t="s">
        <v>1700</v>
      </c>
      <c r="C58" s="13" t="s">
        <v>1701</v>
      </c>
      <c r="D58" s="25" t="s">
        <v>1701</v>
      </c>
      <c r="E58" s="13" t="s">
        <v>1702</v>
      </c>
      <c r="F58" s="41"/>
      <c r="G58" s="41"/>
      <c r="H58" s="41"/>
      <c r="I58" s="41"/>
      <c r="J58" s="41"/>
      <c r="K58" s="65" t="str">
        <f>IFERROR(VLOOKUP(D58,Sheet4!A$1:M$56,11,FALSE),"")</f>
        <v/>
      </c>
      <c r="L58" s="65" t="str">
        <f t="shared" si="0"/>
        <v/>
      </c>
      <c r="M58" s="14" t="s">
        <v>1703</v>
      </c>
      <c r="N58" s="15">
        <v>44715</v>
      </c>
      <c r="O58" t="s">
        <v>1704</v>
      </c>
      <c r="P58" t="s">
        <v>1705</v>
      </c>
      <c r="Q58" t="s">
        <v>1706</v>
      </c>
      <c r="R58" t="s">
        <v>53</v>
      </c>
      <c r="S58" t="s">
        <v>1707</v>
      </c>
      <c r="T58" t="s">
        <v>1708</v>
      </c>
      <c r="U58" t="s">
        <v>56</v>
      </c>
      <c r="V58" t="s">
        <v>1709</v>
      </c>
      <c r="W58" s="21" t="s">
        <v>1710</v>
      </c>
      <c r="X58" t="s">
        <v>1711</v>
      </c>
      <c r="Y58" t="s">
        <v>1712</v>
      </c>
      <c r="AC58" t="s">
        <v>1713</v>
      </c>
      <c r="AE58" s="15"/>
      <c r="AG58">
        <v>37.359717000000003</v>
      </c>
      <c r="AH58">
        <v>-88.917519999999996</v>
      </c>
      <c r="AI58" t="s">
        <v>1714</v>
      </c>
      <c r="AL58" t="s">
        <v>1715</v>
      </c>
      <c r="AM58" t="s">
        <v>63</v>
      </c>
      <c r="AN58" t="s">
        <v>1716</v>
      </c>
      <c r="AO58">
        <v>193760</v>
      </c>
      <c r="AQ58" t="s">
        <v>1717</v>
      </c>
      <c r="AR58" t="s">
        <v>1718</v>
      </c>
      <c r="AS58" t="s">
        <v>1719</v>
      </c>
      <c r="AT58" t="s">
        <v>68</v>
      </c>
      <c r="AV58" t="s">
        <v>1720</v>
      </c>
      <c r="AW58" t="s">
        <v>1721</v>
      </c>
      <c r="AX58" t="s">
        <v>1722</v>
      </c>
      <c r="BA58" s="14" t="s">
        <v>72</v>
      </c>
      <c r="BB58" s="14" t="s">
        <v>73</v>
      </c>
      <c r="BC58" s="14" t="s">
        <v>1723</v>
      </c>
    </row>
    <row r="59" spans="1:55" ht="15" customHeight="1" x14ac:dyDescent="0.4">
      <c r="A59" s="12">
        <v>3288</v>
      </c>
      <c r="B59" s="21" t="s">
        <v>1724</v>
      </c>
      <c r="C59" s="13" t="s">
        <v>1725</v>
      </c>
      <c r="D59" s="25" t="s">
        <v>1725</v>
      </c>
      <c r="E59" s="13" t="s">
        <v>1726</v>
      </c>
      <c r="F59" s="41"/>
      <c r="G59" s="41"/>
      <c r="H59" s="41"/>
      <c r="I59" s="41"/>
      <c r="J59" s="41"/>
      <c r="K59" s="65" t="str">
        <f>IFERROR(VLOOKUP(D59,Sheet4!A$1:M$56,11,FALSE),"")</f>
        <v/>
      </c>
      <c r="L59" s="65" t="str">
        <f t="shared" si="0"/>
        <v/>
      </c>
      <c r="M59" s="14" t="s">
        <v>1703</v>
      </c>
      <c r="N59" s="15">
        <v>44715</v>
      </c>
      <c r="O59" t="s">
        <v>1704</v>
      </c>
      <c r="P59" t="s">
        <v>1705</v>
      </c>
      <c r="Q59" t="s">
        <v>1706</v>
      </c>
      <c r="R59" t="s">
        <v>53</v>
      </c>
      <c r="S59" t="s">
        <v>1707</v>
      </c>
      <c r="T59" t="s">
        <v>1708</v>
      </c>
      <c r="U59" t="s">
        <v>56</v>
      </c>
      <c r="V59" t="s">
        <v>1709</v>
      </c>
      <c r="W59" s="21" t="s">
        <v>1710</v>
      </c>
      <c r="X59" t="s">
        <v>1727</v>
      </c>
      <c r="Y59" t="s">
        <v>1728</v>
      </c>
      <c r="AC59" t="s">
        <v>1713</v>
      </c>
      <c r="AE59" s="15"/>
      <c r="AG59">
        <v>37.358862000000002</v>
      </c>
      <c r="AH59">
        <v>-88.917535000000001</v>
      </c>
      <c r="AI59" t="s">
        <v>1729</v>
      </c>
      <c r="AL59" t="s">
        <v>1715</v>
      </c>
      <c r="AM59" t="s">
        <v>63</v>
      </c>
      <c r="AN59" t="s">
        <v>1730</v>
      </c>
      <c r="AO59">
        <v>193761</v>
      </c>
      <c r="AQ59" t="s">
        <v>1731</v>
      </c>
      <c r="AR59" t="s">
        <v>1732</v>
      </c>
      <c r="AS59" t="s">
        <v>1733</v>
      </c>
      <c r="AT59" t="s">
        <v>68</v>
      </c>
      <c r="AV59" t="s">
        <v>1734</v>
      </c>
      <c r="AW59" t="s">
        <v>1735</v>
      </c>
      <c r="AX59" t="s">
        <v>1736</v>
      </c>
      <c r="BA59" s="14" t="s">
        <v>72</v>
      </c>
      <c r="BB59" s="14" t="s">
        <v>73</v>
      </c>
      <c r="BC59" s="14" t="s">
        <v>1723</v>
      </c>
    </row>
    <row r="60" spans="1:55" ht="15" customHeight="1" x14ac:dyDescent="0.4">
      <c r="A60" s="12">
        <v>3289</v>
      </c>
      <c r="B60" s="21" t="s">
        <v>1737</v>
      </c>
      <c r="C60" s="13" t="s">
        <v>1738</v>
      </c>
      <c r="D60" s="25" t="s">
        <v>1738</v>
      </c>
      <c r="E60" s="13" t="s">
        <v>1739</v>
      </c>
      <c r="F60" s="41"/>
      <c r="G60" s="41"/>
      <c r="H60" s="41"/>
      <c r="I60" s="41"/>
      <c r="J60" s="41"/>
      <c r="K60" s="65" t="str">
        <f>IFERROR(VLOOKUP(D60,Sheet4!A$1:M$56,11,FALSE),"")</f>
        <v/>
      </c>
      <c r="L60" s="65" t="str">
        <f t="shared" si="0"/>
        <v/>
      </c>
      <c r="M60" s="14" t="s">
        <v>1703</v>
      </c>
      <c r="N60" s="15">
        <v>44715</v>
      </c>
      <c r="O60" t="s">
        <v>1704</v>
      </c>
      <c r="P60" t="s">
        <v>1705</v>
      </c>
      <c r="Q60" t="s">
        <v>1706</v>
      </c>
      <c r="R60" t="s">
        <v>53</v>
      </c>
      <c r="S60" t="s">
        <v>1707</v>
      </c>
      <c r="T60" t="s">
        <v>1708</v>
      </c>
      <c r="U60" t="s">
        <v>56</v>
      </c>
      <c r="V60" t="s">
        <v>1709</v>
      </c>
      <c r="W60" s="21" t="s">
        <v>1710</v>
      </c>
      <c r="X60" t="s">
        <v>1740</v>
      </c>
      <c r="Y60" t="s">
        <v>1741</v>
      </c>
      <c r="AC60" t="s">
        <v>1713</v>
      </c>
      <c r="AE60" s="15"/>
      <c r="AG60">
        <v>37.357104999999997</v>
      </c>
      <c r="AH60">
        <v>-88.916939999999997</v>
      </c>
      <c r="AI60" t="s">
        <v>1742</v>
      </c>
      <c r="AL60" t="s">
        <v>1715</v>
      </c>
      <c r="AM60" t="s">
        <v>63</v>
      </c>
      <c r="AN60" t="s">
        <v>1743</v>
      </c>
      <c r="AO60">
        <v>193762</v>
      </c>
      <c r="AQ60" t="s">
        <v>1744</v>
      </c>
      <c r="AR60" t="s">
        <v>1745</v>
      </c>
      <c r="AS60" t="s">
        <v>1746</v>
      </c>
      <c r="AT60" t="s">
        <v>68</v>
      </c>
      <c r="AV60" t="s">
        <v>1747</v>
      </c>
      <c r="AW60" t="s">
        <v>1748</v>
      </c>
      <c r="AX60" t="s">
        <v>1749</v>
      </c>
      <c r="BA60" s="14" t="s">
        <v>72</v>
      </c>
      <c r="BB60" s="14" t="s">
        <v>73</v>
      </c>
      <c r="BC60" s="14" t="s">
        <v>1723</v>
      </c>
    </row>
    <row r="61" spans="1:55" ht="15" customHeight="1" x14ac:dyDescent="0.4">
      <c r="A61" s="12">
        <v>3528</v>
      </c>
      <c r="B61" s="21" t="s">
        <v>2265</v>
      </c>
      <c r="C61" s="13" t="s">
        <v>2266</v>
      </c>
      <c r="D61" s="25" t="s">
        <v>2266</v>
      </c>
      <c r="E61" s="13" t="s">
        <v>2267</v>
      </c>
      <c r="F61" s="41"/>
      <c r="G61" s="41"/>
      <c r="H61" s="41"/>
      <c r="I61" s="41"/>
      <c r="J61" s="41"/>
      <c r="K61" s="65" t="str">
        <f>IFERROR(VLOOKUP(D61,Sheet4!A$1:M$56,11,FALSE),"")</f>
        <v/>
      </c>
      <c r="L61" s="65" t="str">
        <f t="shared" si="0"/>
        <v/>
      </c>
      <c r="M61" s="14" t="s">
        <v>49</v>
      </c>
      <c r="N61" s="15">
        <v>44705</v>
      </c>
      <c r="O61" t="s">
        <v>2268</v>
      </c>
      <c r="P61" t="s">
        <v>51</v>
      </c>
      <c r="Q61" t="s">
        <v>52</v>
      </c>
      <c r="R61" t="s">
        <v>53</v>
      </c>
      <c r="S61" t="s">
        <v>1707</v>
      </c>
      <c r="T61" t="s">
        <v>2269</v>
      </c>
      <c r="U61" t="s">
        <v>56</v>
      </c>
      <c r="V61" s="21" t="s">
        <v>2270</v>
      </c>
      <c r="W61" s="21"/>
      <c r="X61" t="s">
        <v>2271</v>
      </c>
      <c r="Y61" t="s">
        <v>2272</v>
      </c>
      <c r="AB61" t="s">
        <v>1758</v>
      </c>
      <c r="AC61" t="s">
        <v>60</v>
      </c>
      <c r="AE61" s="15"/>
      <c r="AG61">
        <v>41.813830000000003</v>
      </c>
      <c r="AH61">
        <v>-88.062933000000001</v>
      </c>
      <c r="AI61" t="s">
        <v>2273</v>
      </c>
      <c r="AL61" t="s">
        <v>1715</v>
      </c>
      <c r="AM61" t="s">
        <v>63</v>
      </c>
      <c r="AN61" t="s">
        <v>2274</v>
      </c>
      <c r="AO61">
        <v>194200</v>
      </c>
      <c r="AQ61" t="s">
        <v>2275</v>
      </c>
      <c r="AR61" t="s">
        <v>2276</v>
      </c>
      <c r="AS61" t="s">
        <v>2277</v>
      </c>
      <c r="AT61" t="s">
        <v>68</v>
      </c>
      <c r="AV61" t="s">
        <v>2278</v>
      </c>
      <c r="AW61" t="s">
        <v>2279</v>
      </c>
      <c r="AX61" t="s">
        <v>2280</v>
      </c>
      <c r="BA61" s="14" t="s">
        <v>72</v>
      </c>
      <c r="BB61" s="14" t="s">
        <v>73</v>
      </c>
      <c r="BC61" s="14" t="s">
        <v>74</v>
      </c>
    </row>
    <row r="62" spans="1:55" ht="15" customHeight="1" x14ac:dyDescent="0.4">
      <c r="A62" s="12">
        <v>3531</v>
      </c>
      <c r="B62" s="21" t="s">
        <v>2305</v>
      </c>
      <c r="C62" s="13" t="s">
        <v>2306</v>
      </c>
      <c r="D62" s="25" t="s">
        <v>2306</v>
      </c>
      <c r="E62" s="13" t="s">
        <v>2307</v>
      </c>
      <c r="F62" s="41"/>
      <c r="G62" s="41"/>
      <c r="H62" s="41"/>
      <c r="I62" s="41"/>
      <c r="J62" s="41"/>
      <c r="K62" s="65" t="str">
        <f>IFERROR(VLOOKUP(D62,Sheet4!A$1:M$56,11,FALSE),"")</f>
        <v/>
      </c>
      <c r="L62" s="65" t="str">
        <f t="shared" si="0"/>
        <v/>
      </c>
      <c r="M62" s="14" t="s">
        <v>1878</v>
      </c>
      <c r="N62" s="15">
        <v>44705</v>
      </c>
      <c r="O62" t="s">
        <v>2268</v>
      </c>
      <c r="P62" t="s">
        <v>51</v>
      </c>
      <c r="Q62" t="s">
        <v>52</v>
      </c>
      <c r="R62" t="s">
        <v>53</v>
      </c>
      <c r="S62" t="s">
        <v>1707</v>
      </c>
      <c r="T62" t="s">
        <v>2269</v>
      </c>
      <c r="U62" t="s">
        <v>56</v>
      </c>
      <c r="V62" s="21" t="s">
        <v>2270</v>
      </c>
      <c r="W62" s="21"/>
      <c r="X62" t="s">
        <v>2271</v>
      </c>
      <c r="Y62" t="s">
        <v>2308</v>
      </c>
      <c r="AC62" t="s">
        <v>1881</v>
      </c>
      <c r="AE62" s="15"/>
      <c r="AG62">
        <v>41.813845999999998</v>
      </c>
      <c r="AH62">
        <v>-88.063775000000007</v>
      </c>
      <c r="AI62" t="s">
        <v>225</v>
      </c>
      <c r="AL62" t="s">
        <v>1715</v>
      </c>
      <c r="AM62" t="s">
        <v>63</v>
      </c>
      <c r="AN62" t="s">
        <v>2309</v>
      </c>
      <c r="AO62">
        <v>193918</v>
      </c>
      <c r="AQ62" t="s">
        <v>2310</v>
      </c>
      <c r="AR62" t="s">
        <v>2311</v>
      </c>
      <c r="AS62" t="s">
        <v>2312</v>
      </c>
      <c r="AT62" t="s">
        <v>68</v>
      </c>
      <c r="AV62" t="s">
        <v>2313</v>
      </c>
      <c r="AW62" t="s">
        <v>2314</v>
      </c>
      <c r="AX62" t="s">
        <v>2315</v>
      </c>
      <c r="BA62" s="14" t="s">
        <v>72</v>
      </c>
      <c r="BB62" s="14" t="s">
        <v>73</v>
      </c>
      <c r="BC62" s="14" t="s">
        <v>1723</v>
      </c>
    </row>
    <row r="63" spans="1:55" ht="15" customHeight="1" x14ac:dyDescent="0.4">
      <c r="A63" s="12">
        <v>3530</v>
      </c>
      <c r="B63" s="21" t="s">
        <v>2293</v>
      </c>
      <c r="C63" s="13" t="s">
        <v>2294</v>
      </c>
      <c r="D63" s="25" t="s">
        <v>2294</v>
      </c>
      <c r="E63" s="13" t="s">
        <v>2295</v>
      </c>
      <c r="F63" s="41"/>
      <c r="G63" s="41"/>
      <c r="H63" s="41"/>
      <c r="I63" s="41"/>
      <c r="J63" s="41"/>
      <c r="K63" s="65" t="str">
        <f>IFERROR(VLOOKUP(D63,Sheet4!A$1:M$56,11,FALSE),"")</f>
        <v/>
      </c>
      <c r="L63" s="65" t="str">
        <f t="shared" si="0"/>
        <v/>
      </c>
      <c r="M63" s="14" t="s">
        <v>49</v>
      </c>
      <c r="N63" s="15">
        <v>44705</v>
      </c>
      <c r="O63" t="s">
        <v>2268</v>
      </c>
      <c r="P63" t="s">
        <v>51</v>
      </c>
      <c r="Q63" t="s">
        <v>52</v>
      </c>
      <c r="R63" t="s">
        <v>53</v>
      </c>
      <c r="S63" t="s">
        <v>1707</v>
      </c>
      <c r="T63" t="s">
        <v>2269</v>
      </c>
      <c r="U63" t="s">
        <v>56</v>
      </c>
      <c r="V63" s="21" t="s">
        <v>2270</v>
      </c>
      <c r="W63" s="21"/>
      <c r="X63" t="s">
        <v>2271</v>
      </c>
      <c r="Y63" t="s">
        <v>2296</v>
      </c>
      <c r="AC63" t="s">
        <v>60</v>
      </c>
      <c r="AE63" s="15"/>
      <c r="AG63">
        <v>41.813960999999999</v>
      </c>
      <c r="AH63">
        <v>-88.063804000000005</v>
      </c>
      <c r="AI63" t="s">
        <v>2297</v>
      </c>
      <c r="AL63" t="s">
        <v>1715</v>
      </c>
      <c r="AM63" t="s">
        <v>63</v>
      </c>
      <c r="AN63" t="s">
        <v>2298</v>
      </c>
      <c r="AO63">
        <v>194203</v>
      </c>
      <c r="AQ63" t="s">
        <v>2299</v>
      </c>
      <c r="AR63" t="s">
        <v>2300</v>
      </c>
      <c r="AS63" t="s">
        <v>2301</v>
      </c>
      <c r="AT63" t="s">
        <v>68</v>
      </c>
      <c r="AV63" t="s">
        <v>2302</v>
      </c>
      <c r="AW63" t="s">
        <v>2303</v>
      </c>
      <c r="AX63" t="s">
        <v>2304</v>
      </c>
      <c r="BA63" s="14" t="s">
        <v>72</v>
      </c>
      <c r="BB63" s="14" t="s">
        <v>73</v>
      </c>
      <c r="BC63" s="14" t="s">
        <v>74</v>
      </c>
    </row>
    <row r="64" spans="1:55" s="34" customFormat="1" ht="15" customHeight="1" x14ac:dyDescent="0.4">
      <c r="A64" s="12">
        <v>3529</v>
      </c>
      <c r="B64" s="21" t="s">
        <v>2281</v>
      </c>
      <c r="C64" s="13" t="s">
        <v>2282</v>
      </c>
      <c r="D64" s="25" t="s">
        <v>2282</v>
      </c>
      <c r="E64" s="13" t="s">
        <v>2283</v>
      </c>
      <c r="F64" s="41"/>
      <c r="G64" s="41"/>
      <c r="H64" s="41"/>
      <c r="I64" s="41"/>
      <c r="J64" s="41"/>
      <c r="K64" s="65" t="str">
        <f>IFERROR(VLOOKUP(D64,Sheet4!A$1:M$56,11,FALSE),"")</f>
        <v/>
      </c>
      <c r="L64" s="65" t="str">
        <f t="shared" si="0"/>
        <v/>
      </c>
      <c r="M64" s="14" t="s">
        <v>1878</v>
      </c>
      <c r="N64" s="15">
        <v>44705</v>
      </c>
      <c r="O64" t="s">
        <v>2268</v>
      </c>
      <c r="P64" t="s">
        <v>51</v>
      </c>
      <c r="Q64" t="s">
        <v>52</v>
      </c>
      <c r="R64" t="s">
        <v>53</v>
      </c>
      <c r="S64" t="s">
        <v>1707</v>
      </c>
      <c r="T64" t="s">
        <v>2269</v>
      </c>
      <c r="U64" t="s">
        <v>56</v>
      </c>
      <c r="V64" s="21" t="s">
        <v>2270</v>
      </c>
      <c r="W64" s="21"/>
      <c r="X64" t="s">
        <v>2271</v>
      </c>
      <c r="Y64" t="s">
        <v>2284</v>
      </c>
      <c r="Z64"/>
      <c r="AA64"/>
      <c r="AB64"/>
      <c r="AC64" t="s">
        <v>1881</v>
      </c>
      <c r="AD64"/>
      <c r="AE64" s="15"/>
      <c r="AF64"/>
      <c r="AG64">
        <v>41.813921999999998</v>
      </c>
      <c r="AH64">
        <v>-88.062901999999994</v>
      </c>
      <c r="AI64" t="s">
        <v>2285</v>
      </c>
      <c r="AJ64"/>
      <c r="AK64"/>
      <c r="AL64" t="s">
        <v>1715</v>
      </c>
      <c r="AM64" t="s">
        <v>63</v>
      </c>
      <c r="AN64" t="s">
        <v>2286</v>
      </c>
      <c r="AO64">
        <v>192541</v>
      </c>
      <c r="AP64"/>
      <c r="AQ64" t="s">
        <v>2287</v>
      </c>
      <c r="AR64" t="s">
        <v>2288</v>
      </c>
      <c r="AS64" t="s">
        <v>2289</v>
      </c>
      <c r="AT64" t="s">
        <v>68</v>
      </c>
      <c r="AU64"/>
      <c r="AV64" t="s">
        <v>2290</v>
      </c>
      <c r="AW64" t="s">
        <v>2291</v>
      </c>
      <c r="AX64" t="s">
        <v>2292</v>
      </c>
      <c r="AY64" s="31"/>
      <c r="AZ64" s="31"/>
      <c r="BA64" s="14" t="s">
        <v>72</v>
      </c>
      <c r="BB64" s="14" t="s">
        <v>73</v>
      </c>
      <c r="BC64" s="14" t="s">
        <v>1723</v>
      </c>
    </row>
    <row r="65" spans="1:55" s="34" customFormat="1" ht="15" customHeight="1" x14ac:dyDescent="0.4">
      <c r="A65" s="12">
        <v>3532</v>
      </c>
      <c r="B65" s="21" t="s">
        <v>2316</v>
      </c>
      <c r="C65" s="13" t="s">
        <v>2317</v>
      </c>
      <c r="D65" s="25" t="s">
        <v>2317</v>
      </c>
      <c r="E65" s="13" t="s">
        <v>2318</v>
      </c>
      <c r="F65" s="41" t="s">
        <v>2222</v>
      </c>
      <c r="G65" s="41"/>
      <c r="H65" s="41"/>
      <c r="I65" s="41"/>
      <c r="J65" s="41"/>
      <c r="K65" s="65" t="str">
        <f>IFERROR(VLOOKUP(D65,Sheet4!A$1:M$56,11,FALSE),"")</f>
        <v/>
      </c>
      <c r="L65" s="65" t="str">
        <f t="shared" si="0"/>
        <v/>
      </c>
      <c r="M65" s="14" t="s">
        <v>2319</v>
      </c>
      <c r="N65" s="15">
        <v>44705</v>
      </c>
      <c r="O65" t="s">
        <v>2268</v>
      </c>
      <c r="P65" t="s">
        <v>51</v>
      </c>
      <c r="Q65" t="s">
        <v>52</v>
      </c>
      <c r="R65" t="s">
        <v>53</v>
      </c>
      <c r="S65" t="s">
        <v>1707</v>
      </c>
      <c r="T65" t="s">
        <v>2269</v>
      </c>
      <c r="U65" t="s">
        <v>56</v>
      </c>
      <c r="V65" s="21" t="s">
        <v>2270</v>
      </c>
      <c r="W65" s="21"/>
      <c r="X65" t="s">
        <v>2271</v>
      </c>
      <c r="Y65" t="s">
        <v>2320</v>
      </c>
      <c r="Z65"/>
      <c r="AA65"/>
      <c r="AB65" t="s">
        <v>2321</v>
      </c>
      <c r="AC65" t="s">
        <v>2322</v>
      </c>
      <c r="AD65"/>
      <c r="AE65" s="15"/>
      <c r="AF65"/>
      <c r="AG65">
        <v>41.815708999999998</v>
      </c>
      <c r="AH65">
        <v>-88.061440000000005</v>
      </c>
      <c r="AI65" t="s">
        <v>2323</v>
      </c>
      <c r="AJ65"/>
      <c r="AK65"/>
      <c r="AL65" t="s">
        <v>1715</v>
      </c>
      <c r="AM65" t="s">
        <v>63</v>
      </c>
      <c r="AN65" t="s">
        <v>2324</v>
      </c>
      <c r="AO65">
        <v>192568</v>
      </c>
      <c r="AP65"/>
      <c r="AQ65" t="s">
        <v>2325</v>
      </c>
      <c r="AR65" t="s">
        <v>2326</v>
      </c>
      <c r="AS65" t="s">
        <v>2327</v>
      </c>
      <c r="AT65" t="s">
        <v>68</v>
      </c>
      <c r="AU65"/>
      <c r="AV65" t="s">
        <v>2328</v>
      </c>
      <c r="AW65" t="s">
        <v>2329</v>
      </c>
      <c r="AX65" t="s">
        <v>2330</v>
      </c>
      <c r="AY65" s="31"/>
      <c r="AZ65" s="31"/>
      <c r="BA65" s="14" t="e">
        <v>#N/A</v>
      </c>
      <c r="BB65" s="14" t="e">
        <v>#N/A</v>
      </c>
      <c r="BC65" s="14" t="e">
        <v>#N/A</v>
      </c>
    </row>
    <row r="66" spans="1:55" s="34" customFormat="1" ht="15" customHeight="1" x14ac:dyDescent="0.4">
      <c r="A66" s="12">
        <v>3533</v>
      </c>
      <c r="B66" s="21" t="s">
        <v>2331</v>
      </c>
      <c r="C66" s="13" t="s">
        <v>2332</v>
      </c>
      <c r="D66" s="25" t="s">
        <v>2332</v>
      </c>
      <c r="E66" s="13" t="s">
        <v>2333</v>
      </c>
      <c r="F66" s="41"/>
      <c r="G66" s="41"/>
      <c r="H66" s="41"/>
      <c r="I66" s="41"/>
      <c r="J66" s="41"/>
      <c r="K66" s="65" t="str">
        <f>IFERROR(VLOOKUP(D66,Sheet4!A$1:M$56,11,FALSE),"")</f>
        <v/>
      </c>
      <c r="L66" s="65" t="str">
        <f t="shared" si="0"/>
        <v/>
      </c>
      <c r="M66" s="14" t="s">
        <v>1878</v>
      </c>
      <c r="N66" s="15">
        <v>44705</v>
      </c>
      <c r="O66" t="s">
        <v>2268</v>
      </c>
      <c r="P66" t="s">
        <v>51</v>
      </c>
      <c r="Q66" t="s">
        <v>52</v>
      </c>
      <c r="R66" t="s">
        <v>53</v>
      </c>
      <c r="S66" t="s">
        <v>1707</v>
      </c>
      <c r="T66" t="s">
        <v>2269</v>
      </c>
      <c r="U66" t="s">
        <v>56</v>
      </c>
      <c r="V66" s="21" t="s">
        <v>2270</v>
      </c>
      <c r="W66" s="21"/>
      <c r="X66" t="s">
        <v>2334</v>
      </c>
      <c r="Y66" t="s">
        <v>2335</v>
      </c>
      <c r="Z66"/>
      <c r="AA66"/>
      <c r="AB66" t="s">
        <v>2336</v>
      </c>
      <c r="AC66" t="s">
        <v>1881</v>
      </c>
      <c r="AD66"/>
      <c r="AE66" s="15"/>
      <c r="AF66"/>
      <c r="AG66">
        <v>41.815707000000003</v>
      </c>
      <c r="AH66">
        <v>-88.061199999999999</v>
      </c>
      <c r="AI66" t="s">
        <v>2337</v>
      </c>
      <c r="AJ66"/>
      <c r="AK66"/>
      <c r="AL66" t="s">
        <v>1715</v>
      </c>
      <c r="AM66" t="s">
        <v>63</v>
      </c>
      <c r="AN66" t="s">
        <v>2338</v>
      </c>
      <c r="AO66">
        <v>193919</v>
      </c>
      <c r="AP66"/>
      <c r="AQ66" t="s">
        <v>2339</v>
      </c>
      <c r="AR66" t="s">
        <v>2340</v>
      </c>
      <c r="AS66" t="s">
        <v>2341</v>
      </c>
      <c r="AT66" t="s">
        <v>68</v>
      </c>
      <c r="AU66"/>
      <c r="AV66" t="s">
        <v>2342</v>
      </c>
      <c r="AW66" t="s">
        <v>2343</v>
      </c>
      <c r="AX66" t="s">
        <v>2344</v>
      </c>
      <c r="AY66" s="31"/>
      <c r="AZ66" s="31"/>
      <c r="BA66" s="14" t="s">
        <v>72</v>
      </c>
      <c r="BB66" s="14" t="s">
        <v>73</v>
      </c>
      <c r="BC66" s="14" t="s">
        <v>1723</v>
      </c>
    </row>
    <row r="67" spans="1:55" s="34" customFormat="1" ht="15" customHeight="1" x14ac:dyDescent="0.4">
      <c r="A67" s="12">
        <v>3535</v>
      </c>
      <c r="B67" s="21" t="s">
        <v>2358</v>
      </c>
      <c r="C67" s="13" t="s">
        <v>2359</v>
      </c>
      <c r="D67" s="25" t="s">
        <v>2359</v>
      </c>
      <c r="E67" s="13" t="s">
        <v>2360</v>
      </c>
      <c r="F67" s="41"/>
      <c r="G67" s="41"/>
      <c r="H67" s="41"/>
      <c r="I67" s="41"/>
      <c r="J67" s="41"/>
      <c r="K67" s="65" t="str">
        <f>IFERROR(VLOOKUP(D67,Sheet4!A$1:M$56,11,FALSE),"")</f>
        <v/>
      </c>
      <c r="L67" s="65" t="str">
        <f t="shared" ref="L67:L130" si="1">_xlfn.CONCAT(J67,K67)</f>
        <v/>
      </c>
      <c r="M67" s="14" t="s">
        <v>1878</v>
      </c>
      <c r="N67" s="15">
        <v>44705</v>
      </c>
      <c r="O67" t="s">
        <v>2268</v>
      </c>
      <c r="P67" t="s">
        <v>51</v>
      </c>
      <c r="Q67" t="s">
        <v>52</v>
      </c>
      <c r="R67" t="s">
        <v>53</v>
      </c>
      <c r="S67" t="s">
        <v>1707</v>
      </c>
      <c r="T67" t="s">
        <v>2269</v>
      </c>
      <c r="U67" t="s">
        <v>56</v>
      </c>
      <c r="V67" s="21" t="s">
        <v>2270</v>
      </c>
      <c r="W67" s="21"/>
      <c r="X67" t="s">
        <v>2348</v>
      </c>
      <c r="Y67" t="s">
        <v>2361</v>
      </c>
      <c r="Z67"/>
      <c r="AA67"/>
      <c r="AB67" t="s">
        <v>2336</v>
      </c>
      <c r="AC67" t="s">
        <v>1881</v>
      </c>
      <c r="AD67"/>
      <c r="AE67" s="15"/>
      <c r="AF67"/>
      <c r="AG67">
        <v>41.815891999999998</v>
      </c>
      <c r="AH67">
        <v>-88.060242000000002</v>
      </c>
      <c r="AI67" t="s">
        <v>2350</v>
      </c>
      <c r="AJ67"/>
      <c r="AK67"/>
      <c r="AL67" t="s">
        <v>1715</v>
      </c>
      <c r="AM67" t="s">
        <v>63</v>
      </c>
      <c r="AN67" t="s">
        <v>2362</v>
      </c>
      <c r="AO67">
        <v>193920</v>
      </c>
      <c r="AP67"/>
      <c r="AQ67" t="s">
        <v>2363</v>
      </c>
      <c r="AR67" t="s">
        <v>2364</v>
      </c>
      <c r="AS67" t="s">
        <v>2365</v>
      </c>
      <c r="AT67" t="s">
        <v>68</v>
      </c>
      <c r="AU67"/>
      <c r="AV67" t="s">
        <v>2366</v>
      </c>
      <c r="AW67" t="s">
        <v>2367</v>
      </c>
      <c r="AX67" t="s">
        <v>2368</v>
      </c>
      <c r="AY67" s="31"/>
      <c r="AZ67" s="31"/>
      <c r="BA67" s="14" t="s">
        <v>72</v>
      </c>
      <c r="BB67" s="14" t="s">
        <v>73</v>
      </c>
      <c r="BC67" s="14" t="s">
        <v>1723</v>
      </c>
    </row>
    <row r="68" spans="1:55" s="34" customFormat="1" ht="15" customHeight="1" x14ac:dyDescent="0.4">
      <c r="A68" s="12">
        <v>3534</v>
      </c>
      <c r="B68" s="21" t="s">
        <v>2345</v>
      </c>
      <c r="C68" s="13" t="s">
        <v>2346</v>
      </c>
      <c r="D68" s="25" t="s">
        <v>2346</v>
      </c>
      <c r="E68" s="13" t="s">
        <v>2347</v>
      </c>
      <c r="F68" s="41"/>
      <c r="G68" s="41"/>
      <c r="H68" s="41"/>
      <c r="I68" s="41"/>
      <c r="J68" s="41"/>
      <c r="K68" s="65" t="str">
        <f>IFERROR(VLOOKUP(D68,Sheet4!A$1:M$56,11,FALSE),"")</f>
        <v/>
      </c>
      <c r="L68" s="65" t="str">
        <f t="shared" si="1"/>
        <v/>
      </c>
      <c r="M68" s="14" t="s">
        <v>49</v>
      </c>
      <c r="N68" s="15">
        <v>44705</v>
      </c>
      <c r="O68" t="s">
        <v>2268</v>
      </c>
      <c r="P68" t="s">
        <v>51</v>
      </c>
      <c r="Q68" t="s">
        <v>52</v>
      </c>
      <c r="R68" t="s">
        <v>53</v>
      </c>
      <c r="S68" t="s">
        <v>1707</v>
      </c>
      <c r="T68" t="s">
        <v>2269</v>
      </c>
      <c r="U68" t="s">
        <v>56</v>
      </c>
      <c r="V68" s="21" t="s">
        <v>2270</v>
      </c>
      <c r="W68" s="21"/>
      <c r="X68" t="s">
        <v>2348</v>
      </c>
      <c r="Y68" t="s">
        <v>2349</v>
      </c>
      <c r="Z68"/>
      <c r="AA68"/>
      <c r="AB68"/>
      <c r="AC68" t="s">
        <v>60</v>
      </c>
      <c r="AD68"/>
      <c r="AE68" s="15"/>
      <c r="AF68"/>
      <c r="AG68">
        <v>41.815863</v>
      </c>
      <c r="AH68">
        <v>-88.060169999999999</v>
      </c>
      <c r="AI68" t="s">
        <v>2350</v>
      </c>
      <c r="AJ68"/>
      <c r="AK68"/>
      <c r="AL68" t="s">
        <v>1715</v>
      </c>
      <c r="AM68" t="s">
        <v>63</v>
      </c>
      <c r="AN68" t="s">
        <v>2351</v>
      </c>
      <c r="AO68">
        <v>194204</v>
      </c>
      <c r="AP68"/>
      <c r="AQ68" t="s">
        <v>2352</v>
      </c>
      <c r="AR68" t="s">
        <v>2353</v>
      </c>
      <c r="AS68" t="s">
        <v>2354</v>
      </c>
      <c r="AT68" t="s">
        <v>68</v>
      </c>
      <c r="AU68"/>
      <c r="AV68" t="s">
        <v>2355</v>
      </c>
      <c r="AW68" t="s">
        <v>2356</v>
      </c>
      <c r="AX68" t="s">
        <v>2357</v>
      </c>
      <c r="AY68" s="31"/>
      <c r="AZ68" s="31"/>
      <c r="BA68" s="14" t="s">
        <v>72</v>
      </c>
      <c r="BB68" s="14" t="s">
        <v>73</v>
      </c>
      <c r="BC68" s="14" t="s">
        <v>74</v>
      </c>
    </row>
    <row r="69" spans="1:55" s="34" customFormat="1" ht="15" customHeight="1" x14ac:dyDescent="0.4">
      <c r="A69" s="12">
        <v>3536</v>
      </c>
      <c r="B69" s="21" t="s">
        <v>2369</v>
      </c>
      <c r="C69" s="13" t="s">
        <v>2370</v>
      </c>
      <c r="D69" s="25" t="s">
        <v>2370</v>
      </c>
      <c r="E69" s="13" t="s">
        <v>2371</v>
      </c>
      <c r="F69" s="41"/>
      <c r="G69" s="41"/>
      <c r="H69" s="41"/>
      <c r="I69" s="41"/>
      <c r="J69" s="41"/>
      <c r="K69" s="65" t="str">
        <f>IFERROR(VLOOKUP(D69,Sheet4!A$1:M$56,11,FALSE),"")</f>
        <v/>
      </c>
      <c r="L69" s="65" t="str">
        <f t="shared" si="1"/>
        <v/>
      </c>
      <c r="M69" s="14" t="s">
        <v>49</v>
      </c>
      <c r="N69" s="15">
        <v>44705</v>
      </c>
      <c r="O69" t="s">
        <v>2268</v>
      </c>
      <c r="P69" t="s">
        <v>51</v>
      </c>
      <c r="Q69" t="s">
        <v>52</v>
      </c>
      <c r="R69" t="s">
        <v>53</v>
      </c>
      <c r="S69" t="s">
        <v>1707</v>
      </c>
      <c r="T69" t="s">
        <v>2269</v>
      </c>
      <c r="U69" t="s">
        <v>56</v>
      </c>
      <c r="V69" s="21" t="s">
        <v>2270</v>
      </c>
      <c r="W69" s="21"/>
      <c r="X69" t="s">
        <v>2372</v>
      </c>
      <c r="Y69" t="s">
        <v>2373</v>
      </c>
      <c r="Z69"/>
      <c r="AA69"/>
      <c r="AB69" t="s">
        <v>1758</v>
      </c>
      <c r="AC69" t="s">
        <v>60</v>
      </c>
      <c r="AD69"/>
      <c r="AE69" s="15"/>
      <c r="AF69"/>
      <c r="AG69">
        <v>41.814978000000004</v>
      </c>
      <c r="AH69">
        <v>-88.061147000000005</v>
      </c>
      <c r="AI69" t="s">
        <v>2337</v>
      </c>
      <c r="AJ69"/>
      <c r="AK69"/>
      <c r="AL69" t="s">
        <v>1715</v>
      </c>
      <c r="AM69" t="s">
        <v>63</v>
      </c>
      <c r="AN69" t="s">
        <v>2374</v>
      </c>
      <c r="AO69">
        <v>194205</v>
      </c>
      <c r="AP69"/>
      <c r="AQ69" t="s">
        <v>2375</v>
      </c>
      <c r="AR69" t="s">
        <v>2376</v>
      </c>
      <c r="AS69" t="s">
        <v>2377</v>
      </c>
      <c r="AT69" t="s">
        <v>68</v>
      </c>
      <c r="AU69"/>
      <c r="AV69" t="s">
        <v>2378</v>
      </c>
      <c r="AW69" t="s">
        <v>2379</v>
      </c>
      <c r="AX69" t="s">
        <v>2380</v>
      </c>
      <c r="AY69" s="31"/>
      <c r="AZ69" s="31"/>
      <c r="BA69" s="14" t="s">
        <v>72</v>
      </c>
      <c r="BB69" s="14" t="s">
        <v>73</v>
      </c>
      <c r="BC69" s="14" t="s">
        <v>74</v>
      </c>
    </row>
    <row r="70" spans="1:55" ht="15" customHeight="1" x14ac:dyDescent="0.4">
      <c r="A70" s="12">
        <v>3538</v>
      </c>
      <c r="B70" s="21" t="s">
        <v>2394</v>
      </c>
      <c r="C70" s="13" t="s">
        <v>2395</v>
      </c>
      <c r="D70" s="25" t="s">
        <v>2395</v>
      </c>
      <c r="E70" s="13" t="s">
        <v>2396</v>
      </c>
      <c r="F70" s="41"/>
      <c r="G70" s="41"/>
      <c r="H70" s="41"/>
      <c r="I70" s="41"/>
      <c r="J70" s="41"/>
      <c r="K70" s="65" t="str">
        <f>IFERROR(VLOOKUP(D70,Sheet4!A$1:M$56,11,FALSE),"")</f>
        <v/>
      </c>
      <c r="L70" s="65" t="str">
        <f t="shared" si="1"/>
        <v/>
      </c>
      <c r="M70" s="14" t="s">
        <v>1878</v>
      </c>
      <c r="N70" s="15">
        <v>44705</v>
      </c>
      <c r="O70" t="s">
        <v>2268</v>
      </c>
      <c r="P70" t="s">
        <v>51</v>
      </c>
      <c r="Q70" t="s">
        <v>52</v>
      </c>
      <c r="R70" t="s">
        <v>53</v>
      </c>
      <c r="S70" t="s">
        <v>1707</v>
      </c>
      <c r="T70" t="s">
        <v>2269</v>
      </c>
      <c r="U70" t="s">
        <v>56</v>
      </c>
      <c r="V70" s="21" t="s">
        <v>2270</v>
      </c>
      <c r="W70" s="21"/>
      <c r="X70" t="s">
        <v>2397</v>
      </c>
      <c r="Y70" t="s">
        <v>2398</v>
      </c>
      <c r="AC70" t="s">
        <v>1881</v>
      </c>
      <c r="AE70" s="15"/>
      <c r="AG70">
        <v>41.819198</v>
      </c>
      <c r="AH70">
        <v>-88.051045999999999</v>
      </c>
      <c r="AI70" t="s">
        <v>2399</v>
      </c>
      <c r="AL70" t="s">
        <v>1715</v>
      </c>
      <c r="AM70" t="s">
        <v>63</v>
      </c>
      <c r="AN70" t="s">
        <v>2400</v>
      </c>
      <c r="AO70">
        <v>193921</v>
      </c>
      <c r="AQ70" t="s">
        <v>2401</v>
      </c>
      <c r="AR70" t="s">
        <v>2402</v>
      </c>
      <c r="AS70" t="s">
        <v>2403</v>
      </c>
      <c r="AT70" t="s">
        <v>68</v>
      </c>
      <c r="AV70" t="s">
        <v>2404</v>
      </c>
      <c r="AW70" t="s">
        <v>2405</v>
      </c>
      <c r="AX70" t="s">
        <v>2406</v>
      </c>
      <c r="BA70" s="14" t="s">
        <v>72</v>
      </c>
      <c r="BB70" s="14" t="s">
        <v>73</v>
      </c>
      <c r="BC70" s="14" t="s">
        <v>1723</v>
      </c>
    </row>
    <row r="71" spans="1:55" ht="15" customHeight="1" x14ac:dyDescent="0.4">
      <c r="A71" s="12">
        <v>3537</v>
      </c>
      <c r="B71" s="21" t="s">
        <v>2381</v>
      </c>
      <c r="C71" s="13" t="s">
        <v>2382</v>
      </c>
      <c r="D71" s="25" t="s">
        <v>2382</v>
      </c>
      <c r="E71" s="13" t="s">
        <v>2383</v>
      </c>
      <c r="F71" s="41"/>
      <c r="G71" s="41"/>
      <c r="H71" s="41"/>
      <c r="I71" s="41"/>
      <c r="J71" s="41"/>
      <c r="K71" s="65" t="str">
        <f>IFERROR(VLOOKUP(D71,Sheet4!A$1:M$56,11,FALSE),"")</f>
        <v/>
      </c>
      <c r="L71" s="65" t="str">
        <f t="shared" si="1"/>
        <v/>
      </c>
      <c r="M71" s="14" t="s">
        <v>49</v>
      </c>
      <c r="N71" s="15">
        <v>44705</v>
      </c>
      <c r="O71" t="s">
        <v>2268</v>
      </c>
      <c r="P71" t="s">
        <v>51</v>
      </c>
      <c r="Q71" t="s">
        <v>52</v>
      </c>
      <c r="R71" t="s">
        <v>53</v>
      </c>
      <c r="S71" t="s">
        <v>1707</v>
      </c>
      <c r="T71" t="s">
        <v>2269</v>
      </c>
      <c r="U71" t="s">
        <v>56</v>
      </c>
      <c r="V71" s="21" t="s">
        <v>2270</v>
      </c>
      <c r="W71" s="21"/>
      <c r="X71" t="s">
        <v>2384</v>
      </c>
      <c r="Y71" t="s">
        <v>2385</v>
      </c>
      <c r="AC71" t="s">
        <v>60</v>
      </c>
      <c r="AE71" s="15"/>
      <c r="AG71">
        <v>41.819274999999998</v>
      </c>
      <c r="AH71">
        <v>-88.050901999999994</v>
      </c>
      <c r="AI71" t="s">
        <v>2386</v>
      </c>
      <c r="AL71" t="s">
        <v>1715</v>
      </c>
      <c r="AM71" t="s">
        <v>63</v>
      </c>
      <c r="AN71" t="s">
        <v>2387</v>
      </c>
      <c r="AO71">
        <v>194206</v>
      </c>
      <c r="AQ71" t="s">
        <v>2388</v>
      </c>
      <c r="AR71" t="s">
        <v>2389</v>
      </c>
      <c r="AS71" t="s">
        <v>2390</v>
      </c>
      <c r="AT71" t="s">
        <v>68</v>
      </c>
      <c r="AV71" t="s">
        <v>2391</v>
      </c>
      <c r="AW71" t="s">
        <v>2392</v>
      </c>
      <c r="AX71" t="s">
        <v>2393</v>
      </c>
      <c r="BA71" s="14" t="s">
        <v>72</v>
      </c>
      <c r="BB71" s="14" t="s">
        <v>73</v>
      </c>
      <c r="BC71" s="14" t="s">
        <v>74</v>
      </c>
    </row>
    <row r="72" spans="1:55" ht="15" customHeight="1" x14ac:dyDescent="0.4">
      <c r="A72" s="12">
        <v>3539</v>
      </c>
      <c r="B72" s="21" t="s">
        <v>2407</v>
      </c>
      <c r="C72" s="13" t="s">
        <v>2408</v>
      </c>
      <c r="D72" s="25" t="s">
        <v>2408</v>
      </c>
      <c r="E72" s="13" t="s">
        <v>2409</v>
      </c>
      <c r="F72" s="41"/>
      <c r="G72" s="41"/>
      <c r="H72" s="41"/>
      <c r="I72" s="41"/>
      <c r="J72" s="41"/>
      <c r="K72" s="65" t="str">
        <f>IFERROR(VLOOKUP(D72,Sheet4!A$1:M$56,11,FALSE),"")</f>
        <v/>
      </c>
      <c r="L72" s="65" t="str">
        <f t="shared" si="1"/>
        <v/>
      </c>
      <c r="M72" s="14" t="s">
        <v>49</v>
      </c>
      <c r="N72" s="15">
        <v>44705</v>
      </c>
      <c r="O72" t="s">
        <v>2268</v>
      </c>
      <c r="P72" t="s">
        <v>51</v>
      </c>
      <c r="Q72" t="s">
        <v>52</v>
      </c>
      <c r="R72" t="s">
        <v>53</v>
      </c>
      <c r="S72" t="s">
        <v>1707</v>
      </c>
      <c r="T72" t="s">
        <v>2269</v>
      </c>
      <c r="U72" t="s">
        <v>56</v>
      </c>
      <c r="V72" s="21" t="s">
        <v>2270</v>
      </c>
      <c r="W72" s="21"/>
      <c r="X72" t="s">
        <v>2410</v>
      </c>
      <c r="Y72" t="s">
        <v>2411</v>
      </c>
      <c r="AC72" t="s">
        <v>60</v>
      </c>
      <c r="AE72" s="15"/>
      <c r="AG72">
        <v>41.820968000000001</v>
      </c>
      <c r="AH72">
        <v>-88.052361000000005</v>
      </c>
      <c r="AI72" t="s">
        <v>2412</v>
      </c>
      <c r="AL72" t="s">
        <v>1715</v>
      </c>
      <c r="AM72" t="s">
        <v>63</v>
      </c>
      <c r="AN72" t="s">
        <v>2413</v>
      </c>
      <c r="AO72">
        <v>194415</v>
      </c>
      <c r="AQ72" t="s">
        <v>2414</v>
      </c>
      <c r="AR72" t="s">
        <v>2415</v>
      </c>
      <c r="AS72" t="s">
        <v>2416</v>
      </c>
      <c r="AT72" t="s">
        <v>68</v>
      </c>
      <c r="AV72" t="s">
        <v>2417</v>
      </c>
      <c r="AW72" t="s">
        <v>2418</v>
      </c>
      <c r="AX72" t="s">
        <v>2419</v>
      </c>
      <c r="BA72" s="14" t="s">
        <v>72</v>
      </c>
      <c r="BB72" s="14" t="s">
        <v>73</v>
      </c>
      <c r="BC72" s="14" t="s">
        <v>74</v>
      </c>
    </row>
    <row r="73" spans="1:55" ht="15" customHeight="1" x14ac:dyDescent="0.4">
      <c r="A73" s="12">
        <v>3540</v>
      </c>
      <c r="B73" s="21" t="s">
        <v>2420</v>
      </c>
      <c r="C73" s="13" t="s">
        <v>2421</v>
      </c>
      <c r="D73" s="25" t="s">
        <v>2421</v>
      </c>
      <c r="E73" s="13" t="s">
        <v>2422</v>
      </c>
      <c r="F73" s="41"/>
      <c r="G73" s="41"/>
      <c r="H73" s="41"/>
      <c r="I73" s="41"/>
      <c r="J73" s="41"/>
      <c r="K73" s="65" t="str">
        <f>IFERROR(VLOOKUP(D73,Sheet4!A$1:M$56,11,FALSE),"")</f>
        <v/>
      </c>
      <c r="L73" s="65" t="str">
        <f t="shared" si="1"/>
        <v/>
      </c>
      <c r="M73" s="14" t="s">
        <v>1878</v>
      </c>
      <c r="N73" s="15">
        <v>44705</v>
      </c>
      <c r="O73" t="s">
        <v>2268</v>
      </c>
      <c r="P73" t="s">
        <v>51</v>
      </c>
      <c r="Q73" t="s">
        <v>52</v>
      </c>
      <c r="R73" t="s">
        <v>53</v>
      </c>
      <c r="S73" t="s">
        <v>1707</v>
      </c>
      <c r="T73" t="s">
        <v>2269</v>
      </c>
      <c r="U73" t="s">
        <v>56</v>
      </c>
      <c r="V73" s="21" t="s">
        <v>2270</v>
      </c>
      <c r="W73" s="21"/>
      <c r="X73" t="s">
        <v>2410</v>
      </c>
      <c r="Y73" t="s">
        <v>2423</v>
      </c>
      <c r="AB73" t="s">
        <v>2336</v>
      </c>
      <c r="AC73" t="s">
        <v>1881</v>
      </c>
      <c r="AE73" s="15"/>
      <c r="AG73">
        <v>41.820900999999999</v>
      </c>
      <c r="AH73">
        <v>-88.052706999999998</v>
      </c>
      <c r="AI73" t="s">
        <v>2424</v>
      </c>
      <c r="AL73" t="s">
        <v>1715</v>
      </c>
      <c r="AM73" t="s">
        <v>63</v>
      </c>
      <c r="AN73" t="s">
        <v>2425</v>
      </c>
      <c r="AO73">
        <v>193922</v>
      </c>
      <c r="AQ73" t="s">
        <v>2426</v>
      </c>
      <c r="AR73" t="s">
        <v>2427</v>
      </c>
      <c r="AS73" t="s">
        <v>2428</v>
      </c>
      <c r="AT73" t="s">
        <v>68</v>
      </c>
      <c r="AV73" t="s">
        <v>2429</v>
      </c>
      <c r="AW73" t="s">
        <v>2430</v>
      </c>
      <c r="AX73" t="s">
        <v>2431</v>
      </c>
      <c r="BA73" s="14" t="s">
        <v>72</v>
      </c>
      <c r="BB73" s="14" t="s">
        <v>73</v>
      </c>
      <c r="BC73" s="14" t="s">
        <v>1723</v>
      </c>
    </row>
    <row r="74" spans="1:55" ht="15" customHeight="1" x14ac:dyDescent="0.4">
      <c r="A74" s="12">
        <v>3310</v>
      </c>
      <c r="B74" s="21" t="s">
        <v>1990</v>
      </c>
      <c r="C74" s="13" t="s">
        <v>1991</v>
      </c>
      <c r="D74" s="25" t="s">
        <v>1991</v>
      </c>
      <c r="E74" s="13"/>
      <c r="F74" s="41"/>
      <c r="G74" s="41"/>
      <c r="H74" s="41"/>
      <c r="I74" s="41"/>
      <c r="J74" s="41"/>
      <c r="K74" s="65" t="str">
        <f>IFERROR(VLOOKUP(D74,Sheet4!A$1:M$56,11,FALSE),"")</f>
        <v/>
      </c>
      <c r="L74" s="65" t="str">
        <f t="shared" si="1"/>
        <v/>
      </c>
      <c r="M74" s="14" t="s">
        <v>49</v>
      </c>
      <c r="N74" s="15">
        <v>44714</v>
      </c>
      <c r="O74" s="15" t="s">
        <v>1992</v>
      </c>
      <c r="P74" t="s">
        <v>1705</v>
      </c>
      <c r="Q74" t="s">
        <v>1706</v>
      </c>
      <c r="R74" t="s">
        <v>53</v>
      </c>
      <c r="S74" t="s">
        <v>1707</v>
      </c>
      <c r="T74" t="s">
        <v>1993</v>
      </c>
      <c r="U74" s="21" t="s">
        <v>56</v>
      </c>
      <c r="V74" t="s">
        <v>1994</v>
      </c>
      <c r="W74" s="21"/>
      <c r="X74" t="s">
        <v>1995</v>
      </c>
      <c r="Y74" t="s">
        <v>1996</v>
      </c>
      <c r="AC74" t="s">
        <v>60</v>
      </c>
      <c r="AE74" s="15"/>
      <c r="AL74" t="s">
        <v>1715</v>
      </c>
      <c r="AM74" t="s">
        <v>63</v>
      </c>
      <c r="AN74" t="s">
        <v>1997</v>
      </c>
      <c r="AO74">
        <v>192558</v>
      </c>
      <c r="AQ74" t="s">
        <v>1998</v>
      </c>
      <c r="AR74" t="s">
        <v>1999</v>
      </c>
      <c r="AS74" t="s">
        <v>2000</v>
      </c>
      <c r="AT74" t="s">
        <v>68</v>
      </c>
      <c r="AV74" t="s">
        <v>2001</v>
      </c>
      <c r="AW74" t="s">
        <v>2002</v>
      </c>
      <c r="AX74" t="s">
        <v>2003</v>
      </c>
      <c r="BA74" s="14" t="s">
        <v>72</v>
      </c>
      <c r="BB74" s="14" t="s">
        <v>73</v>
      </c>
      <c r="BC74" s="14" t="s">
        <v>74</v>
      </c>
    </row>
    <row r="75" spans="1:55" ht="15" customHeight="1" x14ac:dyDescent="0.4">
      <c r="A75" s="12">
        <v>3311</v>
      </c>
      <c r="B75" s="19" t="s">
        <v>2004</v>
      </c>
      <c r="C75" s="13" t="s">
        <v>2005</v>
      </c>
      <c r="D75" s="27" t="s">
        <v>2005</v>
      </c>
      <c r="E75" s="13"/>
      <c r="F75" s="54" t="s">
        <v>2006</v>
      </c>
      <c r="G75" s="54" t="s">
        <v>8095</v>
      </c>
      <c r="H75" s="54" t="s">
        <v>8173</v>
      </c>
      <c r="I75" s="54"/>
      <c r="J75" s="54" t="s">
        <v>8174</v>
      </c>
      <c r="K75" s="65" t="str">
        <f>IFERROR(VLOOKUP(D75,Sheet4!A$1:M$56,11,FALSE),"")</f>
        <v/>
      </c>
      <c r="L75" s="65" t="str">
        <f t="shared" si="1"/>
        <v>Genomically some admixture with Q. bicolor</v>
      </c>
      <c r="M75" s="14" t="s">
        <v>2006</v>
      </c>
      <c r="N75" s="15">
        <v>44714</v>
      </c>
      <c r="O75" s="15" t="s">
        <v>1992</v>
      </c>
      <c r="P75" t="s">
        <v>1705</v>
      </c>
      <c r="Q75" t="s">
        <v>1706</v>
      </c>
      <c r="R75" t="s">
        <v>53</v>
      </c>
      <c r="S75" t="s">
        <v>1707</v>
      </c>
      <c r="T75" t="s">
        <v>1993</v>
      </c>
      <c r="U75" s="21" t="s">
        <v>56</v>
      </c>
      <c r="V75" t="s">
        <v>1994</v>
      </c>
      <c r="W75" s="21"/>
      <c r="X75" t="s">
        <v>2007</v>
      </c>
      <c r="Y75" t="s">
        <v>2008</v>
      </c>
      <c r="AC75" t="s">
        <v>2009</v>
      </c>
      <c r="AE75" s="15"/>
      <c r="AK75" s="18" t="s">
        <v>2010</v>
      </c>
      <c r="AL75" t="s">
        <v>1715</v>
      </c>
      <c r="AM75" t="s">
        <v>63</v>
      </c>
      <c r="AN75" t="s">
        <v>2011</v>
      </c>
      <c r="AO75">
        <v>194223</v>
      </c>
      <c r="AQ75" t="s">
        <v>2012</v>
      </c>
      <c r="AR75" t="s">
        <v>2013</v>
      </c>
      <c r="AS75" t="s">
        <v>2014</v>
      </c>
      <c r="AT75" t="s">
        <v>68</v>
      </c>
      <c r="AV75" t="s">
        <v>2015</v>
      </c>
      <c r="AW75" t="s">
        <v>2016</v>
      </c>
      <c r="AX75" t="s">
        <v>2017</v>
      </c>
      <c r="BA75" s="14" t="s">
        <v>72</v>
      </c>
      <c r="BB75" s="14" t="s">
        <v>73</v>
      </c>
      <c r="BC75" s="14" t="s">
        <v>74</v>
      </c>
    </row>
    <row r="76" spans="1:55" ht="15" customHeight="1" x14ac:dyDescent="0.4">
      <c r="A76" s="12">
        <v>3523</v>
      </c>
      <c r="B76" s="19" t="s">
        <v>2255</v>
      </c>
      <c r="C76" s="13" t="s">
        <v>2256</v>
      </c>
      <c r="D76" s="18" t="s">
        <v>2256</v>
      </c>
      <c r="E76" s="13"/>
      <c r="F76" s="43" t="s">
        <v>49</v>
      </c>
      <c r="G76" s="41"/>
      <c r="H76" s="41"/>
      <c r="I76" s="41"/>
      <c r="J76" s="41"/>
      <c r="K76" s="65" t="str">
        <f>IFERROR(VLOOKUP(D76,Sheet4!A$1:M$56,11,FALSE),"")</f>
        <v/>
      </c>
      <c r="L76" s="65" t="str">
        <f t="shared" si="1"/>
        <v/>
      </c>
      <c r="M76" s="14" t="s">
        <v>49</v>
      </c>
      <c r="N76" s="15">
        <v>44714</v>
      </c>
      <c r="O76" s="28" t="s">
        <v>1992</v>
      </c>
      <c r="P76" t="s">
        <v>1705</v>
      </c>
      <c r="Q76" t="s">
        <v>1706</v>
      </c>
      <c r="R76" t="s">
        <v>53</v>
      </c>
      <c r="S76" t="s">
        <v>1707</v>
      </c>
      <c r="T76" t="s">
        <v>1993</v>
      </c>
      <c r="U76" t="s">
        <v>56</v>
      </c>
      <c r="V76" s="21" t="s">
        <v>1994</v>
      </c>
      <c r="W76" s="21"/>
      <c r="X76" t="s">
        <v>2075</v>
      </c>
      <c r="Y76" t="s">
        <v>2257</v>
      </c>
      <c r="AC76" t="s">
        <v>49</v>
      </c>
      <c r="AE76" s="15"/>
      <c r="AG76">
        <v>37.676003501399997</v>
      </c>
      <c r="AH76">
        <v>-89.4129653209</v>
      </c>
      <c r="AK76" s="59" t="s">
        <v>2010</v>
      </c>
      <c r="AL76" t="s">
        <v>1715</v>
      </c>
      <c r="AM76" t="s">
        <v>63</v>
      </c>
      <c r="AN76" t="s">
        <v>2258</v>
      </c>
      <c r="AO76">
        <v>192550</v>
      </c>
      <c r="AQ76" t="s">
        <v>2259</v>
      </c>
      <c r="AR76" t="s">
        <v>2260</v>
      </c>
      <c r="AS76" t="s">
        <v>2261</v>
      </c>
      <c r="AT76" t="s">
        <v>68</v>
      </c>
      <c r="AV76" t="s">
        <v>2262</v>
      </c>
      <c r="AW76" t="s">
        <v>2263</v>
      </c>
      <c r="AX76" t="s">
        <v>2264</v>
      </c>
      <c r="BA76" s="14" t="s">
        <v>72</v>
      </c>
      <c r="BB76" s="14" t="s">
        <v>73</v>
      </c>
      <c r="BC76" s="14" t="s">
        <v>74</v>
      </c>
    </row>
    <row r="77" spans="1:55" ht="15" customHeight="1" x14ac:dyDescent="0.4">
      <c r="A77" s="12">
        <v>3312</v>
      </c>
      <c r="B77" s="21" t="s">
        <v>2018</v>
      </c>
      <c r="C77" s="13" t="s">
        <v>2019</v>
      </c>
      <c r="D77" s="25" t="s">
        <v>2019</v>
      </c>
      <c r="E77" s="13"/>
      <c r="F77" s="41"/>
      <c r="G77" s="41"/>
      <c r="H77" s="41"/>
      <c r="I77" s="41"/>
      <c r="J77" s="41"/>
      <c r="K77" s="65" t="str">
        <f>IFERROR(VLOOKUP(D77,Sheet4!A$1:M$56,11,FALSE),"")</f>
        <v/>
      </c>
      <c r="L77" s="65" t="str">
        <f t="shared" si="1"/>
        <v/>
      </c>
      <c r="M77" s="14" t="s">
        <v>2006</v>
      </c>
      <c r="N77" s="15">
        <v>44714</v>
      </c>
      <c r="O77" s="15" t="s">
        <v>1992</v>
      </c>
      <c r="P77" t="s">
        <v>1705</v>
      </c>
      <c r="Q77" t="s">
        <v>1706</v>
      </c>
      <c r="R77" t="s">
        <v>53</v>
      </c>
      <c r="S77" t="s">
        <v>1707</v>
      </c>
      <c r="T77" t="s">
        <v>1993</v>
      </c>
      <c r="U77" s="21" t="s">
        <v>56</v>
      </c>
      <c r="V77" t="s">
        <v>1994</v>
      </c>
      <c r="W77" s="21"/>
      <c r="X77" t="s">
        <v>2020</v>
      </c>
      <c r="Y77" t="s">
        <v>2021</v>
      </c>
      <c r="AC77" t="s">
        <v>2009</v>
      </c>
      <c r="AE77" s="15"/>
      <c r="AL77" t="s">
        <v>1715</v>
      </c>
      <c r="AM77" t="s">
        <v>63</v>
      </c>
      <c r="AN77" t="s">
        <v>2022</v>
      </c>
      <c r="AO77">
        <v>194224</v>
      </c>
      <c r="AQ77" t="s">
        <v>2023</v>
      </c>
      <c r="AR77" t="s">
        <v>2024</v>
      </c>
      <c r="AS77" t="s">
        <v>2025</v>
      </c>
      <c r="AT77" t="s">
        <v>68</v>
      </c>
      <c r="AV77" t="s">
        <v>2026</v>
      </c>
      <c r="AW77" t="s">
        <v>2027</v>
      </c>
      <c r="AX77" t="s">
        <v>2028</v>
      </c>
      <c r="BA77" s="14" t="s">
        <v>72</v>
      </c>
      <c r="BB77" s="14" t="s">
        <v>73</v>
      </c>
      <c r="BC77" s="14" t="s">
        <v>74</v>
      </c>
    </row>
    <row r="78" spans="1:55" ht="15" customHeight="1" x14ac:dyDescent="0.4">
      <c r="A78" s="12">
        <v>3313</v>
      </c>
      <c r="B78" s="21" t="s">
        <v>2029</v>
      </c>
      <c r="C78" s="13" t="s">
        <v>2030</v>
      </c>
      <c r="D78" s="25" t="s">
        <v>2030</v>
      </c>
      <c r="E78" s="13"/>
      <c r="F78" s="54" t="s">
        <v>2006</v>
      </c>
      <c r="G78" s="54" t="s">
        <v>8137</v>
      </c>
      <c r="H78" s="54"/>
      <c r="I78" s="54"/>
      <c r="J78" s="54" t="s">
        <v>8174</v>
      </c>
      <c r="K78" s="65" t="str">
        <f>IFERROR(VLOOKUP(D78,Sheet4!A$1:M$56,11,FALSE),"")</f>
        <v/>
      </c>
      <c r="L78" s="65" t="str">
        <f t="shared" si="1"/>
        <v>Genomically some admixture with Q. bicolor</v>
      </c>
      <c r="M78" s="14" t="s">
        <v>2006</v>
      </c>
      <c r="N78" s="15">
        <v>44714</v>
      </c>
      <c r="O78" s="15" t="s">
        <v>1992</v>
      </c>
      <c r="P78" t="s">
        <v>1705</v>
      </c>
      <c r="Q78" t="s">
        <v>1706</v>
      </c>
      <c r="R78" t="s">
        <v>53</v>
      </c>
      <c r="S78" t="s">
        <v>1707</v>
      </c>
      <c r="T78" t="s">
        <v>1993</v>
      </c>
      <c r="U78" s="21" t="s">
        <v>56</v>
      </c>
      <c r="V78" t="s">
        <v>1994</v>
      </c>
      <c r="W78" s="21"/>
      <c r="X78" t="s">
        <v>2031</v>
      </c>
      <c r="Y78" t="s">
        <v>2032</v>
      </c>
      <c r="AC78" t="s">
        <v>2009</v>
      </c>
      <c r="AE78" s="15"/>
      <c r="AL78" t="s">
        <v>1715</v>
      </c>
      <c r="AM78" t="s">
        <v>63</v>
      </c>
      <c r="AN78" t="s">
        <v>2033</v>
      </c>
      <c r="AO78">
        <v>194225</v>
      </c>
      <c r="AQ78" t="s">
        <v>2034</v>
      </c>
      <c r="AR78" t="s">
        <v>2035</v>
      </c>
      <c r="AS78" t="s">
        <v>2036</v>
      </c>
      <c r="AT78" t="s">
        <v>68</v>
      </c>
      <c r="AV78" t="s">
        <v>2037</v>
      </c>
      <c r="AW78" t="s">
        <v>2038</v>
      </c>
      <c r="AX78" t="s">
        <v>2039</v>
      </c>
      <c r="BA78" s="14" t="s">
        <v>72</v>
      </c>
      <c r="BB78" s="14" t="s">
        <v>73</v>
      </c>
      <c r="BC78" s="14" t="s">
        <v>74</v>
      </c>
    </row>
    <row r="79" spans="1:55" ht="15" customHeight="1" x14ac:dyDescent="0.4">
      <c r="A79" s="12">
        <v>3314</v>
      </c>
      <c r="B79" s="21" t="s">
        <v>2040</v>
      </c>
      <c r="C79" s="13" t="s">
        <v>2041</v>
      </c>
      <c r="D79" s="25" t="s">
        <v>2041</v>
      </c>
      <c r="E79" s="13"/>
      <c r="F79" s="41"/>
      <c r="G79" s="41"/>
      <c r="H79" s="41"/>
      <c r="I79" s="41"/>
      <c r="J79" s="41"/>
      <c r="K79" s="65" t="str">
        <f>IFERROR(VLOOKUP(D79,Sheet4!A$1:M$56,11,FALSE),"")</f>
        <v/>
      </c>
      <c r="L79" s="65" t="str">
        <f t="shared" si="1"/>
        <v/>
      </c>
      <c r="M79" s="14" t="s">
        <v>49</v>
      </c>
      <c r="N79" s="15">
        <v>44714</v>
      </c>
      <c r="O79" s="15" t="s">
        <v>1992</v>
      </c>
      <c r="P79" t="s">
        <v>1705</v>
      </c>
      <c r="Q79" t="s">
        <v>1706</v>
      </c>
      <c r="R79" t="s">
        <v>53</v>
      </c>
      <c r="S79" t="s">
        <v>1707</v>
      </c>
      <c r="T79" t="s">
        <v>1993</v>
      </c>
      <c r="U79" s="21" t="s">
        <v>56</v>
      </c>
      <c r="V79" t="s">
        <v>1994</v>
      </c>
      <c r="W79" s="21"/>
      <c r="X79" t="s">
        <v>2042</v>
      </c>
      <c r="Y79" t="s">
        <v>2043</v>
      </c>
      <c r="AC79" t="s">
        <v>60</v>
      </c>
      <c r="AE79" s="15"/>
      <c r="AL79" t="s">
        <v>1715</v>
      </c>
      <c r="AM79" t="s">
        <v>63</v>
      </c>
      <c r="AN79" t="s">
        <v>2044</v>
      </c>
      <c r="AO79">
        <v>192551</v>
      </c>
      <c r="AQ79" t="s">
        <v>2045</v>
      </c>
      <c r="AR79" t="s">
        <v>2046</v>
      </c>
      <c r="AS79" t="s">
        <v>2047</v>
      </c>
      <c r="AT79" t="s">
        <v>68</v>
      </c>
      <c r="AV79" t="s">
        <v>2048</v>
      </c>
      <c r="AW79" t="s">
        <v>2049</v>
      </c>
      <c r="AX79" t="s">
        <v>2050</v>
      </c>
      <c r="BA79" s="14" t="s">
        <v>72</v>
      </c>
      <c r="BB79" s="14" t="s">
        <v>73</v>
      </c>
      <c r="BC79" s="14" t="s">
        <v>74</v>
      </c>
    </row>
    <row r="80" spans="1:55" ht="15" customHeight="1" x14ac:dyDescent="0.4">
      <c r="A80" s="12">
        <v>3315</v>
      </c>
      <c r="B80" s="21" t="s">
        <v>2051</v>
      </c>
      <c r="C80" s="13" t="s">
        <v>2052</v>
      </c>
      <c r="D80" s="25" t="s">
        <v>2052</v>
      </c>
      <c r="E80" s="13"/>
      <c r="F80" s="41"/>
      <c r="G80" s="41"/>
      <c r="H80" s="41"/>
      <c r="I80" s="41"/>
      <c r="J80" s="41"/>
      <c r="K80" s="65" t="str">
        <f>IFERROR(VLOOKUP(D80,Sheet4!A$1:M$56,11,FALSE),"")</f>
        <v/>
      </c>
      <c r="L80" s="65" t="str">
        <f t="shared" si="1"/>
        <v/>
      </c>
      <c r="M80" s="14" t="s">
        <v>49</v>
      </c>
      <c r="N80" s="15">
        <v>44714</v>
      </c>
      <c r="O80" s="15" t="s">
        <v>1992</v>
      </c>
      <c r="P80" t="s">
        <v>1705</v>
      </c>
      <c r="Q80" t="s">
        <v>1706</v>
      </c>
      <c r="R80" t="s">
        <v>53</v>
      </c>
      <c r="S80" t="s">
        <v>1707</v>
      </c>
      <c r="T80" t="s">
        <v>1993</v>
      </c>
      <c r="U80" s="21" t="s">
        <v>56</v>
      </c>
      <c r="V80" t="s">
        <v>1994</v>
      </c>
      <c r="W80" s="21"/>
      <c r="X80" t="s">
        <v>2053</v>
      </c>
      <c r="Y80" t="s">
        <v>2054</v>
      </c>
      <c r="AC80" t="s">
        <v>60</v>
      </c>
      <c r="AE80" s="15"/>
      <c r="AL80" t="s">
        <v>1715</v>
      </c>
      <c r="AM80" t="s">
        <v>63</v>
      </c>
      <c r="AN80" t="s">
        <v>2055</v>
      </c>
      <c r="AO80">
        <v>192557</v>
      </c>
      <c r="AQ80" t="s">
        <v>2056</v>
      </c>
      <c r="AR80" t="s">
        <v>2057</v>
      </c>
      <c r="AS80" t="s">
        <v>2058</v>
      </c>
      <c r="AT80" t="s">
        <v>68</v>
      </c>
      <c r="AV80" t="s">
        <v>2059</v>
      </c>
      <c r="AW80" t="s">
        <v>2060</v>
      </c>
      <c r="AX80" t="s">
        <v>2061</v>
      </c>
      <c r="BA80" s="14" t="s">
        <v>72</v>
      </c>
      <c r="BB80" s="14" t="s">
        <v>73</v>
      </c>
      <c r="BC80" s="14" t="s">
        <v>74</v>
      </c>
    </row>
    <row r="81" spans="1:55" ht="15" customHeight="1" x14ac:dyDescent="0.4">
      <c r="A81" s="12">
        <v>3316</v>
      </c>
      <c r="B81" s="21" t="s">
        <v>2062</v>
      </c>
      <c r="C81" s="13" t="s">
        <v>2063</v>
      </c>
      <c r="D81" s="25" t="s">
        <v>2063</v>
      </c>
      <c r="E81" s="13"/>
      <c r="F81" s="54" t="s">
        <v>2006</v>
      </c>
      <c r="G81" s="54" t="s">
        <v>8136</v>
      </c>
      <c r="H81" s="54"/>
      <c r="I81" s="54"/>
      <c r="J81" s="54" t="s">
        <v>8174</v>
      </c>
      <c r="K81" s="65" t="str">
        <f>IFERROR(VLOOKUP(D81,Sheet4!A$1:M$56,11,FALSE),"")</f>
        <v/>
      </c>
      <c r="L81" s="65" t="str">
        <f t="shared" si="1"/>
        <v>Genomically some admixture with Q. bicolor</v>
      </c>
      <c r="M81" s="14" t="s">
        <v>2006</v>
      </c>
      <c r="N81" s="15">
        <v>44714</v>
      </c>
      <c r="O81" s="15" t="s">
        <v>1992</v>
      </c>
      <c r="P81" t="s">
        <v>1705</v>
      </c>
      <c r="Q81" t="s">
        <v>1706</v>
      </c>
      <c r="R81" t="s">
        <v>53</v>
      </c>
      <c r="S81" t="s">
        <v>1707</v>
      </c>
      <c r="T81" t="s">
        <v>1993</v>
      </c>
      <c r="U81" s="21" t="s">
        <v>56</v>
      </c>
      <c r="V81" t="s">
        <v>1994</v>
      </c>
      <c r="W81" s="21"/>
      <c r="X81" t="s">
        <v>2064</v>
      </c>
      <c r="Y81" t="s">
        <v>2065</v>
      </c>
      <c r="AC81" t="s">
        <v>2009</v>
      </c>
      <c r="AE81" s="15"/>
      <c r="AL81" t="s">
        <v>1715</v>
      </c>
      <c r="AM81" t="s">
        <v>63</v>
      </c>
      <c r="AN81" t="s">
        <v>2066</v>
      </c>
      <c r="AO81">
        <v>194226</v>
      </c>
      <c r="AQ81" t="s">
        <v>2067</v>
      </c>
      <c r="AR81" t="s">
        <v>2068</v>
      </c>
      <c r="AS81" t="s">
        <v>2069</v>
      </c>
      <c r="AT81" t="s">
        <v>68</v>
      </c>
      <c r="AV81" t="s">
        <v>2070</v>
      </c>
      <c r="AW81" t="s">
        <v>2071</v>
      </c>
      <c r="AX81" t="s">
        <v>2072</v>
      </c>
      <c r="BA81" s="14" t="s">
        <v>72</v>
      </c>
      <c r="BB81" s="14" t="s">
        <v>73</v>
      </c>
      <c r="BC81" s="14" t="s">
        <v>74</v>
      </c>
    </row>
    <row r="82" spans="1:55" ht="15" customHeight="1" x14ac:dyDescent="0.4">
      <c r="A82" s="12">
        <v>3317</v>
      </c>
      <c r="B82" s="21" t="s">
        <v>2073</v>
      </c>
      <c r="C82" s="13" t="s">
        <v>2074</v>
      </c>
      <c r="D82" s="25" t="s">
        <v>2074</v>
      </c>
      <c r="E82" s="13"/>
      <c r="F82" s="41"/>
      <c r="G82" s="41"/>
      <c r="H82" s="41"/>
      <c r="I82" s="41"/>
      <c r="J82" s="41"/>
      <c r="K82" s="65" t="str">
        <f>IFERROR(VLOOKUP(D82,Sheet4!A$1:M$56,11,FALSE),"")</f>
        <v/>
      </c>
      <c r="L82" s="65" t="str">
        <f t="shared" si="1"/>
        <v/>
      </c>
      <c r="M82" s="14" t="s">
        <v>49</v>
      </c>
      <c r="N82" s="15">
        <v>44714</v>
      </c>
      <c r="O82" s="15" t="s">
        <v>1992</v>
      </c>
      <c r="P82" t="s">
        <v>1705</v>
      </c>
      <c r="Q82" t="s">
        <v>1706</v>
      </c>
      <c r="R82" t="s">
        <v>53</v>
      </c>
      <c r="S82" t="s">
        <v>1707</v>
      </c>
      <c r="T82" t="s">
        <v>1993</v>
      </c>
      <c r="U82" s="21" t="s">
        <v>56</v>
      </c>
      <c r="V82" t="s">
        <v>1994</v>
      </c>
      <c r="W82" s="21"/>
      <c r="X82" t="s">
        <v>2075</v>
      </c>
      <c r="Y82" t="s">
        <v>2076</v>
      </c>
      <c r="AC82" t="s">
        <v>60</v>
      </c>
      <c r="AE82" s="15"/>
      <c r="AL82" t="s">
        <v>1715</v>
      </c>
      <c r="AM82" t="s">
        <v>63</v>
      </c>
      <c r="AN82" t="s">
        <v>2077</v>
      </c>
      <c r="AO82">
        <v>192559</v>
      </c>
      <c r="AQ82" t="s">
        <v>2078</v>
      </c>
      <c r="AR82" t="s">
        <v>2079</v>
      </c>
      <c r="AS82" t="s">
        <v>2080</v>
      </c>
      <c r="AT82" t="s">
        <v>68</v>
      </c>
      <c r="AV82" t="s">
        <v>2081</v>
      </c>
      <c r="AW82" t="s">
        <v>2082</v>
      </c>
      <c r="AX82" t="s">
        <v>2083</v>
      </c>
      <c r="BA82" s="14" t="s">
        <v>72</v>
      </c>
      <c r="BB82" s="14" t="s">
        <v>73</v>
      </c>
      <c r="BC82" s="14" t="s">
        <v>74</v>
      </c>
    </row>
    <row r="83" spans="1:55" ht="15" customHeight="1" x14ac:dyDescent="0.4">
      <c r="A83" s="12">
        <v>3318</v>
      </c>
      <c r="B83" s="21" t="s">
        <v>2084</v>
      </c>
      <c r="C83" s="13" t="s">
        <v>2085</v>
      </c>
      <c r="D83" s="25" t="s">
        <v>2085</v>
      </c>
      <c r="E83" s="13"/>
      <c r="F83" s="41" t="s">
        <v>8138</v>
      </c>
      <c r="G83" s="41"/>
      <c r="H83" s="41"/>
      <c r="I83" s="41" t="s">
        <v>8140</v>
      </c>
      <c r="J83" s="41"/>
      <c r="K83" s="65" t="str">
        <f>IFERROR(VLOOKUP(D83,Sheet4!A$1:M$56,11,FALSE),"")</f>
        <v/>
      </c>
      <c r="L83" s="65" t="str">
        <f t="shared" si="1"/>
        <v/>
      </c>
      <c r="M83" s="14" t="s">
        <v>2086</v>
      </c>
      <c r="N83" s="15">
        <v>44714</v>
      </c>
      <c r="O83" s="15" t="s">
        <v>1992</v>
      </c>
      <c r="P83" t="s">
        <v>1705</v>
      </c>
      <c r="Q83" t="s">
        <v>1706</v>
      </c>
      <c r="R83" t="s">
        <v>53</v>
      </c>
      <c r="S83" t="s">
        <v>1707</v>
      </c>
      <c r="T83" t="s">
        <v>1993</v>
      </c>
      <c r="U83" s="21" t="s">
        <v>56</v>
      </c>
      <c r="V83" t="s">
        <v>1994</v>
      </c>
      <c r="W83" s="21"/>
      <c r="X83" t="s">
        <v>2087</v>
      </c>
      <c r="Y83" t="s">
        <v>2088</v>
      </c>
      <c r="AC83" t="s">
        <v>2089</v>
      </c>
      <c r="AE83" s="15"/>
      <c r="AL83" t="s">
        <v>1715</v>
      </c>
      <c r="AM83" t="s">
        <v>63</v>
      </c>
      <c r="AN83" t="s">
        <v>2090</v>
      </c>
      <c r="AO83">
        <v>192573</v>
      </c>
      <c r="AQ83" t="s">
        <v>2091</v>
      </c>
      <c r="AR83" t="s">
        <v>2092</v>
      </c>
      <c r="AS83" t="s">
        <v>2093</v>
      </c>
      <c r="AT83" t="s">
        <v>68</v>
      </c>
      <c r="AV83" t="s">
        <v>2094</v>
      </c>
      <c r="AW83" t="s">
        <v>2095</v>
      </c>
      <c r="AX83" t="s">
        <v>2096</v>
      </c>
      <c r="BA83" s="14" t="e">
        <v>#N/A</v>
      </c>
      <c r="BB83" s="14" t="e">
        <v>#N/A</v>
      </c>
      <c r="BC83" s="14" t="e">
        <v>#N/A</v>
      </c>
    </row>
    <row r="84" spans="1:55" ht="15" customHeight="1" x14ac:dyDescent="0.4">
      <c r="A84" s="12">
        <v>3943</v>
      </c>
      <c r="B84" s="21" t="s">
        <v>7162</v>
      </c>
      <c r="C84" s="13" t="s">
        <v>7163</v>
      </c>
      <c r="D84" s="25" t="s">
        <v>7163</v>
      </c>
      <c r="E84" s="13"/>
      <c r="F84" s="41"/>
      <c r="G84" s="41"/>
      <c r="H84" s="41"/>
      <c r="I84" s="41"/>
      <c r="J84" s="41"/>
      <c r="K84" s="65" t="str">
        <f>IFERROR(VLOOKUP(D84,Sheet4!A$1:M$56,11,FALSE),"")</f>
        <v/>
      </c>
      <c r="L84" s="65" t="str">
        <f t="shared" si="1"/>
        <v/>
      </c>
      <c r="M84" s="14" t="s">
        <v>1878</v>
      </c>
      <c r="N84" s="15">
        <v>44812</v>
      </c>
      <c r="O84" t="s">
        <v>2719</v>
      </c>
      <c r="P84" t="s">
        <v>51</v>
      </c>
      <c r="Q84" t="s">
        <v>52</v>
      </c>
      <c r="R84" t="s">
        <v>53</v>
      </c>
      <c r="S84" t="s">
        <v>1707</v>
      </c>
      <c r="T84" t="s">
        <v>756</v>
      </c>
      <c r="U84" t="s">
        <v>56</v>
      </c>
      <c r="V84" s="21" t="s">
        <v>7164</v>
      </c>
      <c r="W84" s="21"/>
      <c r="X84" t="s">
        <v>7165</v>
      </c>
      <c r="Y84" t="s">
        <v>7166</v>
      </c>
      <c r="AC84" t="s">
        <v>1881</v>
      </c>
      <c r="AE84" s="15"/>
      <c r="AG84">
        <v>42.182388000000003</v>
      </c>
      <c r="AH84">
        <v>-87.911775000000006</v>
      </c>
      <c r="AI84" t="s">
        <v>7167</v>
      </c>
      <c r="AL84" t="s">
        <v>1715</v>
      </c>
      <c r="AM84" t="s">
        <v>63</v>
      </c>
      <c r="AN84" t="s">
        <v>7168</v>
      </c>
      <c r="AO84">
        <v>194158</v>
      </c>
      <c r="AQ84" t="s">
        <v>7169</v>
      </c>
      <c r="AR84" t="s">
        <v>7170</v>
      </c>
      <c r="AS84" t="s">
        <v>7171</v>
      </c>
      <c r="AT84" t="s">
        <v>68</v>
      </c>
      <c r="AV84" t="s">
        <v>7172</v>
      </c>
      <c r="AW84" t="s">
        <v>7173</v>
      </c>
      <c r="AX84" t="s">
        <v>7174</v>
      </c>
      <c r="BA84" s="14" t="s">
        <v>72</v>
      </c>
      <c r="BB84" s="14" t="s">
        <v>73</v>
      </c>
      <c r="BC84" s="14" t="s">
        <v>1723</v>
      </c>
    </row>
    <row r="85" spans="1:55" ht="15" customHeight="1" x14ac:dyDescent="0.4">
      <c r="A85" s="12">
        <v>3944</v>
      </c>
      <c r="B85" s="21" t="s">
        <v>7175</v>
      </c>
      <c r="C85" s="13" t="s">
        <v>7176</v>
      </c>
      <c r="D85" s="25" t="s">
        <v>7176</v>
      </c>
      <c r="E85" s="13"/>
      <c r="F85" s="41"/>
      <c r="G85" s="41"/>
      <c r="H85" s="41"/>
      <c r="I85" s="41"/>
      <c r="J85" s="41"/>
      <c r="K85" s="65" t="str">
        <f>IFERROR(VLOOKUP(D85,Sheet4!A$1:M$56,11,FALSE),"")</f>
        <v/>
      </c>
      <c r="L85" s="65" t="str">
        <f t="shared" si="1"/>
        <v/>
      </c>
      <c r="M85" s="14" t="s">
        <v>49</v>
      </c>
      <c r="N85" s="15">
        <v>44812</v>
      </c>
      <c r="O85" t="s">
        <v>2719</v>
      </c>
      <c r="P85" t="s">
        <v>51</v>
      </c>
      <c r="Q85" t="s">
        <v>52</v>
      </c>
      <c r="R85" t="s">
        <v>53</v>
      </c>
      <c r="S85" t="s">
        <v>1707</v>
      </c>
      <c r="T85" t="s">
        <v>756</v>
      </c>
      <c r="U85" t="s">
        <v>56</v>
      </c>
      <c r="V85" s="21" t="s">
        <v>7164</v>
      </c>
      <c r="W85" s="21"/>
      <c r="X85" t="s">
        <v>7177</v>
      </c>
      <c r="Y85" t="s">
        <v>7178</v>
      </c>
      <c r="AC85" t="s">
        <v>60</v>
      </c>
      <c r="AE85" s="15"/>
      <c r="AG85">
        <v>42.182006999999999</v>
      </c>
      <c r="AH85">
        <v>-87.911913999999996</v>
      </c>
      <c r="AI85" t="s">
        <v>7179</v>
      </c>
      <c r="AL85" t="s">
        <v>1715</v>
      </c>
      <c r="AM85" t="s">
        <v>63</v>
      </c>
      <c r="AN85" t="s">
        <v>7180</v>
      </c>
      <c r="AO85">
        <v>192647</v>
      </c>
      <c r="AQ85" t="s">
        <v>7181</v>
      </c>
      <c r="AR85" t="s">
        <v>7182</v>
      </c>
      <c r="AS85" t="s">
        <v>7183</v>
      </c>
      <c r="AT85" t="s">
        <v>68</v>
      </c>
      <c r="AV85" t="s">
        <v>7184</v>
      </c>
      <c r="AW85" t="s">
        <v>7185</v>
      </c>
      <c r="AX85" t="s">
        <v>7186</v>
      </c>
      <c r="BA85" s="14" t="s">
        <v>72</v>
      </c>
      <c r="BB85" s="14" t="s">
        <v>73</v>
      </c>
      <c r="BC85" s="14" t="s">
        <v>74</v>
      </c>
    </row>
    <row r="86" spans="1:55" ht="15" customHeight="1" x14ac:dyDescent="0.4">
      <c r="A86" s="12">
        <v>3945</v>
      </c>
      <c r="B86" s="21" t="s">
        <v>7187</v>
      </c>
      <c r="C86" s="13" t="s">
        <v>7188</v>
      </c>
      <c r="D86" s="25" t="s">
        <v>7188</v>
      </c>
      <c r="E86" s="13"/>
      <c r="F86" s="41"/>
      <c r="G86" s="41"/>
      <c r="H86" s="41"/>
      <c r="I86" s="41"/>
      <c r="J86" s="41"/>
      <c r="K86" s="65" t="str">
        <f>IFERROR(VLOOKUP(D86,Sheet4!A$1:M$56,11,FALSE),"")</f>
        <v/>
      </c>
      <c r="L86" s="65" t="str">
        <f t="shared" si="1"/>
        <v/>
      </c>
      <c r="M86" s="14" t="s">
        <v>2222</v>
      </c>
      <c r="N86" s="15">
        <v>44812</v>
      </c>
      <c r="O86" t="s">
        <v>2719</v>
      </c>
      <c r="P86" t="s">
        <v>51</v>
      </c>
      <c r="Q86" t="s">
        <v>52</v>
      </c>
      <c r="R86" t="s">
        <v>53</v>
      </c>
      <c r="S86" t="s">
        <v>1707</v>
      </c>
      <c r="T86" t="s">
        <v>756</v>
      </c>
      <c r="U86" t="s">
        <v>56</v>
      </c>
      <c r="V86" s="21" t="s">
        <v>7164</v>
      </c>
      <c r="W86" s="21"/>
      <c r="X86" t="s">
        <v>7177</v>
      </c>
      <c r="Y86" t="s">
        <v>7189</v>
      </c>
      <c r="AC86" t="s">
        <v>2225</v>
      </c>
      <c r="AE86" s="15"/>
      <c r="AG86">
        <v>42.182293000000001</v>
      </c>
      <c r="AH86">
        <v>-87.911027000000004</v>
      </c>
      <c r="AI86" t="s">
        <v>1947</v>
      </c>
      <c r="AL86" t="s">
        <v>1715</v>
      </c>
      <c r="AM86" t="s">
        <v>63</v>
      </c>
      <c r="AN86" t="s">
        <v>7190</v>
      </c>
      <c r="AO86">
        <v>192597</v>
      </c>
      <c r="AQ86" t="s">
        <v>7191</v>
      </c>
      <c r="AR86" t="s">
        <v>7192</v>
      </c>
      <c r="AS86" t="s">
        <v>7193</v>
      </c>
      <c r="AT86" t="s">
        <v>68</v>
      </c>
      <c r="AV86" t="s">
        <v>7194</v>
      </c>
      <c r="AW86" t="s">
        <v>7195</v>
      </c>
      <c r="AX86" t="s">
        <v>7196</v>
      </c>
      <c r="BA86" s="14" t="s">
        <v>72</v>
      </c>
      <c r="BB86" s="14" t="s">
        <v>73</v>
      </c>
      <c r="BC86" s="14" t="s">
        <v>74</v>
      </c>
    </row>
    <row r="87" spans="1:55" ht="15" customHeight="1" x14ac:dyDescent="0.4">
      <c r="A87" s="12">
        <v>3946</v>
      </c>
      <c r="B87" s="21" t="s">
        <v>7197</v>
      </c>
      <c r="C87" s="13" t="s">
        <v>7198</v>
      </c>
      <c r="D87" s="25" t="s">
        <v>7198</v>
      </c>
      <c r="E87" s="13"/>
      <c r="F87" s="41"/>
      <c r="G87" s="41"/>
      <c r="H87" s="41"/>
      <c r="I87" s="41"/>
      <c r="J87" s="41"/>
      <c r="K87" s="65" t="str">
        <f>IFERROR(VLOOKUP(D87,Sheet4!A$1:M$56,11,FALSE),"")</f>
        <v/>
      </c>
      <c r="L87" s="65" t="str">
        <f t="shared" si="1"/>
        <v/>
      </c>
      <c r="M87" s="14" t="s">
        <v>49</v>
      </c>
      <c r="N87" s="15">
        <v>44812</v>
      </c>
      <c r="O87" t="s">
        <v>2719</v>
      </c>
      <c r="P87" t="s">
        <v>51</v>
      </c>
      <c r="Q87" t="s">
        <v>52</v>
      </c>
      <c r="R87" t="s">
        <v>53</v>
      </c>
      <c r="S87" t="s">
        <v>1707</v>
      </c>
      <c r="T87" t="s">
        <v>756</v>
      </c>
      <c r="U87" t="s">
        <v>56</v>
      </c>
      <c r="V87" s="21" t="s">
        <v>7164</v>
      </c>
      <c r="W87" s="21"/>
      <c r="X87" t="s">
        <v>7165</v>
      </c>
      <c r="Y87" t="s">
        <v>7199</v>
      </c>
      <c r="AC87" t="s">
        <v>60</v>
      </c>
      <c r="AE87" s="15"/>
      <c r="AG87">
        <v>42.181899999999999</v>
      </c>
      <c r="AH87">
        <v>-87.910275999999996</v>
      </c>
      <c r="AI87" t="s">
        <v>7200</v>
      </c>
      <c r="AL87" t="s">
        <v>1715</v>
      </c>
      <c r="AM87" t="s">
        <v>63</v>
      </c>
      <c r="AN87" t="s">
        <v>7201</v>
      </c>
      <c r="AO87">
        <v>194590</v>
      </c>
      <c r="AQ87" t="s">
        <v>7202</v>
      </c>
      <c r="AR87" t="s">
        <v>7203</v>
      </c>
      <c r="AS87" t="s">
        <v>7204</v>
      </c>
      <c r="AT87" t="s">
        <v>68</v>
      </c>
      <c r="AV87" t="s">
        <v>7205</v>
      </c>
      <c r="AW87" t="s">
        <v>7206</v>
      </c>
      <c r="AX87" t="s">
        <v>7207</v>
      </c>
      <c r="BA87" s="14" t="s">
        <v>72</v>
      </c>
      <c r="BB87" s="14" t="s">
        <v>73</v>
      </c>
      <c r="BC87" s="14" t="s">
        <v>74</v>
      </c>
    </row>
    <row r="88" spans="1:55" ht="15" customHeight="1" x14ac:dyDescent="0.4">
      <c r="A88" s="12">
        <v>3947</v>
      </c>
      <c r="B88" s="21" t="s">
        <v>7208</v>
      </c>
      <c r="C88" s="13" t="s">
        <v>7209</v>
      </c>
      <c r="D88" s="25" t="s">
        <v>7209</v>
      </c>
      <c r="E88" s="13"/>
      <c r="F88" s="41"/>
      <c r="G88" s="41"/>
      <c r="H88" s="41"/>
      <c r="I88" s="41"/>
      <c r="J88" s="41"/>
      <c r="K88" s="65" t="str">
        <f>IFERROR(VLOOKUP(D88,Sheet4!A$1:M$56,11,FALSE),"")</f>
        <v/>
      </c>
      <c r="L88" s="65" t="str">
        <f t="shared" si="1"/>
        <v/>
      </c>
      <c r="M88" s="14" t="s">
        <v>1878</v>
      </c>
      <c r="N88" s="15">
        <v>44812</v>
      </c>
      <c r="O88" t="s">
        <v>2719</v>
      </c>
      <c r="P88" t="s">
        <v>51</v>
      </c>
      <c r="Q88" t="s">
        <v>52</v>
      </c>
      <c r="R88" t="s">
        <v>53</v>
      </c>
      <c r="S88" t="s">
        <v>1707</v>
      </c>
      <c r="T88" t="s">
        <v>756</v>
      </c>
      <c r="U88" t="s">
        <v>56</v>
      </c>
      <c r="V88" s="21" t="s">
        <v>7164</v>
      </c>
      <c r="W88" s="21"/>
      <c r="X88" t="s">
        <v>7165</v>
      </c>
      <c r="Y88" t="s">
        <v>7210</v>
      </c>
      <c r="AC88" t="s">
        <v>1881</v>
      </c>
      <c r="AE88" s="15"/>
      <c r="AG88">
        <v>42.181997000000003</v>
      </c>
      <c r="AH88">
        <v>-87.909654000000003</v>
      </c>
      <c r="AI88" t="s">
        <v>804</v>
      </c>
      <c r="AL88" t="s">
        <v>1715</v>
      </c>
      <c r="AM88" t="s">
        <v>63</v>
      </c>
      <c r="AN88" t="s">
        <v>7211</v>
      </c>
      <c r="AO88">
        <v>194157</v>
      </c>
      <c r="AQ88" t="s">
        <v>7212</v>
      </c>
      <c r="AR88" t="s">
        <v>7213</v>
      </c>
      <c r="AS88" t="s">
        <v>7214</v>
      </c>
      <c r="AT88" t="s">
        <v>68</v>
      </c>
      <c r="AV88" t="s">
        <v>7215</v>
      </c>
      <c r="AW88" t="s">
        <v>7216</v>
      </c>
      <c r="AX88" t="s">
        <v>7217</v>
      </c>
      <c r="BA88" s="14" t="s">
        <v>72</v>
      </c>
      <c r="BB88" s="14" t="s">
        <v>73</v>
      </c>
      <c r="BC88" s="14" t="s">
        <v>1723</v>
      </c>
    </row>
    <row r="89" spans="1:55" ht="15" customHeight="1" x14ac:dyDescent="0.4">
      <c r="A89" s="12">
        <v>3948</v>
      </c>
      <c r="B89" s="21" t="s">
        <v>7218</v>
      </c>
      <c r="C89" s="13" t="s">
        <v>7219</v>
      </c>
      <c r="D89" s="25" t="s">
        <v>7219</v>
      </c>
      <c r="E89" s="13"/>
      <c r="F89" s="41"/>
      <c r="G89" s="41"/>
      <c r="H89" s="41"/>
      <c r="I89" s="41"/>
      <c r="J89" s="41"/>
      <c r="K89" s="65" t="str">
        <f>IFERROR(VLOOKUP(D89,Sheet4!A$1:M$56,11,FALSE),"")</f>
        <v/>
      </c>
      <c r="L89" s="65" t="str">
        <f t="shared" si="1"/>
        <v/>
      </c>
      <c r="M89" s="14" t="s">
        <v>2222</v>
      </c>
      <c r="N89" s="15">
        <v>44812</v>
      </c>
      <c r="O89" t="s">
        <v>2719</v>
      </c>
      <c r="P89" t="s">
        <v>51</v>
      </c>
      <c r="Q89" t="s">
        <v>52</v>
      </c>
      <c r="R89" t="s">
        <v>53</v>
      </c>
      <c r="S89" t="s">
        <v>1707</v>
      </c>
      <c r="T89" t="s">
        <v>756</v>
      </c>
      <c r="U89" t="s">
        <v>56</v>
      </c>
      <c r="V89" s="21" t="s">
        <v>7164</v>
      </c>
      <c r="W89" s="21"/>
      <c r="X89" t="s">
        <v>7220</v>
      </c>
      <c r="Y89" t="s">
        <v>7221</v>
      </c>
      <c r="AB89" t="s">
        <v>1758</v>
      </c>
      <c r="AC89" t="s">
        <v>2225</v>
      </c>
      <c r="AE89" s="15"/>
      <c r="AG89">
        <v>42.181708999999998</v>
      </c>
      <c r="AH89">
        <v>-87.909059999999997</v>
      </c>
      <c r="AI89" t="s">
        <v>7222</v>
      </c>
      <c r="AL89" t="s">
        <v>1715</v>
      </c>
      <c r="AM89" t="s">
        <v>63</v>
      </c>
      <c r="AN89" t="s">
        <v>7223</v>
      </c>
      <c r="AO89">
        <v>192595</v>
      </c>
      <c r="AQ89" t="s">
        <v>7224</v>
      </c>
      <c r="AR89" t="s">
        <v>7225</v>
      </c>
      <c r="AS89" t="s">
        <v>7226</v>
      </c>
      <c r="AT89" t="s">
        <v>68</v>
      </c>
      <c r="AV89" t="s">
        <v>7227</v>
      </c>
      <c r="AW89" t="s">
        <v>7228</v>
      </c>
      <c r="AX89" t="s">
        <v>7229</v>
      </c>
      <c r="BA89" s="14" t="s">
        <v>72</v>
      </c>
      <c r="BB89" s="14" t="s">
        <v>73</v>
      </c>
      <c r="BC89" s="14" t="s">
        <v>74</v>
      </c>
    </row>
    <row r="90" spans="1:55" ht="15" customHeight="1" x14ac:dyDescent="0.4">
      <c r="A90" s="12">
        <v>3949</v>
      </c>
      <c r="B90" s="21" t="s">
        <v>7230</v>
      </c>
      <c r="C90" s="13" t="s">
        <v>7231</v>
      </c>
      <c r="D90" s="25" t="s">
        <v>7231</v>
      </c>
      <c r="E90" s="13"/>
      <c r="F90" s="41"/>
      <c r="G90" s="41"/>
      <c r="H90" s="41"/>
      <c r="I90" s="41"/>
      <c r="J90" s="41"/>
      <c r="K90" s="65" t="str">
        <f>IFERROR(VLOOKUP(D90,Sheet4!A$1:M$56,11,FALSE),"")</f>
        <v/>
      </c>
      <c r="L90" s="65" t="str">
        <f t="shared" si="1"/>
        <v/>
      </c>
      <c r="M90" s="14" t="s">
        <v>1878</v>
      </c>
      <c r="N90" s="15">
        <v>44812</v>
      </c>
      <c r="O90" t="s">
        <v>2719</v>
      </c>
      <c r="P90" t="s">
        <v>51</v>
      </c>
      <c r="Q90" t="s">
        <v>52</v>
      </c>
      <c r="R90" t="s">
        <v>53</v>
      </c>
      <c r="S90" t="s">
        <v>1707</v>
      </c>
      <c r="T90" t="s">
        <v>756</v>
      </c>
      <c r="U90" t="s">
        <v>56</v>
      </c>
      <c r="V90" s="21" t="s">
        <v>7164</v>
      </c>
      <c r="W90" s="21"/>
      <c r="X90" t="s">
        <v>7165</v>
      </c>
      <c r="Y90" t="s">
        <v>7232</v>
      </c>
      <c r="AC90" t="s">
        <v>1881</v>
      </c>
      <c r="AE90" s="15"/>
      <c r="AG90">
        <v>42.181798000000001</v>
      </c>
      <c r="AH90">
        <v>-87.908278999999993</v>
      </c>
      <c r="AI90" t="s">
        <v>7233</v>
      </c>
      <c r="AL90" t="s">
        <v>1715</v>
      </c>
      <c r="AM90" t="s">
        <v>63</v>
      </c>
      <c r="AN90" t="s">
        <v>7234</v>
      </c>
      <c r="AO90">
        <v>194156</v>
      </c>
      <c r="AQ90" t="s">
        <v>7235</v>
      </c>
      <c r="AR90" t="s">
        <v>7236</v>
      </c>
      <c r="AS90" t="s">
        <v>7237</v>
      </c>
      <c r="AT90" t="s">
        <v>68</v>
      </c>
      <c r="AV90" t="s">
        <v>7238</v>
      </c>
      <c r="AW90" t="s">
        <v>7239</v>
      </c>
      <c r="AX90" t="s">
        <v>7240</v>
      </c>
      <c r="BA90" s="14" t="s">
        <v>72</v>
      </c>
      <c r="BB90" s="14" t="s">
        <v>73</v>
      </c>
      <c r="BC90" s="14" t="s">
        <v>1723</v>
      </c>
    </row>
    <row r="91" spans="1:55" ht="15" customHeight="1" x14ac:dyDescent="0.4">
      <c r="A91" s="12">
        <v>3950</v>
      </c>
      <c r="B91" s="21" t="s">
        <v>7241</v>
      </c>
      <c r="C91" s="13" t="s">
        <v>7242</v>
      </c>
      <c r="D91" s="25" t="s">
        <v>7242</v>
      </c>
      <c r="E91" s="13"/>
      <c r="F91" s="41"/>
      <c r="G91" s="41"/>
      <c r="H91" s="41"/>
      <c r="I91" s="41"/>
      <c r="J91" s="41"/>
      <c r="K91" s="65" t="str">
        <f>IFERROR(VLOOKUP(D91,Sheet4!A$1:M$56,11,FALSE),"")</f>
        <v/>
      </c>
      <c r="L91" s="65" t="str">
        <f t="shared" si="1"/>
        <v/>
      </c>
      <c r="M91" s="14" t="s">
        <v>2222</v>
      </c>
      <c r="N91" s="15">
        <v>44812</v>
      </c>
      <c r="O91" t="s">
        <v>2719</v>
      </c>
      <c r="P91" t="s">
        <v>51</v>
      </c>
      <c r="Q91" t="s">
        <v>52</v>
      </c>
      <c r="R91" t="s">
        <v>53</v>
      </c>
      <c r="S91" t="s">
        <v>1707</v>
      </c>
      <c r="T91" t="s">
        <v>756</v>
      </c>
      <c r="U91" t="s">
        <v>56</v>
      </c>
      <c r="V91" s="21" t="s">
        <v>7164</v>
      </c>
      <c r="W91" s="21"/>
      <c r="X91" t="s">
        <v>7243</v>
      </c>
      <c r="Y91" t="s">
        <v>7244</v>
      </c>
      <c r="AC91" t="s">
        <v>2225</v>
      </c>
      <c r="AE91" s="15"/>
      <c r="AG91">
        <v>42.181578999999999</v>
      </c>
      <c r="AH91">
        <v>-87.908004000000005</v>
      </c>
      <c r="AI91" t="s">
        <v>7245</v>
      </c>
      <c r="AL91" t="s">
        <v>1715</v>
      </c>
      <c r="AM91" t="s">
        <v>63</v>
      </c>
      <c r="AN91" t="s">
        <v>7246</v>
      </c>
      <c r="AO91">
        <v>192594</v>
      </c>
      <c r="AQ91" t="s">
        <v>7247</v>
      </c>
      <c r="AR91" t="s">
        <v>7248</v>
      </c>
      <c r="AS91" t="s">
        <v>7249</v>
      </c>
      <c r="AT91" t="s">
        <v>68</v>
      </c>
      <c r="AV91" t="s">
        <v>7250</v>
      </c>
      <c r="AW91" t="s">
        <v>7251</v>
      </c>
      <c r="AX91" t="s">
        <v>7252</v>
      </c>
      <c r="BA91" s="14" t="s">
        <v>72</v>
      </c>
      <c r="BB91" s="14" t="s">
        <v>73</v>
      </c>
      <c r="BC91" s="14" t="s">
        <v>74</v>
      </c>
    </row>
    <row r="92" spans="1:55" ht="15" customHeight="1" x14ac:dyDescent="0.4">
      <c r="A92" s="12">
        <v>3951</v>
      </c>
      <c r="B92" s="21" t="s">
        <v>7253</v>
      </c>
      <c r="C92" s="13" t="s">
        <v>7254</v>
      </c>
      <c r="D92" s="25" t="s">
        <v>7254</v>
      </c>
      <c r="E92" s="13"/>
      <c r="F92" s="41"/>
      <c r="G92" s="41"/>
      <c r="H92" s="41"/>
      <c r="I92" s="41"/>
      <c r="J92" s="41"/>
      <c r="K92" s="65" t="str">
        <f>IFERROR(VLOOKUP(D92,Sheet4!A$1:M$56,11,FALSE),"")</f>
        <v/>
      </c>
      <c r="L92" s="65" t="str">
        <f t="shared" si="1"/>
        <v/>
      </c>
      <c r="M92" s="14" t="s">
        <v>49</v>
      </c>
      <c r="N92" s="15">
        <v>44812</v>
      </c>
      <c r="O92" t="s">
        <v>2719</v>
      </c>
      <c r="P92" t="s">
        <v>51</v>
      </c>
      <c r="Q92" t="s">
        <v>52</v>
      </c>
      <c r="R92" t="s">
        <v>53</v>
      </c>
      <c r="S92" t="s">
        <v>1707</v>
      </c>
      <c r="T92" t="s">
        <v>756</v>
      </c>
      <c r="U92" t="s">
        <v>56</v>
      </c>
      <c r="V92" s="21" t="s">
        <v>7164</v>
      </c>
      <c r="W92" s="21"/>
      <c r="X92" t="s">
        <v>7165</v>
      </c>
      <c r="Y92" t="s">
        <v>7255</v>
      </c>
      <c r="AB92" t="s">
        <v>1758</v>
      </c>
      <c r="AC92" t="s">
        <v>60</v>
      </c>
      <c r="AE92" s="15"/>
      <c r="AG92">
        <v>42.181494000000001</v>
      </c>
      <c r="AH92">
        <v>-87.907514000000006</v>
      </c>
      <c r="AI92" t="s">
        <v>7256</v>
      </c>
      <c r="AL92" t="s">
        <v>1715</v>
      </c>
      <c r="AM92" t="s">
        <v>63</v>
      </c>
      <c r="AN92" t="s">
        <v>7257</v>
      </c>
      <c r="AO92">
        <v>193375</v>
      </c>
      <c r="AQ92" t="s">
        <v>7258</v>
      </c>
      <c r="AR92" t="s">
        <v>7259</v>
      </c>
      <c r="AS92" t="s">
        <v>7260</v>
      </c>
      <c r="AT92" t="s">
        <v>68</v>
      </c>
      <c r="AV92" t="s">
        <v>7261</v>
      </c>
      <c r="AW92" t="s">
        <v>7262</v>
      </c>
      <c r="AX92" t="s">
        <v>7263</v>
      </c>
      <c r="BA92" s="14" t="s">
        <v>72</v>
      </c>
      <c r="BB92" s="14" t="s">
        <v>73</v>
      </c>
      <c r="BC92" s="14" t="s">
        <v>74</v>
      </c>
    </row>
    <row r="93" spans="1:55" ht="15" customHeight="1" x14ac:dyDescent="0.4">
      <c r="A93" s="12">
        <v>3952</v>
      </c>
      <c r="B93" s="21" t="s">
        <v>7264</v>
      </c>
      <c r="C93" s="13" t="s">
        <v>7265</v>
      </c>
      <c r="D93" s="25" t="s">
        <v>7265</v>
      </c>
      <c r="E93" s="13"/>
      <c r="F93" s="41"/>
      <c r="G93" s="41"/>
      <c r="H93" s="41"/>
      <c r="I93" s="41"/>
      <c r="J93" s="41"/>
      <c r="K93" s="65" t="str">
        <f>IFERROR(VLOOKUP(D93,Sheet4!A$1:M$56,11,FALSE),"")</f>
        <v/>
      </c>
      <c r="L93" s="65" t="str">
        <f t="shared" si="1"/>
        <v/>
      </c>
      <c r="M93" s="14" t="s">
        <v>1878</v>
      </c>
      <c r="N93" s="15">
        <v>44812</v>
      </c>
      <c r="O93" t="s">
        <v>2719</v>
      </c>
      <c r="P93" t="s">
        <v>51</v>
      </c>
      <c r="Q93" t="s">
        <v>52</v>
      </c>
      <c r="R93" t="s">
        <v>53</v>
      </c>
      <c r="S93" t="s">
        <v>1707</v>
      </c>
      <c r="T93" t="s">
        <v>756</v>
      </c>
      <c r="U93" t="s">
        <v>56</v>
      </c>
      <c r="V93" s="21" t="s">
        <v>7164</v>
      </c>
      <c r="W93" s="21"/>
      <c r="X93" t="s">
        <v>7165</v>
      </c>
      <c r="Y93" t="s">
        <v>7266</v>
      </c>
      <c r="AC93" t="s">
        <v>1881</v>
      </c>
      <c r="AE93" s="15"/>
      <c r="AG93">
        <v>42.181280000000001</v>
      </c>
      <c r="AH93">
        <v>-87.906869</v>
      </c>
      <c r="AI93" t="s">
        <v>2808</v>
      </c>
      <c r="AL93" t="s">
        <v>1715</v>
      </c>
      <c r="AM93" t="s">
        <v>63</v>
      </c>
      <c r="AN93" t="s">
        <v>7267</v>
      </c>
      <c r="AO93">
        <v>194155</v>
      </c>
      <c r="AQ93" t="s">
        <v>7268</v>
      </c>
      <c r="AR93" t="s">
        <v>7269</v>
      </c>
      <c r="AS93" t="s">
        <v>7270</v>
      </c>
      <c r="AT93" t="s">
        <v>68</v>
      </c>
      <c r="AV93" t="s">
        <v>7271</v>
      </c>
      <c r="AW93" t="s">
        <v>7272</v>
      </c>
      <c r="AX93" t="s">
        <v>7273</v>
      </c>
      <c r="BA93" s="14" t="s">
        <v>72</v>
      </c>
      <c r="BB93" s="14" t="s">
        <v>73</v>
      </c>
      <c r="BC93" s="14" t="s">
        <v>1723</v>
      </c>
    </row>
    <row r="94" spans="1:55" ht="15" customHeight="1" x14ac:dyDescent="0.4">
      <c r="A94" s="12">
        <v>3953</v>
      </c>
      <c r="B94" s="21" t="s">
        <v>7274</v>
      </c>
      <c r="C94" s="13" t="s">
        <v>7275</v>
      </c>
      <c r="D94" s="25" t="s">
        <v>7275</v>
      </c>
      <c r="E94" s="13"/>
      <c r="F94" s="41"/>
      <c r="G94" s="41"/>
      <c r="H94" s="41"/>
      <c r="I94" s="41"/>
      <c r="J94" s="41"/>
      <c r="K94" s="65" t="str">
        <f>IFERROR(VLOOKUP(D94,Sheet4!A$1:M$56,11,FALSE),"")</f>
        <v/>
      </c>
      <c r="L94" s="65" t="str">
        <f t="shared" si="1"/>
        <v/>
      </c>
      <c r="M94" s="14" t="s">
        <v>49</v>
      </c>
      <c r="N94" s="15">
        <v>44812</v>
      </c>
      <c r="O94" t="s">
        <v>2719</v>
      </c>
      <c r="P94" t="s">
        <v>51</v>
      </c>
      <c r="Q94" t="s">
        <v>52</v>
      </c>
      <c r="R94" t="s">
        <v>53</v>
      </c>
      <c r="S94" t="s">
        <v>1707</v>
      </c>
      <c r="T94" t="s">
        <v>756</v>
      </c>
      <c r="U94" t="s">
        <v>56</v>
      </c>
      <c r="V94" s="21" t="s">
        <v>7164</v>
      </c>
      <c r="W94" s="21"/>
      <c r="X94" t="s">
        <v>7276</v>
      </c>
      <c r="Y94" t="s">
        <v>7277</v>
      </c>
      <c r="AC94" t="s">
        <v>60</v>
      </c>
      <c r="AE94" s="15"/>
      <c r="AG94">
        <v>42.181116000000003</v>
      </c>
      <c r="AH94">
        <v>-87.907092000000006</v>
      </c>
      <c r="AI94" t="s">
        <v>7278</v>
      </c>
      <c r="AL94" t="s">
        <v>1715</v>
      </c>
      <c r="AM94" t="s">
        <v>63</v>
      </c>
      <c r="AN94" t="s">
        <v>7279</v>
      </c>
      <c r="AO94">
        <v>194591</v>
      </c>
      <c r="AQ94" t="s">
        <v>7280</v>
      </c>
      <c r="AR94" t="s">
        <v>7281</v>
      </c>
      <c r="AS94" t="s">
        <v>7282</v>
      </c>
      <c r="AT94" t="s">
        <v>68</v>
      </c>
      <c r="AV94" t="s">
        <v>7283</v>
      </c>
      <c r="AW94" t="s">
        <v>7284</v>
      </c>
      <c r="AX94" t="s">
        <v>7285</v>
      </c>
      <c r="BA94" s="14" t="s">
        <v>72</v>
      </c>
      <c r="BB94" s="14" t="s">
        <v>73</v>
      </c>
      <c r="BC94" s="14" t="s">
        <v>74</v>
      </c>
    </row>
    <row r="95" spans="1:55" ht="15" customHeight="1" x14ac:dyDescent="0.4">
      <c r="A95" s="12">
        <v>3954</v>
      </c>
      <c r="B95" s="21" t="s">
        <v>7286</v>
      </c>
      <c r="C95" s="13" t="s">
        <v>7287</v>
      </c>
      <c r="D95" s="25" t="s">
        <v>7287</v>
      </c>
      <c r="E95" s="13"/>
      <c r="F95" s="41" t="s">
        <v>8106</v>
      </c>
      <c r="G95" s="41"/>
      <c r="H95" s="41"/>
      <c r="I95" s="41"/>
      <c r="J95" s="41"/>
      <c r="K95" s="65" t="str">
        <f>IFERROR(VLOOKUP(D95,Sheet4!A$1:M$56,11,FALSE),"")</f>
        <v/>
      </c>
      <c r="L95" s="65" t="str">
        <f t="shared" si="1"/>
        <v/>
      </c>
      <c r="M95" s="14" t="s">
        <v>2222</v>
      </c>
      <c r="N95" s="15">
        <v>44812</v>
      </c>
      <c r="O95" t="s">
        <v>2719</v>
      </c>
      <c r="P95" t="s">
        <v>51</v>
      </c>
      <c r="Q95" t="s">
        <v>52</v>
      </c>
      <c r="R95" t="s">
        <v>53</v>
      </c>
      <c r="S95" t="s">
        <v>1707</v>
      </c>
      <c r="T95" t="s">
        <v>756</v>
      </c>
      <c r="U95" t="s">
        <v>56</v>
      </c>
      <c r="V95" s="21" t="s">
        <v>7164</v>
      </c>
      <c r="W95" s="21"/>
      <c r="X95" t="s">
        <v>7288</v>
      </c>
      <c r="Y95" t="s">
        <v>7289</v>
      </c>
      <c r="AB95" t="s">
        <v>7290</v>
      </c>
      <c r="AC95" t="s">
        <v>2225</v>
      </c>
      <c r="AE95" s="15"/>
      <c r="AG95">
        <v>42.180086000000003</v>
      </c>
      <c r="AH95">
        <v>-87.906420999999995</v>
      </c>
      <c r="AI95" t="s">
        <v>7291</v>
      </c>
      <c r="AL95" t="s">
        <v>1715</v>
      </c>
      <c r="AM95" t="s">
        <v>63</v>
      </c>
      <c r="AN95" t="s">
        <v>7292</v>
      </c>
      <c r="AO95">
        <v>192577</v>
      </c>
      <c r="AQ95" t="s">
        <v>7293</v>
      </c>
      <c r="AR95" t="s">
        <v>7294</v>
      </c>
      <c r="AS95" t="s">
        <v>7295</v>
      </c>
      <c r="AT95" t="s">
        <v>68</v>
      </c>
      <c r="AV95" t="s">
        <v>7296</v>
      </c>
      <c r="AW95" t="s">
        <v>7297</v>
      </c>
      <c r="AX95" t="s">
        <v>7298</v>
      </c>
      <c r="BA95" s="14" t="s">
        <v>72</v>
      </c>
      <c r="BB95" s="14" t="s">
        <v>73</v>
      </c>
      <c r="BC95" s="14" t="s">
        <v>74</v>
      </c>
    </row>
    <row r="96" spans="1:55" ht="15" customHeight="1" x14ac:dyDescent="0.4">
      <c r="A96" s="12">
        <v>3955</v>
      </c>
      <c r="B96" s="21" t="s">
        <v>7299</v>
      </c>
      <c r="C96" s="13" t="s">
        <v>7300</v>
      </c>
      <c r="D96" s="25" t="s">
        <v>7300</v>
      </c>
      <c r="E96" s="13"/>
      <c r="F96" s="41"/>
      <c r="G96" s="41"/>
      <c r="H96" s="41"/>
      <c r="I96" s="41"/>
      <c r="J96" s="41"/>
      <c r="K96" s="65" t="str">
        <f>IFERROR(VLOOKUP(D96,Sheet4!A$1:M$56,11,FALSE),"")</f>
        <v/>
      </c>
      <c r="L96" s="65" t="str">
        <f t="shared" si="1"/>
        <v/>
      </c>
      <c r="M96" s="14" t="s">
        <v>1878</v>
      </c>
      <c r="N96" s="15">
        <v>44812</v>
      </c>
      <c r="O96" t="s">
        <v>2719</v>
      </c>
      <c r="P96" t="s">
        <v>51</v>
      </c>
      <c r="Q96" t="s">
        <v>52</v>
      </c>
      <c r="R96" t="s">
        <v>53</v>
      </c>
      <c r="S96" t="s">
        <v>1707</v>
      </c>
      <c r="T96" t="s">
        <v>756</v>
      </c>
      <c r="U96" t="s">
        <v>56</v>
      </c>
      <c r="V96" s="21" t="s">
        <v>7164</v>
      </c>
      <c r="W96" s="21"/>
      <c r="X96" t="s">
        <v>7276</v>
      </c>
      <c r="Y96" t="s">
        <v>7301</v>
      </c>
      <c r="AB96" t="s">
        <v>7290</v>
      </c>
      <c r="AC96" t="s">
        <v>1881</v>
      </c>
      <c r="AE96" s="15"/>
      <c r="AG96">
        <v>42.179906000000003</v>
      </c>
      <c r="AH96">
        <v>-87.906594999999996</v>
      </c>
      <c r="AI96" t="s">
        <v>7302</v>
      </c>
      <c r="AL96" t="s">
        <v>1715</v>
      </c>
      <c r="AM96" t="s">
        <v>63</v>
      </c>
      <c r="AN96" t="s">
        <v>7303</v>
      </c>
      <c r="AO96">
        <v>194136</v>
      </c>
      <c r="AQ96" t="s">
        <v>7304</v>
      </c>
      <c r="AR96" t="s">
        <v>7305</v>
      </c>
      <c r="AS96" t="s">
        <v>7306</v>
      </c>
      <c r="AT96" t="s">
        <v>68</v>
      </c>
      <c r="AV96" t="s">
        <v>7307</v>
      </c>
      <c r="AW96" t="s">
        <v>7308</v>
      </c>
      <c r="AX96" t="s">
        <v>7309</v>
      </c>
      <c r="BA96" s="14" t="s">
        <v>72</v>
      </c>
      <c r="BB96" s="14" t="s">
        <v>73</v>
      </c>
      <c r="BC96" s="14" t="s">
        <v>1723</v>
      </c>
    </row>
    <row r="97" spans="1:55" ht="15" customHeight="1" x14ac:dyDescent="0.4">
      <c r="A97" s="12">
        <v>3956</v>
      </c>
      <c r="B97" s="21" t="s">
        <v>7310</v>
      </c>
      <c r="C97" s="13" t="s">
        <v>7311</v>
      </c>
      <c r="D97" s="25" t="s">
        <v>7311</v>
      </c>
      <c r="E97" s="13"/>
      <c r="F97" s="41"/>
      <c r="G97" s="41"/>
      <c r="H97" s="41"/>
      <c r="I97" s="41"/>
      <c r="J97" s="41"/>
      <c r="K97" s="65" t="str">
        <f>IFERROR(VLOOKUP(D97,Sheet4!A$1:M$56,11,FALSE),"")</f>
        <v/>
      </c>
      <c r="L97" s="65" t="str">
        <f t="shared" si="1"/>
        <v/>
      </c>
      <c r="M97" s="14" t="s">
        <v>49</v>
      </c>
      <c r="N97" s="15">
        <v>44812</v>
      </c>
      <c r="O97" t="s">
        <v>2719</v>
      </c>
      <c r="P97" t="s">
        <v>51</v>
      </c>
      <c r="Q97" t="s">
        <v>52</v>
      </c>
      <c r="R97" t="s">
        <v>53</v>
      </c>
      <c r="S97" t="s">
        <v>1707</v>
      </c>
      <c r="T97" t="s">
        <v>756</v>
      </c>
      <c r="U97" t="s">
        <v>56</v>
      </c>
      <c r="V97" s="21" t="s">
        <v>7164</v>
      </c>
      <c r="W97" s="21"/>
      <c r="X97" t="s">
        <v>7312</v>
      </c>
      <c r="Y97" t="s">
        <v>7313</v>
      </c>
      <c r="AC97" t="s">
        <v>60</v>
      </c>
      <c r="AE97" s="15"/>
      <c r="AG97">
        <v>42.179960999999999</v>
      </c>
      <c r="AH97">
        <v>-87.906599</v>
      </c>
      <c r="AI97" t="s">
        <v>1947</v>
      </c>
      <c r="AL97" t="s">
        <v>1715</v>
      </c>
      <c r="AM97" t="s">
        <v>63</v>
      </c>
      <c r="AN97" t="s">
        <v>7314</v>
      </c>
      <c r="AO97">
        <v>194592</v>
      </c>
      <c r="AQ97" t="s">
        <v>7315</v>
      </c>
      <c r="AR97" t="s">
        <v>7316</v>
      </c>
      <c r="AS97" t="s">
        <v>7317</v>
      </c>
      <c r="AT97" t="s">
        <v>68</v>
      </c>
      <c r="AV97" t="s">
        <v>7318</v>
      </c>
      <c r="AW97" t="s">
        <v>7319</v>
      </c>
      <c r="AX97" t="s">
        <v>7320</v>
      </c>
      <c r="BA97" s="14" t="s">
        <v>72</v>
      </c>
      <c r="BB97" s="14" t="s">
        <v>73</v>
      </c>
      <c r="BC97" s="14" t="s">
        <v>74</v>
      </c>
    </row>
    <row r="98" spans="1:55" ht="15" customHeight="1" x14ac:dyDescent="0.4">
      <c r="A98" s="12">
        <v>3957</v>
      </c>
      <c r="B98" s="21" t="s">
        <v>7321</v>
      </c>
      <c r="C98" s="13" t="s">
        <v>7322</v>
      </c>
      <c r="D98" s="25" t="s">
        <v>7322</v>
      </c>
      <c r="E98" s="13"/>
      <c r="F98" s="41"/>
      <c r="G98" s="41"/>
      <c r="H98" s="41"/>
      <c r="I98" s="41"/>
      <c r="J98" s="41"/>
      <c r="K98" s="65" t="str">
        <f>IFERROR(VLOOKUP(D98,Sheet4!A$1:M$56,11,FALSE),"")</f>
        <v/>
      </c>
      <c r="L98" s="65" t="str">
        <f t="shared" si="1"/>
        <v/>
      </c>
      <c r="M98" s="14" t="s">
        <v>2222</v>
      </c>
      <c r="N98" s="15">
        <v>44812</v>
      </c>
      <c r="O98" t="s">
        <v>2719</v>
      </c>
      <c r="P98" t="s">
        <v>51</v>
      </c>
      <c r="Q98" t="s">
        <v>52</v>
      </c>
      <c r="R98" t="s">
        <v>53</v>
      </c>
      <c r="S98" t="s">
        <v>1707</v>
      </c>
      <c r="T98" t="s">
        <v>756</v>
      </c>
      <c r="U98" t="s">
        <v>56</v>
      </c>
      <c r="V98" s="21" t="s">
        <v>7164</v>
      </c>
      <c r="W98" s="21"/>
      <c r="X98" t="s">
        <v>7323</v>
      </c>
      <c r="Y98" t="s">
        <v>7324</v>
      </c>
      <c r="AC98" t="s">
        <v>2225</v>
      </c>
      <c r="AE98" s="15"/>
      <c r="AG98">
        <v>42.179338999999999</v>
      </c>
      <c r="AH98">
        <v>-87.906487999999996</v>
      </c>
      <c r="AI98" t="s">
        <v>7325</v>
      </c>
      <c r="AL98" t="s">
        <v>1715</v>
      </c>
      <c r="AM98" t="s">
        <v>63</v>
      </c>
      <c r="AN98" t="s">
        <v>7326</v>
      </c>
      <c r="AO98">
        <v>192593</v>
      </c>
      <c r="AQ98" t="s">
        <v>7327</v>
      </c>
      <c r="AR98" t="s">
        <v>7328</v>
      </c>
      <c r="AS98" t="s">
        <v>7329</v>
      </c>
      <c r="AT98" t="s">
        <v>68</v>
      </c>
      <c r="AV98" t="s">
        <v>7330</v>
      </c>
      <c r="AW98" t="s">
        <v>7331</v>
      </c>
      <c r="AX98" t="s">
        <v>7332</v>
      </c>
      <c r="BA98" s="14" t="s">
        <v>72</v>
      </c>
      <c r="BB98" s="14" t="s">
        <v>73</v>
      </c>
      <c r="BC98" s="14" t="s">
        <v>74</v>
      </c>
    </row>
    <row r="99" spans="1:55" ht="15" customHeight="1" x14ac:dyDescent="0.4">
      <c r="A99" s="12">
        <v>3982</v>
      </c>
      <c r="B99" s="21" t="s">
        <v>7606</v>
      </c>
      <c r="C99" s="13" t="s">
        <v>7607</v>
      </c>
      <c r="D99" s="25" t="s">
        <v>7607</v>
      </c>
      <c r="E99" s="13"/>
      <c r="F99" s="41"/>
      <c r="G99" s="41"/>
      <c r="H99" s="41"/>
      <c r="I99" s="41"/>
      <c r="J99" s="41"/>
      <c r="K99" s="65" t="str">
        <f>IFERROR(VLOOKUP(D99,Sheet4!A$1:M$56,11,FALSE),"")</f>
        <v/>
      </c>
      <c r="L99" s="65" t="str">
        <f t="shared" si="1"/>
        <v/>
      </c>
      <c r="M99" s="14" t="s">
        <v>49</v>
      </c>
      <c r="N99" s="15">
        <v>44820</v>
      </c>
      <c r="O99" t="s">
        <v>7608</v>
      </c>
      <c r="P99" t="s">
        <v>51</v>
      </c>
      <c r="Q99" t="s">
        <v>52</v>
      </c>
      <c r="R99" t="s">
        <v>53</v>
      </c>
      <c r="S99" t="s">
        <v>755</v>
      </c>
      <c r="T99" t="s">
        <v>7609</v>
      </c>
      <c r="U99" t="s">
        <v>56</v>
      </c>
      <c r="V99" s="21" t="s">
        <v>7610</v>
      </c>
      <c r="W99" s="21"/>
      <c r="X99" t="s">
        <v>7611</v>
      </c>
      <c r="Y99" t="s">
        <v>7612</v>
      </c>
      <c r="AB99" t="s">
        <v>2440</v>
      </c>
      <c r="AC99" t="s">
        <v>60</v>
      </c>
      <c r="AE99" s="15"/>
      <c r="AG99">
        <v>39.220007000000003</v>
      </c>
      <c r="AH99">
        <v>-86.542603999999997</v>
      </c>
      <c r="AI99" t="s">
        <v>7613</v>
      </c>
      <c r="AL99" t="s">
        <v>1715</v>
      </c>
      <c r="AM99" t="s">
        <v>63</v>
      </c>
      <c r="AN99" t="s">
        <v>7614</v>
      </c>
      <c r="AO99">
        <v>194612</v>
      </c>
      <c r="AQ99" t="s">
        <v>7615</v>
      </c>
      <c r="AR99" t="s">
        <v>7616</v>
      </c>
      <c r="AS99" t="s">
        <v>7617</v>
      </c>
      <c r="AT99" t="s">
        <v>68</v>
      </c>
      <c r="AV99" t="s">
        <v>7618</v>
      </c>
      <c r="AW99" t="s">
        <v>7619</v>
      </c>
      <c r="AX99" t="s">
        <v>7620</v>
      </c>
      <c r="BA99" s="14" t="s">
        <v>72</v>
      </c>
      <c r="BB99" s="14" t="s">
        <v>73</v>
      </c>
      <c r="BC99" s="14" t="s">
        <v>74</v>
      </c>
    </row>
    <row r="100" spans="1:55" ht="15" customHeight="1" x14ac:dyDescent="0.4">
      <c r="A100" s="12">
        <v>3983</v>
      </c>
      <c r="B100" s="21" t="s">
        <v>7621</v>
      </c>
      <c r="C100" s="13" t="s">
        <v>7622</v>
      </c>
      <c r="D100" s="25" t="s">
        <v>7622</v>
      </c>
      <c r="E100" s="13"/>
      <c r="F100" s="41"/>
      <c r="G100" s="41"/>
      <c r="H100" s="41"/>
      <c r="I100" s="41"/>
      <c r="J100" s="41"/>
      <c r="K100" s="65" t="str">
        <f>IFERROR(VLOOKUP(D100,Sheet4!A$1:M$56,11,FALSE),"")</f>
        <v/>
      </c>
      <c r="L100" s="65" t="str">
        <f t="shared" si="1"/>
        <v/>
      </c>
      <c r="M100" s="14" t="s">
        <v>49</v>
      </c>
      <c r="N100" s="15">
        <v>44820</v>
      </c>
      <c r="O100" t="s">
        <v>7608</v>
      </c>
      <c r="P100" t="s">
        <v>51</v>
      </c>
      <c r="Q100" t="s">
        <v>52</v>
      </c>
      <c r="R100" t="s">
        <v>53</v>
      </c>
      <c r="S100" t="s">
        <v>755</v>
      </c>
      <c r="T100" t="s">
        <v>7609</v>
      </c>
      <c r="U100" t="s">
        <v>56</v>
      </c>
      <c r="V100" s="21" t="s">
        <v>7610</v>
      </c>
      <c r="W100" s="21"/>
      <c r="X100" t="s">
        <v>7623</v>
      </c>
      <c r="Y100" t="s">
        <v>7624</v>
      </c>
      <c r="AC100" t="s">
        <v>60</v>
      </c>
      <c r="AE100" s="15"/>
      <c r="AG100">
        <v>39.221722999999997</v>
      </c>
      <c r="AH100">
        <v>-86.542771000000002</v>
      </c>
      <c r="AI100" t="s">
        <v>5724</v>
      </c>
      <c r="AL100" t="s">
        <v>1715</v>
      </c>
      <c r="AM100" t="s">
        <v>63</v>
      </c>
      <c r="AN100" t="s">
        <v>7625</v>
      </c>
      <c r="AO100">
        <v>194613</v>
      </c>
      <c r="AQ100" t="s">
        <v>7626</v>
      </c>
      <c r="AR100" t="s">
        <v>7627</v>
      </c>
      <c r="AS100" t="s">
        <v>7628</v>
      </c>
      <c r="AT100" t="s">
        <v>68</v>
      </c>
      <c r="AV100" t="s">
        <v>7629</v>
      </c>
      <c r="AW100" t="s">
        <v>7630</v>
      </c>
      <c r="AX100" t="s">
        <v>7631</v>
      </c>
      <c r="BA100" s="14" t="s">
        <v>72</v>
      </c>
      <c r="BB100" s="14" t="s">
        <v>73</v>
      </c>
      <c r="BC100" s="14" t="s">
        <v>74</v>
      </c>
    </row>
    <row r="101" spans="1:55" ht="15" customHeight="1" x14ac:dyDescent="0.4">
      <c r="A101" s="12">
        <v>3991</v>
      </c>
      <c r="B101" s="21" t="s">
        <v>7708</v>
      </c>
      <c r="C101" s="13" t="s">
        <v>7709</v>
      </c>
      <c r="D101" s="25" t="s">
        <v>7709</v>
      </c>
      <c r="E101" s="13"/>
      <c r="F101" s="41"/>
      <c r="G101" s="41"/>
      <c r="H101" s="41"/>
      <c r="I101" s="41"/>
      <c r="J101" s="41"/>
      <c r="K101" s="65" t="str">
        <f>IFERROR(VLOOKUP(D101,Sheet4!A$1:M$56,11,FALSE),"")</f>
        <v/>
      </c>
      <c r="L101" s="65" t="str">
        <f t="shared" si="1"/>
        <v/>
      </c>
      <c r="M101" s="14" t="s">
        <v>1878</v>
      </c>
      <c r="N101" s="15">
        <v>44820</v>
      </c>
      <c r="O101" t="s">
        <v>7608</v>
      </c>
      <c r="P101" t="s">
        <v>51</v>
      </c>
      <c r="Q101" t="s">
        <v>52</v>
      </c>
      <c r="R101" t="s">
        <v>53</v>
      </c>
      <c r="S101" t="s">
        <v>755</v>
      </c>
      <c r="T101" t="s">
        <v>7609</v>
      </c>
      <c r="U101" t="s">
        <v>56</v>
      </c>
      <c r="V101" s="21" t="s">
        <v>7710</v>
      </c>
      <c r="W101" s="21"/>
      <c r="X101" t="s">
        <v>7711</v>
      </c>
      <c r="Y101" t="s">
        <v>7712</v>
      </c>
      <c r="AB101" t="s">
        <v>2440</v>
      </c>
      <c r="AC101" t="s">
        <v>1881</v>
      </c>
      <c r="AE101" s="15"/>
      <c r="AG101">
        <v>39.189734999999999</v>
      </c>
      <c r="AH101">
        <v>-86.501863999999998</v>
      </c>
      <c r="AI101" t="s">
        <v>7713</v>
      </c>
      <c r="AL101" t="s">
        <v>1715</v>
      </c>
      <c r="AM101" t="s">
        <v>63</v>
      </c>
      <c r="AN101" t="s">
        <v>7714</v>
      </c>
      <c r="AO101">
        <v>194148</v>
      </c>
      <c r="AQ101" t="s">
        <v>7715</v>
      </c>
      <c r="AR101" t="s">
        <v>7716</v>
      </c>
      <c r="AS101" t="s">
        <v>7717</v>
      </c>
      <c r="AT101" t="s">
        <v>68</v>
      </c>
      <c r="AV101" t="s">
        <v>7718</v>
      </c>
      <c r="AW101" t="s">
        <v>7719</v>
      </c>
      <c r="AX101" t="s">
        <v>7720</v>
      </c>
      <c r="BA101" s="14" t="s">
        <v>72</v>
      </c>
      <c r="BB101" s="14" t="s">
        <v>73</v>
      </c>
      <c r="BC101" s="14" t="s">
        <v>1723</v>
      </c>
    </row>
    <row r="102" spans="1:55" ht="15" customHeight="1" x14ac:dyDescent="0.4">
      <c r="A102" s="12">
        <v>3992</v>
      </c>
      <c r="B102" s="21" t="s">
        <v>7721</v>
      </c>
      <c r="C102" s="13" t="s">
        <v>7722</v>
      </c>
      <c r="D102" s="25" t="s">
        <v>7722</v>
      </c>
      <c r="E102" s="13"/>
      <c r="F102" s="41"/>
      <c r="G102" s="41"/>
      <c r="H102" s="41"/>
      <c r="I102" s="41"/>
      <c r="J102" s="41"/>
      <c r="K102" s="65" t="str">
        <f>IFERROR(VLOOKUP(D102,Sheet4!A$1:M$56,11,FALSE),"")</f>
        <v/>
      </c>
      <c r="L102" s="65" t="str">
        <f t="shared" si="1"/>
        <v/>
      </c>
      <c r="M102" s="14" t="s">
        <v>1878</v>
      </c>
      <c r="N102" s="15">
        <v>44820</v>
      </c>
      <c r="O102" t="s">
        <v>7608</v>
      </c>
      <c r="P102" t="s">
        <v>51</v>
      </c>
      <c r="Q102" t="s">
        <v>52</v>
      </c>
      <c r="R102" t="s">
        <v>53</v>
      </c>
      <c r="S102" t="s">
        <v>755</v>
      </c>
      <c r="T102" t="s">
        <v>7609</v>
      </c>
      <c r="U102" t="s">
        <v>56</v>
      </c>
      <c r="V102" s="21" t="s">
        <v>7710</v>
      </c>
      <c r="W102" s="21"/>
      <c r="X102" t="s">
        <v>7723</v>
      </c>
      <c r="Y102" t="s">
        <v>7724</v>
      </c>
      <c r="AB102" t="s">
        <v>2440</v>
      </c>
      <c r="AC102" t="s">
        <v>1881</v>
      </c>
      <c r="AE102" s="15"/>
      <c r="AG102">
        <v>39.189950000000003</v>
      </c>
      <c r="AH102">
        <v>-86.501028000000005</v>
      </c>
      <c r="AI102" t="s">
        <v>3749</v>
      </c>
      <c r="AL102" t="s">
        <v>1715</v>
      </c>
      <c r="AM102" t="s">
        <v>63</v>
      </c>
      <c r="AN102" t="s">
        <v>7725</v>
      </c>
      <c r="AO102">
        <v>192579</v>
      </c>
      <c r="AQ102" t="s">
        <v>7726</v>
      </c>
      <c r="AR102" t="s">
        <v>7727</v>
      </c>
      <c r="AS102" t="s">
        <v>7728</v>
      </c>
      <c r="AT102" t="s">
        <v>68</v>
      </c>
      <c r="AV102" t="s">
        <v>7729</v>
      </c>
      <c r="AW102" t="s">
        <v>7730</v>
      </c>
      <c r="AX102" t="s">
        <v>7731</v>
      </c>
      <c r="BA102" s="14" t="s">
        <v>72</v>
      </c>
      <c r="BB102" s="14" t="s">
        <v>73</v>
      </c>
      <c r="BC102" s="14" t="s">
        <v>1723</v>
      </c>
    </row>
    <row r="103" spans="1:55" ht="15" customHeight="1" x14ac:dyDescent="0.4">
      <c r="A103" s="12">
        <v>3993</v>
      </c>
      <c r="B103" s="21" t="s">
        <v>7732</v>
      </c>
      <c r="C103" s="13" t="s">
        <v>7733</v>
      </c>
      <c r="D103" s="25" t="s">
        <v>7733</v>
      </c>
      <c r="E103" s="13"/>
      <c r="F103" s="41"/>
      <c r="G103" s="41"/>
      <c r="H103" s="41"/>
      <c r="I103" s="41"/>
      <c r="J103" s="41"/>
      <c r="K103" s="65" t="str">
        <f>IFERROR(VLOOKUP(D103,Sheet4!A$1:M$56,11,FALSE),"")</f>
        <v/>
      </c>
      <c r="L103" s="65" t="str">
        <f t="shared" si="1"/>
        <v/>
      </c>
      <c r="M103" s="14" t="s">
        <v>1878</v>
      </c>
      <c r="N103" s="15">
        <v>44820</v>
      </c>
      <c r="O103" t="s">
        <v>7608</v>
      </c>
      <c r="P103" t="s">
        <v>51</v>
      </c>
      <c r="Q103" t="s">
        <v>52</v>
      </c>
      <c r="R103" t="s">
        <v>53</v>
      </c>
      <c r="S103" t="s">
        <v>755</v>
      </c>
      <c r="T103" t="s">
        <v>7609</v>
      </c>
      <c r="U103" t="s">
        <v>56</v>
      </c>
      <c r="V103" s="21" t="s">
        <v>7710</v>
      </c>
      <c r="W103" s="21"/>
      <c r="X103" t="s">
        <v>7734</v>
      </c>
      <c r="Y103" t="s">
        <v>7735</v>
      </c>
      <c r="AB103" t="s">
        <v>2440</v>
      </c>
      <c r="AC103" t="s">
        <v>1881</v>
      </c>
      <c r="AE103" s="15"/>
      <c r="AG103">
        <v>39.189925000000002</v>
      </c>
      <c r="AH103">
        <v>-86.499604000000005</v>
      </c>
      <c r="AI103" t="s">
        <v>7736</v>
      </c>
      <c r="AL103" t="s">
        <v>1715</v>
      </c>
      <c r="AM103" t="s">
        <v>63</v>
      </c>
      <c r="AN103" t="s">
        <v>7737</v>
      </c>
      <c r="AO103">
        <v>194147</v>
      </c>
      <c r="AQ103" t="s">
        <v>7738</v>
      </c>
      <c r="AR103" t="s">
        <v>7739</v>
      </c>
      <c r="AS103" t="s">
        <v>7740</v>
      </c>
      <c r="AT103" t="s">
        <v>68</v>
      </c>
      <c r="AV103" t="s">
        <v>7741</v>
      </c>
      <c r="AW103" t="s">
        <v>7742</v>
      </c>
      <c r="AX103" t="s">
        <v>7743</v>
      </c>
      <c r="BA103" s="14" t="s">
        <v>72</v>
      </c>
      <c r="BB103" s="14" t="s">
        <v>73</v>
      </c>
      <c r="BC103" s="14" t="s">
        <v>1723</v>
      </c>
    </row>
    <row r="104" spans="1:55" ht="15" customHeight="1" x14ac:dyDescent="0.4">
      <c r="A104" s="12">
        <v>3994</v>
      </c>
      <c r="B104" s="21" t="s">
        <v>7744</v>
      </c>
      <c r="C104" s="13" t="s">
        <v>7745</v>
      </c>
      <c r="D104" s="25" t="s">
        <v>7745</v>
      </c>
      <c r="E104" s="13"/>
      <c r="F104" s="41"/>
      <c r="G104" s="41"/>
      <c r="H104" s="41"/>
      <c r="I104" s="41"/>
      <c r="J104" s="41"/>
      <c r="K104" s="65" t="str">
        <f>IFERROR(VLOOKUP(D104,Sheet4!A$1:M$56,11,FALSE),"")</f>
        <v/>
      </c>
      <c r="L104" s="65" t="str">
        <f t="shared" si="1"/>
        <v/>
      </c>
      <c r="M104" s="14" t="s">
        <v>1878</v>
      </c>
      <c r="N104" s="15">
        <v>44820</v>
      </c>
      <c r="O104" t="s">
        <v>7608</v>
      </c>
      <c r="P104" t="s">
        <v>51</v>
      </c>
      <c r="Q104" t="s">
        <v>52</v>
      </c>
      <c r="R104" t="s">
        <v>53</v>
      </c>
      <c r="S104" t="s">
        <v>755</v>
      </c>
      <c r="T104" t="s">
        <v>7609</v>
      </c>
      <c r="U104" t="s">
        <v>56</v>
      </c>
      <c r="V104" s="21" t="s">
        <v>7710</v>
      </c>
      <c r="W104" s="21"/>
      <c r="X104" t="s">
        <v>7746</v>
      </c>
      <c r="Y104" t="s">
        <v>7747</v>
      </c>
      <c r="AC104" t="s">
        <v>1881</v>
      </c>
      <c r="AE104" s="15"/>
      <c r="AG104">
        <v>39.188890999999998</v>
      </c>
      <c r="AH104">
        <v>-86.499559000000005</v>
      </c>
      <c r="AI104" t="s">
        <v>7748</v>
      </c>
      <c r="AL104" t="s">
        <v>1715</v>
      </c>
      <c r="AM104" t="s">
        <v>63</v>
      </c>
      <c r="AN104" t="s">
        <v>7749</v>
      </c>
      <c r="AO104">
        <v>194146</v>
      </c>
      <c r="AQ104" t="s">
        <v>7750</v>
      </c>
      <c r="AR104" t="s">
        <v>7751</v>
      </c>
      <c r="AS104" t="s">
        <v>7752</v>
      </c>
      <c r="AT104" t="s">
        <v>68</v>
      </c>
      <c r="AV104" t="s">
        <v>7753</v>
      </c>
      <c r="AW104" t="s">
        <v>7754</v>
      </c>
      <c r="AX104" t="s">
        <v>7755</v>
      </c>
      <c r="BA104" s="14" t="s">
        <v>72</v>
      </c>
      <c r="BB104" s="14" t="s">
        <v>73</v>
      </c>
      <c r="BC104" s="14" t="s">
        <v>1723</v>
      </c>
    </row>
    <row r="105" spans="1:55" ht="15" customHeight="1" x14ac:dyDescent="0.4">
      <c r="A105" s="12">
        <v>3995</v>
      </c>
      <c r="B105" s="21" t="s">
        <v>7756</v>
      </c>
      <c r="C105" s="13" t="s">
        <v>7757</v>
      </c>
      <c r="D105" s="25" t="s">
        <v>7757</v>
      </c>
      <c r="E105" s="13"/>
      <c r="F105" s="41"/>
      <c r="G105" s="41"/>
      <c r="H105" s="41"/>
      <c r="I105" s="41"/>
      <c r="J105" s="41"/>
      <c r="K105" s="65" t="str">
        <f>IFERROR(VLOOKUP(D105,Sheet4!A$1:M$56,11,FALSE),"")</f>
        <v/>
      </c>
      <c r="L105" s="65" t="str">
        <f t="shared" si="1"/>
        <v/>
      </c>
      <c r="M105" s="14" t="s">
        <v>1878</v>
      </c>
      <c r="N105" s="15">
        <v>44820</v>
      </c>
      <c r="O105" t="s">
        <v>7608</v>
      </c>
      <c r="P105" t="s">
        <v>51</v>
      </c>
      <c r="Q105" t="s">
        <v>52</v>
      </c>
      <c r="R105" t="s">
        <v>53</v>
      </c>
      <c r="S105" t="s">
        <v>755</v>
      </c>
      <c r="T105" t="s">
        <v>7609</v>
      </c>
      <c r="U105" t="s">
        <v>56</v>
      </c>
      <c r="V105" s="21" t="s">
        <v>7710</v>
      </c>
      <c r="W105" s="21"/>
      <c r="X105" t="s">
        <v>7758</v>
      </c>
      <c r="Y105" t="s">
        <v>7759</v>
      </c>
      <c r="AB105" t="s">
        <v>2440</v>
      </c>
      <c r="AC105" t="s">
        <v>1881</v>
      </c>
      <c r="AE105" s="15"/>
      <c r="AG105">
        <v>39.187251000000003</v>
      </c>
      <c r="AH105">
        <v>-86.500821000000002</v>
      </c>
      <c r="AI105" t="s">
        <v>2963</v>
      </c>
      <c r="AL105" t="s">
        <v>1715</v>
      </c>
      <c r="AM105" t="s">
        <v>63</v>
      </c>
      <c r="AN105" t="s">
        <v>7760</v>
      </c>
      <c r="AO105">
        <v>194145</v>
      </c>
      <c r="AQ105" t="s">
        <v>7761</v>
      </c>
      <c r="AR105" t="s">
        <v>7762</v>
      </c>
      <c r="AS105" t="s">
        <v>7763</v>
      </c>
      <c r="AT105" t="s">
        <v>68</v>
      </c>
      <c r="AV105" t="s">
        <v>7764</v>
      </c>
      <c r="AW105" t="s">
        <v>7765</v>
      </c>
      <c r="AX105" t="s">
        <v>7766</v>
      </c>
      <c r="BA105" s="14" t="s">
        <v>72</v>
      </c>
      <c r="BB105" s="14" t="s">
        <v>73</v>
      </c>
      <c r="BC105" s="14" t="s">
        <v>1723</v>
      </c>
    </row>
    <row r="106" spans="1:55" ht="15" customHeight="1" x14ac:dyDescent="0.4">
      <c r="A106" s="12">
        <v>3996</v>
      </c>
      <c r="B106" s="21" t="s">
        <v>7767</v>
      </c>
      <c r="C106" s="13" t="s">
        <v>7768</v>
      </c>
      <c r="D106" s="25" t="s">
        <v>7768</v>
      </c>
      <c r="E106" s="13"/>
      <c r="F106" s="41"/>
      <c r="G106" s="41"/>
      <c r="H106" s="41"/>
      <c r="I106" s="41"/>
      <c r="J106" s="41"/>
      <c r="K106" s="65" t="str">
        <f>IFERROR(VLOOKUP(D106,Sheet4!A$1:M$56,11,FALSE),"")</f>
        <v/>
      </c>
      <c r="L106" s="65" t="str">
        <f t="shared" si="1"/>
        <v/>
      </c>
      <c r="M106" s="14" t="s">
        <v>49</v>
      </c>
      <c r="N106" s="15">
        <v>44820</v>
      </c>
      <c r="O106" t="s">
        <v>7608</v>
      </c>
      <c r="P106" t="s">
        <v>51</v>
      </c>
      <c r="Q106" t="s">
        <v>52</v>
      </c>
      <c r="R106" t="s">
        <v>53</v>
      </c>
      <c r="S106" t="s">
        <v>755</v>
      </c>
      <c r="T106" t="s">
        <v>7609</v>
      </c>
      <c r="U106" t="s">
        <v>56</v>
      </c>
      <c r="V106" s="21" t="s">
        <v>7769</v>
      </c>
      <c r="W106" s="21"/>
      <c r="X106" t="s">
        <v>7770</v>
      </c>
      <c r="AB106" t="s">
        <v>5841</v>
      </c>
      <c r="AC106" t="s">
        <v>60</v>
      </c>
      <c r="AE106" s="15"/>
      <c r="AG106">
        <v>39.168304999999997</v>
      </c>
      <c r="AH106">
        <v>-86.524118000000001</v>
      </c>
      <c r="AI106" t="s">
        <v>7771</v>
      </c>
      <c r="AL106" t="s">
        <v>1715</v>
      </c>
      <c r="AM106" t="s">
        <v>63</v>
      </c>
      <c r="AN106" t="s">
        <v>7772</v>
      </c>
      <c r="AO106">
        <v>194615</v>
      </c>
      <c r="AQ106" t="s">
        <v>7773</v>
      </c>
      <c r="AR106" t="s">
        <v>7774</v>
      </c>
      <c r="AS106" t="s">
        <v>7775</v>
      </c>
      <c r="AT106" t="s">
        <v>68</v>
      </c>
      <c r="AV106" t="s">
        <v>7776</v>
      </c>
      <c r="AW106" t="s">
        <v>7777</v>
      </c>
      <c r="AX106" t="s">
        <v>7778</v>
      </c>
      <c r="BA106" s="14" t="s">
        <v>72</v>
      </c>
      <c r="BB106" s="14" t="s">
        <v>73</v>
      </c>
      <c r="BC106" s="14" t="s">
        <v>74</v>
      </c>
    </row>
    <row r="107" spans="1:55" ht="15" customHeight="1" x14ac:dyDescent="0.4">
      <c r="A107" s="12">
        <v>3984</v>
      </c>
      <c r="B107" s="21" t="s">
        <v>7632</v>
      </c>
      <c r="C107" s="13" t="s">
        <v>7633</v>
      </c>
      <c r="D107" s="25" t="s">
        <v>7633</v>
      </c>
      <c r="E107" s="13"/>
      <c r="F107" s="41"/>
      <c r="G107" s="41"/>
      <c r="H107" s="41"/>
      <c r="I107" s="41"/>
      <c r="J107" s="41"/>
      <c r="K107" s="65" t="str">
        <f>IFERROR(VLOOKUP(D107,Sheet4!A$1:M$56,11,FALSE),"")</f>
        <v/>
      </c>
      <c r="L107" s="65" t="str">
        <f t="shared" si="1"/>
        <v/>
      </c>
      <c r="M107" s="14" t="s">
        <v>49</v>
      </c>
      <c r="N107" s="15">
        <v>44820</v>
      </c>
      <c r="O107" t="s">
        <v>7608</v>
      </c>
      <c r="P107" t="s">
        <v>51</v>
      </c>
      <c r="Q107" t="s">
        <v>52</v>
      </c>
      <c r="R107" t="s">
        <v>53</v>
      </c>
      <c r="S107" t="s">
        <v>755</v>
      </c>
      <c r="T107" t="s">
        <v>7609</v>
      </c>
      <c r="U107" t="s">
        <v>56</v>
      </c>
      <c r="V107" s="21" t="s">
        <v>7634</v>
      </c>
      <c r="W107" s="21"/>
      <c r="X107" t="s">
        <v>7635</v>
      </c>
      <c r="Y107" t="s">
        <v>7636</v>
      </c>
      <c r="AB107" t="s">
        <v>2440</v>
      </c>
      <c r="AC107" t="s">
        <v>60</v>
      </c>
      <c r="AE107" s="15"/>
      <c r="AG107">
        <v>39.197561</v>
      </c>
      <c r="AH107">
        <v>-86.537880000000001</v>
      </c>
      <c r="AI107" t="s">
        <v>1760</v>
      </c>
      <c r="AL107" t="s">
        <v>1715</v>
      </c>
      <c r="AM107" t="s">
        <v>63</v>
      </c>
      <c r="AN107" t="s">
        <v>7637</v>
      </c>
      <c r="AO107">
        <v>192649</v>
      </c>
      <c r="AQ107" t="s">
        <v>7638</v>
      </c>
      <c r="AR107" t="s">
        <v>7639</v>
      </c>
      <c r="AS107" t="s">
        <v>7640</v>
      </c>
      <c r="AT107" t="s">
        <v>68</v>
      </c>
      <c r="AV107" t="s">
        <v>7641</v>
      </c>
      <c r="AW107" t="s">
        <v>7642</v>
      </c>
      <c r="AX107" t="s">
        <v>7643</v>
      </c>
      <c r="BA107" s="14" t="s">
        <v>72</v>
      </c>
      <c r="BB107" s="14" t="s">
        <v>73</v>
      </c>
      <c r="BC107" s="14" t="s">
        <v>74</v>
      </c>
    </row>
    <row r="108" spans="1:55" ht="15" customHeight="1" x14ac:dyDescent="0.4">
      <c r="A108" s="12">
        <v>3985</v>
      </c>
      <c r="B108" s="21" t="s">
        <v>7644</v>
      </c>
      <c r="C108" s="13" t="s">
        <v>7645</v>
      </c>
      <c r="D108" s="25" t="s">
        <v>7645</v>
      </c>
      <c r="E108" s="13"/>
      <c r="F108" s="41"/>
      <c r="G108" s="41"/>
      <c r="H108" s="41"/>
      <c r="I108" s="41"/>
      <c r="J108" s="41"/>
      <c r="K108" s="65" t="str">
        <f>IFERROR(VLOOKUP(D108,Sheet4!A$1:M$56,11,FALSE),"")</f>
        <v/>
      </c>
      <c r="L108" s="65" t="str">
        <f t="shared" si="1"/>
        <v/>
      </c>
      <c r="M108" s="14" t="s">
        <v>49</v>
      </c>
      <c r="N108" s="15">
        <v>44820</v>
      </c>
      <c r="O108" t="s">
        <v>7608</v>
      </c>
      <c r="P108" t="s">
        <v>51</v>
      </c>
      <c r="Q108" t="s">
        <v>52</v>
      </c>
      <c r="R108" t="s">
        <v>53</v>
      </c>
      <c r="S108" t="s">
        <v>755</v>
      </c>
      <c r="T108" t="s">
        <v>7609</v>
      </c>
      <c r="U108" t="s">
        <v>56</v>
      </c>
      <c r="V108" s="21" t="s">
        <v>7634</v>
      </c>
      <c r="W108" s="21"/>
      <c r="X108" t="s">
        <v>4456</v>
      </c>
      <c r="Y108" t="s">
        <v>7646</v>
      </c>
      <c r="AB108" t="s">
        <v>2440</v>
      </c>
      <c r="AC108" t="s">
        <v>60</v>
      </c>
      <c r="AE108" s="15"/>
      <c r="AG108">
        <v>39.197400999999999</v>
      </c>
      <c r="AH108">
        <v>-86.539024999999995</v>
      </c>
      <c r="AI108" t="s">
        <v>7647</v>
      </c>
      <c r="AL108" t="s">
        <v>1715</v>
      </c>
      <c r="AM108" t="s">
        <v>63</v>
      </c>
      <c r="AN108" t="s">
        <v>7648</v>
      </c>
      <c r="AO108">
        <v>194614</v>
      </c>
      <c r="AQ108" t="s">
        <v>7649</v>
      </c>
      <c r="AR108" t="s">
        <v>7650</v>
      </c>
      <c r="AS108" t="s">
        <v>7651</v>
      </c>
      <c r="AT108" t="s">
        <v>68</v>
      </c>
      <c r="AV108" t="s">
        <v>7652</v>
      </c>
      <c r="AW108" t="s">
        <v>7653</v>
      </c>
      <c r="AX108" t="s">
        <v>7654</v>
      </c>
      <c r="BA108" s="14" t="s">
        <v>72</v>
      </c>
      <c r="BB108" s="14" t="s">
        <v>73</v>
      </c>
      <c r="BC108" s="14" t="s">
        <v>74</v>
      </c>
    </row>
    <row r="109" spans="1:55" ht="15" customHeight="1" x14ac:dyDescent="0.4">
      <c r="A109" s="12">
        <v>3986</v>
      </c>
      <c r="B109" s="21" t="s">
        <v>7655</v>
      </c>
      <c r="C109" s="13" t="s">
        <v>7656</v>
      </c>
      <c r="D109" s="25" t="s">
        <v>7656</v>
      </c>
      <c r="E109" s="13"/>
      <c r="F109" s="41"/>
      <c r="G109" s="41"/>
      <c r="H109" s="41"/>
      <c r="I109" s="41"/>
      <c r="J109" s="41"/>
      <c r="K109" s="65" t="str">
        <f>IFERROR(VLOOKUP(D109,Sheet4!A$1:M$56,11,FALSE),"")</f>
        <v/>
      </c>
      <c r="L109" s="65" t="str">
        <f t="shared" si="1"/>
        <v/>
      </c>
      <c r="M109" s="14" t="s">
        <v>1829</v>
      </c>
      <c r="N109" s="15">
        <v>44820</v>
      </c>
      <c r="O109" t="s">
        <v>7608</v>
      </c>
      <c r="P109" t="s">
        <v>51</v>
      </c>
      <c r="Q109" t="s">
        <v>52</v>
      </c>
      <c r="R109" t="s">
        <v>53</v>
      </c>
      <c r="S109" t="s">
        <v>755</v>
      </c>
      <c r="T109" t="s">
        <v>7609</v>
      </c>
      <c r="U109" t="s">
        <v>56</v>
      </c>
      <c r="V109" s="21" t="s">
        <v>7634</v>
      </c>
      <c r="W109" s="21"/>
      <c r="X109" t="s">
        <v>7657</v>
      </c>
      <c r="Y109" t="s">
        <v>7658</v>
      </c>
      <c r="AC109" t="s">
        <v>1832</v>
      </c>
      <c r="AE109" s="15"/>
      <c r="AG109">
        <v>39.196964999999999</v>
      </c>
      <c r="AH109">
        <v>-86.538253999999995</v>
      </c>
      <c r="AI109" t="s">
        <v>7291</v>
      </c>
      <c r="AL109" t="s">
        <v>1715</v>
      </c>
      <c r="AM109" t="s">
        <v>63</v>
      </c>
      <c r="AN109" t="s">
        <v>7659</v>
      </c>
      <c r="AO109">
        <v>194545</v>
      </c>
      <c r="AQ109" t="s">
        <v>7660</v>
      </c>
      <c r="AR109" t="s">
        <v>7661</v>
      </c>
      <c r="AS109" t="s">
        <v>7662</v>
      </c>
      <c r="AT109" t="s">
        <v>68</v>
      </c>
      <c r="AV109" t="s">
        <v>7663</v>
      </c>
      <c r="AW109" t="s">
        <v>7664</v>
      </c>
      <c r="AX109" t="s">
        <v>7665</v>
      </c>
      <c r="BA109" s="14" t="s">
        <v>72</v>
      </c>
      <c r="BB109" s="14" t="s">
        <v>73</v>
      </c>
      <c r="BC109" s="14" t="s">
        <v>74</v>
      </c>
    </row>
    <row r="110" spans="1:55" ht="15" customHeight="1" x14ac:dyDescent="0.4">
      <c r="A110" s="12">
        <v>3987</v>
      </c>
      <c r="B110" s="21" t="s">
        <v>7666</v>
      </c>
      <c r="C110" s="13" t="s">
        <v>7667</v>
      </c>
      <c r="D110" s="25" t="s">
        <v>7667</v>
      </c>
      <c r="E110" s="13"/>
      <c r="F110" s="41"/>
      <c r="G110" s="41"/>
      <c r="H110" s="41"/>
      <c r="I110" s="41"/>
      <c r="J110" s="41"/>
      <c r="K110" s="65" t="str">
        <f>IFERROR(VLOOKUP(D110,Sheet4!A$1:M$56,11,FALSE),"")</f>
        <v/>
      </c>
      <c r="L110" s="65" t="str">
        <f t="shared" si="1"/>
        <v/>
      </c>
      <c r="M110" s="14" t="s">
        <v>1829</v>
      </c>
      <c r="N110" s="15">
        <v>44820</v>
      </c>
      <c r="O110" t="s">
        <v>7608</v>
      </c>
      <c r="P110" t="s">
        <v>51</v>
      </c>
      <c r="Q110" t="s">
        <v>52</v>
      </c>
      <c r="R110" t="s">
        <v>53</v>
      </c>
      <c r="S110" t="s">
        <v>755</v>
      </c>
      <c r="T110" t="s">
        <v>7609</v>
      </c>
      <c r="U110" t="s">
        <v>56</v>
      </c>
      <c r="V110" s="21" t="s">
        <v>7634</v>
      </c>
      <c r="W110" s="21"/>
      <c r="X110" t="s">
        <v>7668</v>
      </c>
      <c r="Y110" t="s">
        <v>7669</v>
      </c>
      <c r="AC110" t="s">
        <v>1832</v>
      </c>
      <c r="AE110" s="15"/>
      <c r="AG110">
        <v>39.196455</v>
      </c>
      <c r="AH110">
        <v>-86.537745999999999</v>
      </c>
      <c r="AI110" t="s">
        <v>7418</v>
      </c>
      <c r="AL110" t="s">
        <v>1715</v>
      </c>
      <c r="AM110" t="s">
        <v>63</v>
      </c>
      <c r="AN110" t="s">
        <v>7670</v>
      </c>
      <c r="AO110">
        <v>194523</v>
      </c>
      <c r="AQ110" t="s">
        <v>7671</v>
      </c>
      <c r="AR110" t="s">
        <v>7672</v>
      </c>
      <c r="AS110" t="s">
        <v>7673</v>
      </c>
      <c r="AT110" t="s">
        <v>68</v>
      </c>
      <c r="AV110" t="s">
        <v>7674</v>
      </c>
      <c r="AW110" t="s">
        <v>7675</v>
      </c>
      <c r="AX110" t="s">
        <v>7676</v>
      </c>
      <c r="BA110" s="14" t="s">
        <v>72</v>
      </c>
      <c r="BB110" s="14" t="s">
        <v>73</v>
      </c>
      <c r="BC110" s="14" t="s">
        <v>74</v>
      </c>
    </row>
    <row r="111" spans="1:55" ht="15" customHeight="1" x14ac:dyDescent="0.4">
      <c r="A111" s="12">
        <v>3988</v>
      </c>
      <c r="B111" s="21" t="s">
        <v>7677</v>
      </c>
      <c r="C111" s="13" t="s">
        <v>7678</v>
      </c>
      <c r="D111" s="25" t="s">
        <v>7678</v>
      </c>
      <c r="E111" s="13"/>
      <c r="F111" s="41"/>
      <c r="G111" s="41"/>
      <c r="H111" s="41"/>
      <c r="I111" s="41"/>
      <c r="J111" s="41" t="s">
        <v>8177</v>
      </c>
      <c r="K111" s="65" t="str">
        <f>IFERROR(VLOOKUP(D111,Sheet4!A$1:M$56,11,FALSE),"")</f>
        <v/>
      </c>
      <c r="L111" s="65" t="str">
        <f t="shared" si="1"/>
        <v>May have genomic admixture with Q. prinoides</v>
      </c>
      <c r="M111" s="14" t="s">
        <v>1829</v>
      </c>
      <c r="N111" s="15">
        <v>44820</v>
      </c>
      <c r="O111" t="s">
        <v>7608</v>
      </c>
      <c r="P111" t="s">
        <v>51</v>
      </c>
      <c r="Q111" t="s">
        <v>52</v>
      </c>
      <c r="R111" t="s">
        <v>53</v>
      </c>
      <c r="S111" t="s">
        <v>755</v>
      </c>
      <c r="T111" t="s">
        <v>7609</v>
      </c>
      <c r="U111" t="s">
        <v>56</v>
      </c>
      <c r="V111" s="21" t="s">
        <v>7634</v>
      </c>
      <c r="W111" s="21"/>
      <c r="X111" t="s">
        <v>4456</v>
      </c>
      <c r="Y111" t="s">
        <v>7679</v>
      </c>
      <c r="AC111" t="s">
        <v>1832</v>
      </c>
      <c r="AE111" s="15"/>
      <c r="AG111">
        <v>39.196261</v>
      </c>
      <c r="AH111">
        <v>-86.53707</v>
      </c>
      <c r="AI111" t="s">
        <v>4693</v>
      </c>
      <c r="AL111" t="s">
        <v>1715</v>
      </c>
      <c r="AM111" t="s">
        <v>63</v>
      </c>
      <c r="AN111" t="s">
        <v>7680</v>
      </c>
      <c r="AO111">
        <v>194524</v>
      </c>
      <c r="AQ111" t="s">
        <v>7681</v>
      </c>
      <c r="AR111" t="s">
        <v>7682</v>
      </c>
      <c r="AS111" t="s">
        <v>7683</v>
      </c>
      <c r="AT111" t="s">
        <v>68</v>
      </c>
      <c r="AV111" t="s">
        <v>7684</v>
      </c>
      <c r="AW111" t="s">
        <v>7685</v>
      </c>
      <c r="AX111" t="s">
        <v>7686</v>
      </c>
      <c r="BA111" s="14" t="s">
        <v>72</v>
      </c>
      <c r="BB111" s="14" t="s">
        <v>73</v>
      </c>
      <c r="BC111" s="14" t="s">
        <v>74</v>
      </c>
    </row>
    <row r="112" spans="1:55" ht="15" customHeight="1" x14ac:dyDescent="0.4">
      <c r="A112" s="12">
        <v>3989</v>
      </c>
      <c r="B112" s="21" t="s">
        <v>7687</v>
      </c>
      <c r="C112" s="13" t="s">
        <v>7688</v>
      </c>
      <c r="D112" s="25" t="s">
        <v>7688</v>
      </c>
      <c r="E112" s="13"/>
      <c r="F112" s="41"/>
      <c r="G112" s="41"/>
      <c r="H112" s="41"/>
      <c r="I112" s="41"/>
      <c r="J112" s="41"/>
      <c r="K112" s="65" t="str">
        <f>IFERROR(VLOOKUP(D112,Sheet4!A$1:M$56,11,FALSE),"")</f>
        <v/>
      </c>
      <c r="L112" s="65" t="str">
        <f t="shared" si="1"/>
        <v/>
      </c>
      <c r="M112" s="14" t="s">
        <v>1829</v>
      </c>
      <c r="N112" s="15">
        <v>44820</v>
      </c>
      <c r="O112" t="s">
        <v>7608</v>
      </c>
      <c r="P112" t="s">
        <v>51</v>
      </c>
      <c r="Q112" t="s">
        <v>52</v>
      </c>
      <c r="R112" t="s">
        <v>53</v>
      </c>
      <c r="S112" t="s">
        <v>755</v>
      </c>
      <c r="T112" t="s">
        <v>7609</v>
      </c>
      <c r="U112" t="s">
        <v>56</v>
      </c>
      <c r="V112" s="21" t="s">
        <v>7634</v>
      </c>
      <c r="W112" s="21"/>
      <c r="X112" t="s">
        <v>4456</v>
      </c>
      <c r="Y112" t="s">
        <v>7689</v>
      </c>
      <c r="AC112" t="s">
        <v>1832</v>
      </c>
      <c r="AE112" s="15"/>
      <c r="AG112">
        <v>39.198096</v>
      </c>
      <c r="AH112">
        <v>-86.539097999999996</v>
      </c>
      <c r="AI112" t="s">
        <v>2785</v>
      </c>
      <c r="AL112" t="s">
        <v>1715</v>
      </c>
      <c r="AM112" t="s">
        <v>63</v>
      </c>
      <c r="AN112" t="s">
        <v>7690</v>
      </c>
      <c r="AO112">
        <v>194525</v>
      </c>
      <c r="AQ112" t="s">
        <v>7691</v>
      </c>
      <c r="AR112" t="s">
        <v>7692</v>
      </c>
      <c r="AS112" t="s">
        <v>7693</v>
      </c>
      <c r="AT112" t="s">
        <v>68</v>
      </c>
      <c r="AV112" t="s">
        <v>7694</v>
      </c>
      <c r="AW112" t="s">
        <v>7695</v>
      </c>
      <c r="AX112" t="s">
        <v>7696</v>
      </c>
      <c r="BA112" s="14" t="s">
        <v>72</v>
      </c>
      <c r="BB112" s="14" t="s">
        <v>73</v>
      </c>
      <c r="BC112" s="14" t="s">
        <v>74</v>
      </c>
    </row>
    <row r="113" spans="1:55" ht="15" customHeight="1" x14ac:dyDescent="0.4">
      <c r="A113" s="12">
        <v>3990</v>
      </c>
      <c r="B113" s="21" t="s">
        <v>7697</v>
      </c>
      <c r="C113" s="13" t="s">
        <v>7698</v>
      </c>
      <c r="D113" s="25" t="s">
        <v>7698</v>
      </c>
      <c r="E113" s="13"/>
      <c r="F113" s="41"/>
      <c r="G113" s="41"/>
      <c r="H113" s="41"/>
      <c r="I113" s="41"/>
      <c r="J113" s="41"/>
      <c r="K113" s="65" t="str">
        <f>IFERROR(VLOOKUP(D113,Sheet4!A$1:M$56,11,FALSE),"")</f>
        <v/>
      </c>
      <c r="L113" s="65" t="str">
        <f t="shared" si="1"/>
        <v/>
      </c>
      <c r="M113" s="14" t="s">
        <v>1829</v>
      </c>
      <c r="N113" s="15">
        <v>44820</v>
      </c>
      <c r="O113" t="s">
        <v>7608</v>
      </c>
      <c r="P113" t="s">
        <v>51</v>
      </c>
      <c r="Q113" t="s">
        <v>52</v>
      </c>
      <c r="R113" t="s">
        <v>53</v>
      </c>
      <c r="S113" t="s">
        <v>755</v>
      </c>
      <c r="T113" t="s">
        <v>7609</v>
      </c>
      <c r="U113" t="s">
        <v>56</v>
      </c>
      <c r="V113" s="21" t="s">
        <v>7634</v>
      </c>
      <c r="W113" s="21"/>
      <c r="X113" t="s">
        <v>4456</v>
      </c>
      <c r="Y113" t="s">
        <v>7699</v>
      </c>
      <c r="AC113" t="s">
        <v>1832</v>
      </c>
      <c r="AE113" s="15"/>
      <c r="AG113">
        <v>39.198965999999999</v>
      </c>
      <c r="AH113">
        <v>-86.538785000000004</v>
      </c>
      <c r="AI113" t="s">
        <v>7700</v>
      </c>
      <c r="AL113" t="s">
        <v>1715</v>
      </c>
      <c r="AM113" t="s">
        <v>63</v>
      </c>
      <c r="AN113" t="s">
        <v>7701</v>
      </c>
      <c r="AO113">
        <v>194526</v>
      </c>
      <c r="AQ113" t="s">
        <v>7702</v>
      </c>
      <c r="AR113" t="s">
        <v>7703</v>
      </c>
      <c r="AS113" t="s">
        <v>7704</v>
      </c>
      <c r="AT113" t="s">
        <v>68</v>
      </c>
      <c r="AV113" t="s">
        <v>7705</v>
      </c>
      <c r="AW113" t="s">
        <v>7706</v>
      </c>
      <c r="AX113" t="s">
        <v>7707</v>
      </c>
      <c r="BA113" s="14" t="s">
        <v>72</v>
      </c>
      <c r="BB113" s="14" t="s">
        <v>73</v>
      </c>
      <c r="BC113" s="14" t="s">
        <v>74</v>
      </c>
    </row>
    <row r="114" spans="1:55" ht="15" customHeight="1" x14ac:dyDescent="0.4">
      <c r="A114" s="12">
        <v>3958</v>
      </c>
      <c r="B114" s="21" t="s">
        <v>7333</v>
      </c>
      <c r="C114" s="13" t="s">
        <v>7334</v>
      </c>
      <c r="D114" s="25" t="s">
        <v>7334</v>
      </c>
      <c r="E114" s="13"/>
      <c r="F114" s="41"/>
      <c r="G114" s="41"/>
      <c r="H114" s="41"/>
      <c r="I114" s="41"/>
      <c r="J114" s="41"/>
      <c r="K114" s="65" t="str">
        <f>IFERROR(VLOOKUP(D114,Sheet4!A$1:M$56,11,FALSE),"")</f>
        <v/>
      </c>
      <c r="L114" s="65" t="str">
        <f t="shared" si="1"/>
        <v/>
      </c>
      <c r="M114" s="14" t="s">
        <v>1878</v>
      </c>
      <c r="N114" s="15">
        <v>44818</v>
      </c>
      <c r="O114" t="s">
        <v>2719</v>
      </c>
      <c r="P114" t="s">
        <v>51</v>
      </c>
      <c r="Q114" t="s">
        <v>52</v>
      </c>
      <c r="R114" t="s">
        <v>53</v>
      </c>
      <c r="S114" t="s">
        <v>755</v>
      </c>
      <c r="T114" t="s">
        <v>7335</v>
      </c>
      <c r="U114" t="s">
        <v>56</v>
      </c>
      <c r="V114" s="21" t="s">
        <v>7336</v>
      </c>
      <c r="W114" s="21"/>
      <c r="X114" t="s">
        <v>7337</v>
      </c>
      <c r="Y114" t="s">
        <v>7338</v>
      </c>
      <c r="AB114" t="s">
        <v>2440</v>
      </c>
      <c r="AC114" t="s">
        <v>1881</v>
      </c>
      <c r="AE114" s="15"/>
      <c r="AG114">
        <v>40.438583999999999</v>
      </c>
      <c r="AH114">
        <v>-86.932946999999999</v>
      </c>
      <c r="AI114" t="s">
        <v>7339</v>
      </c>
      <c r="AL114" t="s">
        <v>1715</v>
      </c>
      <c r="AM114" t="s">
        <v>63</v>
      </c>
      <c r="AN114" t="s">
        <v>7340</v>
      </c>
      <c r="AO114">
        <v>194154</v>
      </c>
      <c r="AQ114" t="s">
        <v>7341</v>
      </c>
      <c r="AR114" t="s">
        <v>7342</v>
      </c>
      <c r="AS114" t="s">
        <v>7343</v>
      </c>
      <c r="AT114" t="s">
        <v>68</v>
      </c>
      <c r="AV114" t="s">
        <v>7344</v>
      </c>
      <c r="AW114" t="s">
        <v>7345</v>
      </c>
      <c r="AX114" t="s">
        <v>7346</v>
      </c>
      <c r="BA114" s="14" t="s">
        <v>72</v>
      </c>
      <c r="BB114" s="14" t="s">
        <v>73</v>
      </c>
      <c r="BC114" s="14" t="s">
        <v>1723</v>
      </c>
    </row>
    <row r="115" spans="1:55" ht="15" customHeight="1" x14ac:dyDescent="0.4">
      <c r="A115" s="12">
        <v>3959</v>
      </c>
      <c r="B115" s="21" t="s">
        <v>7347</v>
      </c>
      <c r="C115" s="13" t="s">
        <v>7348</v>
      </c>
      <c r="D115" s="25" t="s">
        <v>7348</v>
      </c>
      <c r="E115" s="13"/>
      <c r="F115" s="41"/>
      <c r="G115" s="41"/>
      <c r="H115" s="41"/>
      <c r="I115" s="41"/>
      <c r="J115" s="41"/>
      <c r="K115" s="65" t="str">
        <f>IFERROR(VLOOKUP(D115,Sheet4!A$1:M$56,11,FALSE),"")</f>
        <v/>
      </c>
      <c r="L115" s="65" t="str">
        <f t="shared" si="1"/>
        <v/>
      </c>
      <c r="M115" s="14" t="s">
        <v>2222</v>
      </c>
      <c r="N115" s="15">
        <v>44818</v>
      </c>
      <c r="O115" t="s">
        <v>2719</v>
      </c>
      <c r="P115" t="s">
        <v>51</v>
      </c>
      <c r="Q115" t="s">
        <v>52</v>
      </c>
      <c r="R115" t="s">
        <v>53</v>
      </c>
      <c r="S115" t="s">
        <v>755</v>
      </c>
      <c r="T115" t="s">
        <v>7335</v>
      </c>
      <c r="U115" t="s">
        <v>56</v>
      </c>
      <c r="V115" s="21" t="s">
        <v>7336</v>
      </c>
      <c r="W115" s="21"/>
      <c r="X115" t="s">
        <v>7349</v>
      </c>
      <c r="Y115" t="s">
        <v>7350</v>
      </c>
      <c r="AB115" t="s">
        <v>2440</v>
      </c>
      <c r="AC115" t="s">
        <v>2225</v>
      </c>
      <c r="AE115" s="15"/>
      <c r="AG115">
        <v>40.437621999999998</v>
      </c>
      <c r="AH115">
        <v>-86.932541999999998</v>
      </c>
      <c r="AI115" t="s">
        <v>3738</v>
      </c>
      <c r="AL115" t="s">
        <v>1715</v>
      </c>
      <c r="AM115" t="s">
        <v>63</v>
      </c>
      <c r="AN115" t="s">
        <v>7351</v>
      </c>
      <c r="AO115">
        <v>192532</v>
      </c>
      <c r="AQ115" t="s">
        <v>7352</v>
      </c>
      <c r="AR115" t="s">
        <v>7353</v>
      </c>
      <c r="AS115" t="s">
        <v>7354</v>
      </c>
      <c r="AT115" t="s">
        <v>68</v>
      </c>
      <c r="AV115" t="s">
        <v>7355</v>
      </c>
      <c r="AW115" t="s">
        <v>7356</v>
      </c>
      <c r="AX115" t="s">
        <v>7357</v>
      </c>
      <c r="BA115" s="14" t="s">
        <v>72</v>
      </c>
      <c r="BB115" s="14" t="s">
        <v>73</v>
      </c>
      <c r="BC115" s="14" t="s">
        <v>74</v>
      </c>
    </row>
    <row r="116" spans="1:55" ht="15" customHeight="1" x14ac:dyDescent="0.4">
      <c r="A116" s="12">
        <v>3960</v>
      </c>
      <c r="B116" s="21" t="s">
        <v>7358</v>
      </c>
      <c r="C116" s="13" t="s">
        <v>7359</v>
      </c>
      <c r="D116" s="25" t="s">
        <v>7359</v>
      </c>
      <c r="E116" s="13"/>
      <c r="F116" s="41"/>
      <c r="G116" s="41"/>
      <c r="H116" s="41"/>
      <c r="I116" s="41"/>
      <c r="J116" s="41"/>
      <c r="K116" s="65" t="str">
        <f>IFERROR(VLOOKUP(D116,Sheet4!A$1:M$56,11,FALSE),"")</f>
        <v/>
      </c>
      <c r="L116" s="65" t="str">
        <f t="shared" si="1"/>
        <v/>
      </c>
      <c r="M116" s="14" t="s">
        <v>1878</v>
      </c>
      <c r="N116" s="15">
        <v>44818</v>
      </c>
      <c r="O116" t="s">
        <v>2719</v>
      </c>
      <c r="P116" t="s">
        <v>51</v>
      </c>
      <c r="Q116" t="s">
        <v>52</v>
      </c>
      <c r="R116" t="s">
        <v>53</v>
      </c>
      <c r="S116" t="s">
        <v>755</v>
      </c>
      <c r="T116" t="s">
        <v>7335</v>
      </c>
      <c r="U116" t="s">
        <v>56</v>
      </c>
      <c r="V116" s="21" t="s">
        <v>7336</v>
      </c>
      <c r="W116" s="21"/>
      <c r="X116" t="s">
        <v>7360</v>
      </c>
      <c r="Y116" t="s">
        <v>7361</v>
      </c>
      <c r="AB116" t="s">
        <v>2440</v>
      </c>
      <c r="AC116" t="s">
        <v>1881</v>
      </c>
      <c r="AE116" s="15"/>
      <c r="AG116">
        <v>40.437243000000002</v>
      </c>
      <c r="AH116">
        <v>-86.932675000000003</v>
      </c>
      <c r="AI116" t="s">
        <v>7362</v>
      </c>
      <c r="AL116" t="s">
        <v>1715</v>
      </c>
      <c r="AM116" t="s">
        <v>63</v>
      </c>
      <c r="AN116" t="s">
        <v>7363</v>
      </c>
      <c r="AO116">
        <v>194153</v>
      </c>
      <c r="AQ116" t="s">
        <v>7364</v>
      </c>
      <c r="AR116" t="s">
        <v>7365</v>
      </c>
      <c r="AS116" t="s">
        <v>7366</v>
      </c>
      <c r="AT116" t="s">
        <v>68</v>
      </c>
      <c r="AV116" t="s">
        <v>7367</v>
      </c>
      <c r="AW116" t="s">
        <v>7368</v>
      </c>
      <c r="AX116" t="s">
        <v>7369</v>
      </c>
      <c r="BA116" s="14" t="s">
        <v>72</v>
      </c>
      <c r="BB116" s="14" t="s">
        <v>73</v>
      </c>
      <c r="BC116" s="14" t="s">
        <v>1723</v>
      </c>
    </row>
    <row r="117" spans="1:55" ht="15" customHeight="1" x14ac:dyDescent="0.4">
      <c r="A117" s="12">
        <v>3961</v>
      </c>
      <c r="B117" s="21" t="s">
        <v>7370</v>
      </c>
      <c r="C117" s="13" t="s">
        <v>7371</v>
      </c>
      <c r="D117" s="25" t="s">
        <v>7371</v>
      </c>
      <c r="E117" s="13"/>
      <c r="F117" s="41"/>
      <c r="G117" s="41"/>
      <c r="H117" s="41"/>
      <c r="I117" s="41"/>
      <c r="J117" s="41"/>
      <c r="K117" s="65" t="str">
        <f>IFERROR(VLOOKUP(D117,Sheet4!A$1:M$56,11,FALSE),"")</f>
        <v/>
      </c>
      <c r="L117" s="65" t="str">
        <f t="shared" si="1"/>
        <v/>
      </c>
      <c r="M117" s="14" t="s">
        <v>1878</v>
      </c>
      <c r="N117" s="15">
        <v>44818</v>
      </c>
      <c r="O117" t="s">
        <v>2719</v>
      </c>
      <c r="P117" t="s">
        <v>51</v>
      </c>
      <c r="Q117" t="s">
        <v>52</v>
      </c>
      <c r="R117" t="s">
        <v>53</v>
      </c>
      <c r="S117" t="s">
        <v>755</v>
      </c>
      <c r="T117" t="s">
        <v>7335</v>
      </c>
      <c r="U117" t="s">
        <v>56</v>
      </c>
      <c r="V117" s="21" t="s">
        <v>7336</v>
      </c>
      <c r="W117" s="21"/>
      <c r="X117" t="s">
        <v>7372</v>
      </c>
      <c r="Y117" t="s">
        <v>7373</v>
      </c>
      <c r="AB117" t="s">
        <v>2440</v>
      </c>
      <c r="AC117" t="s">
        <v>1881</v>
      </c>
      <c r="AE117" s="15"/>
      <c r="AG117">
        <v>40.435110000000002</v>
      </c>
      <c r="AH117">
        <v>-86.933235999999994</v>
      </c>
      <c r="AI117" t="s">
        <v>772</v>
      </c>
      <c r="AL117" t="s">
        <v>1715</v>
      </c>
      <c r="AM117" t="s">
        <v>63</v>
      </c>
      <c r="AN117" t="s">
        <v>7374</v>
      </c>
      <c r="AO117">
        <v>194152</v>
      </c>
      <c r="AQ117" t="s">
        <v>7375</v>
      </c>
      <c r="AR117" t="s">
        <v>7376</v>
      </c>
      <c r="AS117" t="s">
        <v>7377</v>
      </c>
      <c r="AT117" t="s">
        <v>68</v>
      </c>
      <c r="AV117" t="s">
        <v>7378</v>
      </c>
      <c r="AW117" t="s">
        <v>7379</v>
      </c>
      <c r="AX117" t="s">
        <v>7380</v>
      </c>
      <c r="BA117" s="14" t="s">
        <v>72</v>
      </c>
      <c r="BB117" s="14" t="s">
        <v>73</v>
      </c>
      <c r="BC117" s="14" t="s">
        <v>1723</v>
      </c>
    </row>
    <row r="118" spans="1:55" ht="15" customHeight="1" x14ac:dyDescent="0.4">
      <c r="A118" s="12">
        <v>3962</v>
      </c>
      <c r="B118" s="21" t="s">
        <v>7381</v>
      </c>
      <c r="C118" s="13" t="s">
        <v>7382</v>
      </c>
      <c r="D118" s="25" t="s">
        <v>7382</v>
      </c>
      <c r="E118" s="13"/>
      <c r="F118" s="41"/>
      <c r="G118" s="41"/>
      <c r="H118" s="41"/>
      <c r="I118" s="41"/>
      <c r="J118" s="41"/>
      <c r="K118" s="65" t="str">
        <f>IFERROR(VLOOKUP(D118,Sheet4!A$1:M$56,11,FALSE),"")</f>
        <v/>
      </c>
      <c r="L118" s="65" t="str">
        <f t="shared" si="1"/>
        <v/>
      </c>
      <c r="M118" s="14" t="s">
        <v>2222</v>
      </c>
      <c r="N118" s="15">
        <v>44818</v>
      </c>
      <c r="O118" t="s">
        <v>2719</v>
      </c>
      <c r="P118" t="s">
        <v>51</v>
      </c>
      <c r="Q118" t="s">
        <v>52</v>
      </c>
      <c r="R118" t="s">
        <v>53</v>
      </c>
      <c r="S118" t="s">
        <v>755</v>
      </c>
      <c r="T118" t="s">
        <v>7335</v>
      </c>
      <c r="U118" t="s">
        <v>56</v>
      </c>
      <c r="V118" s="21" t="s">
        <v>7336</v>
      </c>
      <c r="W118" s="21"/>
      <c r="X118" t="s">
        <v>7383</v>
      </c>
      <c r="Y118" t="s">
        <v>7384</v>
      </c>
      <c r="AB118" t="s">
        <v>2440</v>
      </c>
      <c r="AC118" t="s">
        <v>2225</v>
      </c>
      <c r="AE118" s="15"/>
      <c r="AG118">
        <v>40.436804000000002</v>
      </c>
      <c r="AH118">
        <v>-86.933732000000006</v>
      </c>
      <c r="AI118" t="s">
        <v>1971</v>
      </c>
      <c r="AL118" t="s">
        <v>1715</v>
      </c>
      <c r="AM118" t="s">
        <v>63</v>
      </c>
      <c r="AN118" t="s">
        <v>7385</v>
      </c>
      <c r="AO118">
        <v>192591</v>
      </c>
      <c r="AQ118" t="s">
        <v>7386</v>
      </c>
      <c r="AR118" t="s">
        <v>7387</v>
      </c>
      <c r="AS118" t="s">
        <v>7388</v>
      </c>
      <c r="AT118" t="s">
        <v>68</v>
      </c>
      <c r="AV118" t="s">
        <v>7389</v>
      </c>
      <c r="AW118" t="s">
        <v>7390</v>
      </c>
      <c r="AX118" t="s">
        <v>7391</v>
      </c>
      <c r="BA118" s="14" t="s">
        <v>72</v>
      </c>
      <c r="BB118" s="14" t="s">
        <v>73</v>
      </c>
      <c r="BC118" s="14" t="s">
        <v>74</v>
      </c>
    </row>
    <row r="119" spans="1:55" ht="15" customHeight="1" x14ac:dyDescent="0.4">
      <c r="A119" s="12">
        <v>3963</v>
      </c>
      <c r="B119" s="21" t="s">
        <v>7392</v>
      </c>
      <c r="C119" s="13" t="s">
        <v>7393</v>
      </c>
      <c r="D119" s="25" t="s">
        <v>7393</v>
      </c>
      <c r="E119" s="13"/>
      <c r="F119" s="41"/>
      <c r="G119" s="41"/>
      <c r="H119" s="41"/>
      <c r="I119" s="41"/>
      <c r="J119" s="41"/>
      <c r="K119" s="65" t="str">
        <f>IFERROR(VLOOKUP(D119,Sheet4!A$1:M$56,11,FALSE),"")</f>
        <v/>
      </c>
      <c r="L119" s="65" t="str">
        <f t="shared" si="1"/>
        <v/>
      </c>
      <c r="M119" s="14" t="s">
        <v>49</v>
      </c>
      <c r="N119" s="15">
        <v>44818</v>
      </c>
      <c r="O119" t="s">
        <v>2719</v>
      </c>
      <c r="P119" t="s">
        <v>51</v>
      </c>
      <c r="Q119" t="s">
        <v>52</v>
      </c>
      <c r="R119" t="s">
        <v>53</v>
      </c>
      <c r="S119" t="s">
        <v>755</v>
      </c>
      <c r="T119" t="s">
        <v>7335</v>
      </c>
      <c r="U119" t="s">
        <v>56</v>
      </c>
      <c r="V119" s="21" t="s">
        <v>7336</v>
      </c>
      <c r="W119" s="21"/>
      <c r="X119" t="s">
        <v>7394</v>
      </c>
      <c r="Y119" t="s">
        <v>7395</v>
      </c>
      <c r="AB119" t="s">
        <v>2440</v>
      </c>
      <c r="AC119" t="s">
        <v>60</v>
      </c>
      <c r="AE119" s="15"/>
      <c r="AG119">
        <v>40.437838999999997</v>
      </c>
      <c r="AH119">
        <v>-86.933767000000003</v>
      </c>
      <c r="AI119" t="s">
        <v>7278</v>
      </c>
      <c r="AL119" t="s">
        <v>1715</v>
      </c>
      <c r="AM119" t="s">
        <v>63</v>
      </c>
      <c r="AN119" t="s">
        <v>7396</v>
      </c>
      <c r="AO119">
        <v>192648</v>
      </c>
      <c r="AQ119" t="s">
        <v>7397</v>
      </c>
      <c r="AR119" t="s">
        <v>7398</v>
      </c>
      <c r="AS119" t="s">
        <v>7399</v>
      </c>
      <c r="AT119" t="s">
        <v>68</v>
      </c>
      <c r="AV119" t="s">
        <v>7400</v>
      </c>
      <c r="AW119" t="s">
        <v>7401</v>
      </c>
      <c r="AX119" t="s">
        <v>7402</v>
      </c>
      <c r="BA119" s="14" t="s">
        <v>72</v>
      </c>
      <c r="BB119" s="14" t="s">
        <v>73</v>
      </c>
      <c r="BC119" s="14" t="s">
        <v>74</v>
      </c>
    </row>
    <row r="120" spans="1:55" ht="15" customHeight="1" x14ac:dyDescent="0.4">
      <c r="A120" s="12">
        <v>3964</v>
      </c>
      <c r="B120" s="21" t="s">
        <v>7403</v>
      </c>
      <c r="C120" s="13" t="s">
        <v>7404</v>
      </c>
      <c r="D120" s="25" t="s">
        <v>7404</v>
      </c>
      <c r="E120" s="13"/>
      <c r="F120" s="41"/>
      <c r="G120" s="41"/>
      <c r="H120" s="41"/>
      <c r="I120" s="41"/>
      <c r="J120" s="41"/>
      <c r="K120" s="65" t="str">
        <f>IFERROR(VLOOKUP(D120,Sheet4!A$1:M$56,11,FALSE),"")</f>
        <v/>
      </c>
      <c r="L120" s="65" t="str">
        <f t="shared" si="1"/>
        <v/>
      </c>
      <c r="M120" s="14" t="s">
        <v>1878</v>
      </c>
      <c r="N120" s="15">
        <v>44818</v>
      </c>
      <c r="O120" t="s">
        <v>2719</v>
      </c>
      <c r="P120" t="s">
        <v>51</v>
      </c>
      <c r="Q120" t="s">
        <v>52</v>
      </c>
      <c r="R120" t="s">
        <v>53</v>
      </c>
      <c r="S120" t="s">
        <v>755</v>
      </c>
      <c r="T120" t="s">
        <v>7335</v>
      </c>
      <c r="U120" t="s">
        <v>56</v>
      </c>
      <c r="V120" s="21" t="s">
        <v>7336</v>
      </c>
      <c r="W120" s="21"/>
      <c r="X120" t="s">
        <v>7405</v>
      </c>
      <c r="Y120" t="s">
        <v>7406</v>
      </c>
      <c r="AB120" t="s">
        <v>2440</v>
      </c>
      <c r="AC120" t="s">
        <v>1881</v>
      </c>
      <c r="AE120" s="15"/>
      <c r="AG120">
        <v>40.438491999999997</v>
      </c>
      <c r="AH120">
        <v>-86.930974000000006</v>
      </c>
      <c r="AI120" t="s">
        <v>2285</v>
      </c>
      <c r="AL120" t="s">
        <v>1715</v>
      </c>
      <c r="AM120" t="s">
        <v>63</v>
      </c>
      <c r="AN120" t="s">
        <v>7407</v>
      </c>
      <c r="AO120">
        <v>194151</v>
      </c>
      <c r="AQ120" t="s">
        <v>7408</v>
      </c>
      <c r="AR120" t="s">
        <v>7409</v>
      </c>
      <c r="AS120" t="s">
        <v>7410</v>
      </c>
      <c r="AT120" t="s">
        <v>68</v>
      </c>
      <c r="AV120" t="s">
        <v>7411</v>
      </c>
      <c r="AW120" t="s">
        <v>7412</v>
      </c>
      <c r="AX120" t="s">
        <v>7413</v>
      </c>
      <c r="BA120" s="14" t="s">
        <v>72</v>
      </c>
      <c r="BB120" s="14" t="s">
        <v>73</v>
      </c>
      <c r="BC120" s="14" t="s">
        <v>1723</v>
      </c>
    </row>
    <row r="121" spans="1:55" ht="15" customHeight="1" x14ac:dyDescent="0.4">
      <c r="A121" s="12">
        <v>3965</v>
      </c>
      <c r="B121" s="21" t="s">
        <v>7414</v>
      </c>
      <c r="C121" s="13" t="s">
        <v>7415</v>
      </c>
      <c r="D121" s="25" t="s">
        <v>7415</v>
      </c>
      <c r="E121" s="13"/>
      <c r="F121" s="41"/>
      <c r="G121" s="41"/>
      <c r="H121" s="41"/>
      <c r="I121" s="41"/>
      <c r="J121" s="41" t="s">
        <v>8177</v>
      </c>
      <c r="K121" s="65" t="str">
        <f>IFERROR(VLOOKUP(D121,Sheet4!A$1:M$56,11,FALSE),"")</f>
        <v/>
      </c>
      <c r="L121" s="65" t="str">
        <f t="shared" si="1"/>
        <v>May have genomic admixture with Q. prinoides</v>
      </c>
      <c r="M121" s="14" t="s">
        <v>1829</v>
      </c>
      <c r="N121" s="15">
        <v>44818</v>
      </c>
      <c r="O121" t="s">
        <v>2719</v>
      </c>
      <c r="P121" t="s">
        <v>51</v>
      </c>
      <c r="Q121" t="s">
        <v>52</v>
      </c>
      <c r="R121" t="s">
        <v>53</v>
      </c>
      <c r="S121" t="s">
        <v>755</v>
      </c>
      <c r="T121" t="s">
        <v>7335</v>
      </c>
      <c r="U121" t="s">
        <v>56</v>
      </c>
      <c r="V121" s="21" t="s">
        <v>7336</v>
      </c>
      <c r="W121" s="21"/>
      <c r="X121" t="s">
        <v>7416</v>
      </c>
      <c r="Y121" t="s">
        <v>7417</v>
      </c>
      <c r="AB121" t="s">
        <v>2440</v>
      </c>
      <c r="AC121" t="s">
        <v>1832</v>
      </c>
      <c r="AE121" s="15"/>
      <c r="AG121">
        <v>40.438383000000002</v>
      </c>
      <c r="AH121">
        <v>-86.930811000000006</v>
      </c>
      <c r="AI121" t="s">
        <v>7418</v>
      </c>
      <c r="AL121" t="s">
        <v>1715</v>
      </c>
      <c r="AM121" t="s">
        <v>63</v>
      </c>
      <c r="AN121" t="s">
        <v>7419</v>
      </c>
      <c r="AO121">
        <v>194500</v>
      </c>
      <c r="AQ121" t="s">
        <v>7420</v>
      </c>
      <c r="AR121" t="s">
        <v>7421</v>
      </c>
      <c r="AS121" t="s">
        <v>7422</v>
      </c>
      <c r="AT121" t="s">
        <v>68</v>
      </c>
      <c r="AV121" t="s">
        <v>7423</v>
      </c>
      <c r="AW121" t="s">
        <v>7424</v>
      </c>
      <c r="AX121" t="s">
        <v>7425</v>
      </c>
      <c r="BA121" s="14" t="s">
        <v>72</v>
      </c>
      <c r="BB121" s="14" t="s">
        <v>73</v>
      </c>
      <c r="BC121" s="14" t="s">
        <v>74</v>
      </c>
    </row>
    <row r="122" spans="1:55" ht="15" customHeight="1" x14ac:dyDescent="0.4">
      <c r="A122" s="12">
        <v>3966</v>
      </c>
      <c r="B122" s="21" t="s">
        <v>7426</v>
      </c>
      <c r="C122" s="13" t="s">
        <v>7427</v>
      </c>
      <c r="D122" s="25" t="s">
        <v>7427</v>
      </c>
      <c r="E122" s="13"/>
      <c r="F122" s="41"/>
      <c r="G122" s="41"/>
      <c r="H122" s="41"/>
      <c r="I122" s="41"/>
      <c r="J122" s="41"/>
      <c r="K122" s="65" t="str">
        <f>IFERROR(VLOOKUP(D122,Sheet4!A$1:M$56,11,FALSE),"")</f>
        <v/>
      </c>
      <c r="L122" s="65" t="str">
        <f t="shared" si="1"/>
        <v/>
      </c>
      <c r="M122" s="14" t="s">
        <v>1829</v>
      </c>
      <c r="N122" s="15">
        <v>44818</v>
      </c>
      <c r="O122" t="s">
        <v>2719</v>
      </c>
      <c r="P122" t="s">
        <v>51</v>
      </c>
      <c r="Q122" t="s">
        <v>52</v>
      </c>
      <c r="R122" t="s">
        <v>53</v>
      </c>
      <c r="S122" t="s">
        <v>755</v>
      </c>
      <c r="T122" t="s">
        <v>7335</v>
      </c>
      <c r="U122" t="s">
        <v>56</v>
      </c>
      <c r="V122" s="21" t="s">
        <v>7336</v>
      </c>
      <c r="W122" s="21"/>
      <c r="X122" t="s">
        <v>7428</v>
      </c>
      <c r="Y122" t="s">
        <v>7429</v>
      </c>
      <c r="AB122" t="s">
        <v>2440</v>
      </c>
      <c r="AC122" t="s">
        <v>1832</v>
      </c>
      <c r="AE122" s="15"/>
      <c r="AG122">
        <v>40.436971</v>
      </c>
      <c r="AH122">
        <v>-86.929077000000007</v>
      </c>
      <c r="AI122" t="s">
        <v>4786</v>
      </c>
      <c r="AL122" t="s">
        <v>1715</v>
      </c>
      <c r="AM122" t="s">
        <v>63</v>
      </c>
      <c r="AN122" t="s">
        <v>7430</v>
      </c>
      <c r="AO122">
        <v>194501</v>
      </c>
      <c r="AQ122" t="s">
        <v>7431</v>
      </c>
      <c r="AR122" t="s">
        <v>7432</v>
      </c>
      <c r="AS122" t="s">
        <v>7433</v>
      </c>
      <c r="AT122" t="s">
        <v>68</v>
      </c>
      <c r="AV122" t="s">
        <v>7434</v>
      </c>
      <c r="AW122" t="s">
        <v>7435</v>
      </c>
      <c r="AX122" t="s">
        <v>7436</v>
      </c>
      <c r="BA122" s="14" t="s">
        <v>72</v>
      </c>
      <c r="BB122" s="14" t="s">
        <v>73</v>
      </c>
      <c r="BC122" s="14" t="s">
        <v>74</v>
      </c>
    </row>
    <row r="123" spans="1:55" ht="15" customHeight="1" x14ac:dyDescent="0.4">
      <c r="A123" s="12">
        <v>3967</v>
      </c>
      <c r="B123" s="21" t="s">
        <v>7437</v>
      </c>
      <c r="C123" s="13" t="s">
        <v>7438</v>
      </c>
      <c r="D123" s="25" t="s">
        <v>7438</v>
      </c>
      <c r="E123" s="13"/>
      <c r="F123" s="41"/>
      <c r="G123" s="41"/>
      <c r="H123" s="41"/>
      <c r="I123" s="41"/>
      <c r="J123" s="41"/>
      <c r="K123" s="65" t="str">
        <f>IFERROR(VLOOKUP(D123,Sheet4!A$1:M$56,11,FALSE),"")</f>
        <v/>
      </c>
      <c r="L123" s="65" t="str">
        <f t="shared" si="1"/>
        <v/>
      </c>
      <c r="M123" s="14" t="s">
        <v>1829</v>
      </c>
      <c r="N123" s="15">
        <v>44818</v>
      </c>
      <c r="O123" t="s">
        <v>2719</v>
      </c>
      <c r="P123" t="s">
        <v>51</v>
      </c>
      <c r="Q123" t="s">
        <v>52</v>
      </c>
      <c r="R123" t="s">
        <v>53</v>
      </c>
      <c r="S123" t="s">
        <v>755</v>
      </c>
      <c r="T123" t="s">
        <v>7335</v>
      </c>
      <c r="U123" t="s">
        <v>56</v>
      </c>
      <c r="V123" s="21" t="s">
        <v>7336</v>
      </c>
      <c r="W123" s="21"/>
      <c r="X123" t="s">
        <v>7439</v>
      </c>
      <c r="Y123" t="s">
        <v>7440</v>
      </c>
      <c r="AC123" t="s">
        <v>1832</v>
      </c>
      <c r="AE123" s="15"/>
      <c r="AG123">
        <v>40.437052999999999</v>
      </c>
      <c r="AH123">
        <v>-86.929563000000002</v>
      </c>
      <c r="AI123" t="s">
        <v>7278</v>
      </c>
      <c r="AL123" t="s">
        <v>1715</v>
      </c>
      <c r="AM123" t="s">
        <v>63</v>
      </c>
      <c r="AN123" t="s">
        <v>7441</v>
      </c>
      <c r="AO123">
        <v>194502</v>
      </c>
      <c r="AQ123" t="s">
        <v>7442</v>
      </c>
      <c r="AR123" t="s">
        <v>7443</v>
      </c>
      <c r="AS123" t="s">
        <v>7444</v>
      </c>
      <c r="AT123" t="s">
        <v>68</v>
      </c>
      <c r="AV123" t="s">
        <v>7445</v>
      </c>
      <c r="AW123" t="s">
        <v>7446</v>
      </c>
      <c r="AX123" t="s">
        <v>7447</v>
      </c>
      <c r="BA123" s="14" t="s">
        <v>72</v>
      </c>
      <c r="BB123" s="14" t="s">
        <v>73</v>
      </c>
      <c r="BC123" s="14" t="s">
        <v>74</v>
      </c>
    </row>
    <row r="124" spans="1:55" ht="15" customHeight="1" x14ac:dyDescent="0.4">
      <c r="A124" s="12">
        <v>3968</v>
      </c>
      <c r="B124" s="21" t="s">
        <v>7448</v>
      </c>
      <c r="C124" s="13" t="s">
        <v>7449</v>
      </c>
      <c r="D124" s="25" t="s">
        <v>7449</v>
      </c>
      <c r="E124" s="13"/>
      <c r="F124" s="41"/>
      <c r="G124" s="41"/>
      <c r="H124" s="41"/>
      <c r="I124" s="41"/>
      <c r="J124" s="41" t="s">
        <v>8177</v>
      </c>
      <c r="K124" s="65" t="str">
        <f>IFERROR(VLOOKUP(D124,Sheet4!A$1:M$56,11,FALSE),"")</f>
        <v/>
      </c>
      <c r="L124" s="65" t="str">
        <f t="shared" si="1"/>
        <v>May have genomic admixture with Q. prinoides</v>
      </c>
      <c r="M124" s="14" t="s">
        <v>1829</v>
      </c>
      <c r="N124" s="15">
        <v>44819</v>
      </c>
      <c r="O124" t="s">
        <v>2719</v>
      </c>
      <c r="P124" t="s">
        <v>51</v>
      </c>
      <c r="Q124" t="s">
        <v>52</v>
      </c>
      <c r="R124" t="s">
        <v>53</v>
      </c>
      <c r="S124" t="s">
        <v>755</v>
      </c>
      <c r="T124" t="s">
        <v>7450</v>
      </c>
      <c r="U124" t="s">
        <v>56</v>
      </c>
      <c r="V124" s="21" t="s">
        <v>7451</v>
      </c>
      <c r="W124" s="21"/>
      <c r="X124" t="s">
        <v>7452</v>
      </c>
      <c r="Y124" t="s">
        <v>7453</v>
      </c>
      <c r="AB124" t="s">
        <v>2440</v>
      </c>
      <c r="AC124" t="s">
        <v>1832</v>
      </c>
      <c r="AE124" s="15"/>
      <c r="AG124">
        <v>40.457290999999998</v>
      </c>
      <c r="AH124">
        <v>-85.509986999999995</v>
      </c>
      <c r="AI124" t="s">
        <v>7454</v>
      </c>
      <c r="AL124" t="s">
        <v>1715</v>
      </c>
      <c r="AM124" t="s">
        <v>63</v>
      </c>
      <c r="AN124" t="s">
        <v>7455</v>
      </c>
      <c r="AO124">
        <v>194503</v>
      </c>
      <c r="AQ124" t="s">
        <v>7456</v>
      </c>
      <c r="AR124" t="s">
        <v>7457</v>
      </c>
      <c r="AS124" t="s">
        <v>7458</v>
      </c>
      <c r="AT124" t="s">
        <v>68</v>
      </c>
      <c r="AV124" t="s">
        <v>7459</v>
      </c>
      <c r="AW124" t="s">
        <v>7460</v>
      </c>
      <c r="AX124" t="s">
        <v>7461</v>
      </c>
      <c r="BA124" s="14" t="s">
        <v>72</v>
      </c>
      <c r="BB124" s="14" t="s">
        <v>73</v>
      </c>
      <c r="BC124" s="14" t="s">
        <v>74</v>
      </c>
    </row>
    <row r="125" spans="1:55" ht="15" customHeight="1" x14ac:dyDescent="0.4">
      <c r="A125" s="12">
        <v>3969</v>
      </c>
      <c r="B125" s="21" t="s">
        <v>7462</v>
      </c>
      <c r="C125" s="13" t="s">
        <v>7463</v>
      </c>
      <c r="D125" s="25" t="s">
        <v>7463</v>
      </c>
      <c r="E125" s="13"/>
      <c r="F125" s="41"/>
      <c r="G125" s="41"/>
      <c r="H125" s="41"/>
      <c r="I125" s="41"/>
      <c r="J125" s="41"/>
      <c r="K125" s="65" t="str">
        <f>IFERROR(VLOOKUP(D125,Sheet4!A$1:M$56,11,FALSE),"")</f>
        <v/>
      </c>
      <c r="L125" s="65" t="str">
        <f t="shared" si="1"/>
        <v/>
      </c>
      <c r="M125" s="14" t="s">
        <v>49</v>
      </c>
      <c r="N125" s="15">
        <v>44819</v>
      </c>
      <c r="O125" t="s">
        <v>2719</v>
      </c>
      <c r="P125" t="s">
        <v>51</v>
      </c>
      <c r="Q125" t="s">
        <v>52</v>
      </c>
      <c r="R125" t="s">
        <v>53</v>
      </c>
      <c r="S125" t="s">
        <v>755</v>
      </c>
      <c r="T125" t="s">
        <v>7450</v>
      </c>
      <c r="U125" t="s">
        <v>56</v>
      </c>
      <c r="V125" s="21" t="s">
        <v>7451</v>
      </c>
      <c r="W125" s="21"/>
      <c r="X125" t="s">
        <v>7464</v>
      </c>
      <c r="Y125" t="s">
        <v>7465</v>
      </c>
      <c r="AC125" t="s">
        <v>60</v>
      </c>
      <c r="AE125" s="15"/>
      <c r="AG125">
        <v>40.457366999999998</v>
      </c>
      <c r="AH125">
        <v>-85.511077999999998</v>
      </c>
      <c r="AI125" t="s">
        <v>7466</v>
      </c>
      <c r="AL125" t="s">
        <v>1715</v>
      </c>
      <c r="AM125" t="s">
        <v>63</v>
      </c>
      <c r="AN125" t="s">
        <v>7467</v>
      </c>
      <c r="AO125">
        <v>194610</v>
      </c>
      <c r="AQ125" t="s">
        <v>7468</v>
      </c>
      <c r="AR125" t="s">
        <v>7469</v>
      </c>
      <c r="AS125" t="s">
        <v>7470</v>
      </c>
      <c r="AT125" t="s">
        <v>68</v>
      </c>
      <c r="AV125" t="s">
        <v>7471</v>
      </c>
      <c r="AW125" t="s">
        <v>7472</v>
      </c>
      <c r="AX125" t="s">
        <v>7473</v>
      </c>
      <c r="BA125" s="14" t="s">
        <v>72</v>
      </c>
      <c r="BB125" s="14" t="s">
        <v>73</v>
      </c>
      <c r="BC125" s="14" t="s">
        <v>74</v>
      </c>
    </row>
    <row r="126" spans="1:55" ht="15" customHeight="1" x14ac:dyDescent="0.4">
      <c r="A126" s="12">
        <v>3970</v>
      </c>
      <c r="B126" s="21" t="s">
        <v>7474</v>
      </c>
      <c r="C126" s="13" t="s">
        <v>7475</v>
      </c>
      <c r="D126" s="25" t="s">
        <v>7475</v>
      </c>
      <c r="E126" s="13"/>
      <c r="F126" s="41"/>
      <c r="G126" s="41"/>
      <c r="H126" s="41"/>
      <c r="I126" s="41"/>
      <c r="J126" s="41"/>
      <c r="K126" s="65" t="str">
        <f>IFERROR(VLOOKUP(D126,Sheet4!A$1:M$56,11,FALSE),"")</f>
        <v/>
      </c>
      <c r="L126" s="65" t="str">
        <f t="shared" si="1"/>
        <v/>
      </c>
      <c r="M126" s="14" t="s">
        <v>49</v>
      </c>
      <c r="N126" s="15">
        <v>44819</v>
      </c>
      <c r="O126" t="s">
        <v>2719</v>
      </c>
      <c r="P126" t="s">
        <v>51</v>
      </c>
      <c r="Q126" t="s">
        <v>52</v>
      </c>
      <c r="R126" t="s">
        <v>53</v>
      </c>
      <c r="S126" t="s">
        <v>755</v>
      </c>
      <c r="T126" t="s">
        <v>7450</v>
      </c>
      <c r="U126" t="s">
        <v>56</v>
      </c>
      <c r="V126" s="21" t="s">
        <v>7451</v>
      </c>
      <c r="W126" s="21"/>
      <c r="X126" t="s">
        <v>7464</v>
      </c>
      <c r="Y126" t="s">
        <v>7476</v>
      </c>
      <c r="AB126" t="s">
        <v>2440</v>
      </c>
      <c r="AC126" t="s">
        <v>60</v>
      </c>
      <c r="AE126" s="15"/>
      <c r="AG126">
        <v>40.457881999999998</v>
      </c>
      <c r="AH126">
        <v>-85.511741999999998</v>
      </c>
      <c r="AI126" t="s">
        <v>7477</v>
      </c>
      <c r="AL126" t="s">
        <v>1715</v>
      </c>
      <c r="AM126" t="s">
        <v>63</v>
      </c>
      <c r="AN126" t="s">
        <v>7478</v>
      </c>
      <c r="AO126">
        <v>192661</v>
      </c>
      <c r="AQ126" t="s">
        <v>7479</v>
      </c>
      <c r="AR126" t="s">
        <v>7480</v>
      </c>
      <c r="AS126" t="s">
        <v>7481</v>
      </c>
      <c r="AT126" t="s">
        <v>68</v>
      </c>
      <c r="AV126" t="s">
        <v>7482</v>
      </c>
      <c r="AW126" t="s">
        <v>7483</v>
      </c>
      <c r="AX126" t="s">
        <v>7484</v>
      </c>
      <c r="BA126" s="14" t="s">
        <v>72</v>
      </c>
      <c r="BB126" s="14" t="s">
        <v>73</v>
      </c>
      <c r="BC126" s="14" t="s">
        <v>74</v>
      </c>
    </row>
    <row r="127" spans="1:55" ht="15" customHeight="1" x14ac:dyDescent="0.4">
      <c r="A127" s="12">
        <v>3971</v>
      </c>
      <c r="B127" s="21" t="s">
        <v>7485</v>
      </c>
      <c r="C127" s="13" t="s">
        <v>7486</v>
      </c>
      <c r="D127" s="25" t="s">
        <v>7486</v>
      </c>
      <c r="E127" s="13"/>
      <c r="F127" s="41"/>
      <c r="G127" s="41"/>
      <c r="H127" s="41"/>
      <c r="I127" s="41"/>
      <c r="J127" s="41"/>
      <c r="K127" s="65" t="str">
        <f>IFERROR(VLOOKUP(D127,Sheet4!A$1:M$56,11,FALSE),"")</f>
        <v/>
      </c>
      <c r="L127" s="65" t="str">
        <f t="shared" si="1"/>
        <v/>
      </c>
      <c r="M127" s="14" t="s">
        <v>49</v>
      </c>
      <c r="N127" s="15">
        <v>44819</v>
      </c>
      <c r="O127" t="s">
        <v>2719</v>
      </c>
      <c r="P127" t="s">
        <v>51</v>
      </c>
      <c r="Q127" t="s">
        <v>52</v>
      </c>
      <c r="R127" t="s">
        <v>53</v>
      </c>
      <c r="S127" t="s">
        <v>755</v>
      </c>
      <c r="T127" t="s">
        <v>7450</v>
      </c>
      <c r="U127" t="s">
        <v>56</v>
      </c>
      <c r="V127" s="21" t="s">
        <v>7451</v>
      </c>
      <c r="W127" s="21"/>
      <c r="X127" t="s">
        <v>7464</v>
      </c>
      <c r="Y127" t="s">
        <v>7487</v>
      </c>
      <c r="AB127" t="s">
        <v>2440</v>
      </c>
      <c r="AC127" t="s">
        <v>60</v>
      </c>
      <c r="AE127" s="15"/>
      <c r="AG127">
        <v>40.458125000000003</v>
      </c>
      <c r="AH127">
        <v>-85.511150999999998</v>
      </c>
      <c r="AI127" t="s">
        <v>5305</v>
      </c>
      <c r="AL127" t="s">
        <v>1715</v>
      </c>
      <c r="AM127" t="s">
        <v>63</v>
      </c>
      <c r="AN127" t="s">
        <v>7488</v>
      </c>
      <c r="AO127">
        <v>194611</v>
      </c>
      <c r="AQ127" t="s">
        <v>7489</v>
      </c>
      <c r="AR127" t="s">
        <v>7490</v>
      </c>
      <c r="AS127" t="s">
        <v>7491</v>
      </c>
      <c r="AT127" t="s">
        <v>68</v>
      </c>
      <c r="AV127" t="s">
        <v>7492</v>
      </c>
      <c r="AW127" t="s">
        <v>7493</v>
      </c>
      <c r="AX127" t="s">
        <v>7494</v>
      </c>
      <c r="BA127" s="14" t="s">
        <v>72</v>
      </c>
      <c r="BB127" s="14" t="s">
        <v>73</v>
      </c>
      <c r="BC127" s="14" t="s">
        <v>74</v>
      </c>
    </row>
    <row r="128" spans="1:55" ht="15" customHeight="1" x14ac:dyDescent="0.4">
      <c r="A128" s="12">
        <v>3972</v>
      </c>
      <c r="B128" s="21" t="s">
        <v>7495</v>
      </c>
      <c r="C128" s="13" t="s">
        <v>7496</v>
      </c>
      <c r="D128" s="25" t="s">
        <v>7496</v>
      </c>
      <c r="E128" s="13"/>
      <c r="F128" s="41"/>
      <c r="G128" s="41"/>
      <c r="H128" s="41"/>
      <c r="I128" s="41"/>
      <c r="J128" s="41"/>
      <c r="K128" s="65" t="str">
        <f>IFERROR(VLOOKUP(D128,Sheet4!A$1:M$56,11,FALSE),"")</f>
        <v/>
      </c>
      <c r="L128" s="65" t="str">
        <f t="shared" si="1"/>
        <v/>
      </c>
      <c r="M128" s="14" t="s">
        <v>1829</v>
      </c>
      <c r="N128" s="15">
        <v>44819</v>
      </c>
      <c r="O128" t="s">
        <v>2719</v>
      </c>
      <c r="P128" t="s">
        <v>51</v>
      </c>
      <c r="Q128" t="s">
        <v>52</v>
      </c>
      <c r="R128" t="s">
        <v>53</v>
      </c>
      <c r="S128" t="s">
        <v>755</v>
      </c>
      <c r="T128" t="s">
        <v>7450</v>
      </c>
      <c r="U128" t="s">
        <v>56</v>
      </c>
      <c r="V128" s="21" t="s">
        <v>7451</v>
      </c>
      <c r="W128" s="21"/>
      <c r="X128" t="s">
        <v>7464</v>
      </c>
      <c r="Y128" t="s">
        <v>7497</v>
      </c>
      <c r="AC128" t="s">
        <v>1832</v>
      </c>
      <c r="AE128" s="15"/>
      <c r="AG128">
        <v>40.458257000000003</v>
      </c>
      <c r="AH128">
        <v>-85.510915999999995</v>
      </c>
      <c r="AI128" t="s">
        <v>5281</v>
      </c>
      <c r="AL128" t="s">
        <v>1715</v>
      </c>
      <c r="AM128" t="s">
        <v>63</v>
      </c>
      <c r="AN128" t="s">
        <v>7498</v>
      </c>
      <c r="AO128">
        <v>194504</v>
      </c>
      <c r="AQ128" t="s">
        <v>7499</v>
      </c>
      <c r="AR128" t="s">
        <v>7500</v>
      </c>
      <c r="AS128" t="s">
        <v>7501</v>
      </c>
      <c r="AT128" t="s">
        <v>68</v>
      </c>
      <c r="AV128" t="s">
        <v>7502</v>
      </c>
      <c r="AW128" t="s">
        <v>7503</v>
      </c>
      <c r="AX128" t="s">
        <v>7504</v>
      </c>
      <c r="BA128" s="14" t="s">
        <v>72</v>
      </c>
      <c r="BB128" s="14" t="s">
        <v>73</v>
      </c>
      <c r="BC128" s="14" t="s">
        <v>74</v>
      </c>
    </row>
    <row r="129" spans="1:55" ht="15" customHeight="1" x14ac:dyDescent="0.4">
      <c r="A129" s="12">
        <v>3973</v>
      </c>
      <c r="B129" s="21" t="s">
        <v>7505</v>
      </c>
      <c r="C129" s="13" t="s">
        <v>7506</v>
      </c>
      <c r="D129" s="25" t="s">
        <v>7506</v>
      </c>
      <c r="E129" s="13"/>
      <c r="F129" s="41"/>
      <c r="G129" s="41"/>
      <c r="H129" s="41"/>
      <c r="I129" s="41"/>
      <c r="J129" s="41"/>
      <c r="K129" s="65" t="str">
        <f>IFERROR(VLOOKUP(D129,Sheet4!A$1:M$56,11,FALSE),"")</f>
        <v/>
      </c>
      <c r="L129" s="65" t="str">
        <f t="shared" si="1"/>
        <v/>
      </c>
      <c r="M129" s="14" t="s">
        <v>1829</v>
      </c>
      <c r="N129" s="15">
        <v>44819</v>
      </c>
      <c r="O129" t="s">
        <v>2719</v>
      </c>
      <c r="P129" t="s">
        <v>51</v>
      </c>
      <c r="Q129" t="s">
        <v>52</v>
      </c>
      <c r="R129" t="s">
        <v>53</v>
      </c>
      <c r="S129" t="s">
        <v>755</v>
      </c>
      <c r="T129" t="s">
        <v>7450</v>
      </c>
      <c r="U129" t="s">
        <v>56</v>
      </c>
      <c r="V129" s="21" t="s">
        <v>7451</v>
      </c>
      <c r="W129" s="21"/>
      <c r="X129" t="s">
        <v>7464</v>
      </c>
      <c r="Y129" t="s">
        <v>7507</v>
      </c>
      <c r="AC129" t="s">
        <v>1832</v>
      </c>
      <c r="AE129" s="15"/>
      <c r="AG129">
        <v>40.456561999999998</v>
      </c>
      <c r="AH129">
        <v>-85.511442000000002</v>
      </c>
      <c r="AI129" t="s">
        <v>4916</v>
      </c>
      <c r="AL129" t="s">
        <v>1715</v>
      </c>
      <c r="AM129" t="s">
        <v>63</v>
      </c>
      <c r="AN129" t="s">
        <v>7508</v>
      </c>
      <c r="AO129">
        <v>194547</v>
      </c>
      <c r="AQ129" t="s">
        <v>7509</v>
      </c>
      <c r="AR129" t="s">
        <v>7510</v>
      </c>
      <c r="AS129" t="s">
        <v>7511</v>
      </c>
      <c r="AT129" t="s">
        <v>68</v>
      </c>
      <c r="AV129" t="s">
        <v>7512</v>
      </c>
      <c r="AW129" t="s">
        <v>7513</v>
      </c>
      <c r="AX129" t="s">
        <v>7514</v>
      </c>
      <c r="BA129" s="14" t="s">
        <v>72</v>
      </c>
      <c r="BB129" s="14" t="s">
        <v>73</v>
      </c>
      <c r="BC129" s="14" t="s">
        <v>74</v>
      </c>
    </row>
    <row r="130" spans="1:55" ht="15" customHeight="1" x14ac:dyDescent="0.4">
      <c r="A130" s="12">
        <v>3974</v>
      </c>
      <c r="B130" s="21" t="s">
        <v>7515</v>
      </c>
      <c r="C130" s="13" t="s">
        <v>7516</v>
      </c>
      <c r="D130" s="25" t="s">
        <v>7516</v>
      </c>
      <c r="E130" s="13"/>
      <c r="F130" s="41"/>
      <c r="G130" s="41"/>
      <c r="H130" s="41"/>
      <c r="I130" s="41"/>
      <c r="J130" s="41"/>
      <c r="K130" s="65" t="str">
        <f>IFERROR(VLOOKUP(D130,Sheet4!A$1:M$56,11,FALSE),"")</f>
        <v/>
      </c>
      <c r="L130" s="65" t="str">
        <f t="shared" si="1"/>
        <v/>
      </c>
      <c r="M130" s="14" t="s">
        <v>1878</v>
      </c>
      <c r="N130" s="15">
        <v>44819</v>
      </c>
      <c r="O130" t="s">
        <v>2719</v>
      </c>
      <c r="P130" t="s">
        <v>51</v>
      </c>
      <c r="Q130" t="s">
        <v>52</v>
      </c>
      <c r="R130" t="s">
        <v>53</v>
      </c>
      <c r="S130" t="s">
        <v>755</v>
      </c>
      <c r="T130" t="s">
        <v>7450</v>
      </c>
      <c r="U130" t="s">
        <v>56</v>
      </c>
      <c r="V130" s="21" t="s">
        <v>7451</v>
      </c>
      <c r="W130" s="21"/>
      <c r="X130" t="s">
        <v>7464</v>
      </c>
      <c r="Y130" t="s">
        <v>7517</v>
      </c>
      <c r="AB130" t="s">
        <v>2440</v>
      </c>
      <c r="AC130" t="s">
        <v>1881</v>
      </c>
      <c r="AE130" s="15"/>
      <c r="AG130">
        <v>40.455734</v>
      </c>
      <c r="AH130">
        <v>-85.51164</v>
      </c>
      <c r="AI130" t="s">
        <v>7518</v>
      </c>
      <c r="AL130" t="s">
        <v>1715</v>
      </c>
      <c r="AM130" t="s">
        <v>63</v>
      </c>
      <c r="AN130" t="s">
        <v>7519</v>
      </c>
      <c r="AO130">
        <v>194150</v>
      </c>
      <c r="AQ130" t="s">
        <v>7520</v>
      </c>
      <c r="AR130" t="s">
        <v>7521</v>
      </c>
      <c r="AS130" t="s">
        <v>7522</v>
      </c>
      <c r="AT130" t="s">
        <v>68</v>
      </c>
      <c r="AV130" t="s">
        <v>7523</v>
      </c>
      <c r="AW130" t="s">
        <v>7524</v>
      </c>
      <c r="AX130" t="s">
        <v>7525</v>
      </c>
      <c r="BA130" s="14" t="s">
        <v>72</v>
      </c>
      <c r="BB130" s="14" t="s">
        <v>73</v>
      </c>
      <c r="BC130" s="14" t="s">
        <v>1723</v>
      </c>
    </row>
    <row r="131" spans="1:55" ht="15" customHeight="1" x14ac:dyDescent="0.4">
      <c r="A131" s="12">
        <v>3975</v>
      </c>
      <c r="B131" s="21" t="s">
        <v>7526</v>
      </c>
      <c r="C131" s="13" t="s">
        <v>7527</v>
      </c>
      <c r="D131" s="25" t="s">
        <v>7527</v>
      </c>
      <c r="E131" s="13"/>
      <c r="F131" s="41"/>
      <c r="G131" s="41"/>
      <c r="H131" s="41"/>
      <c r="I131" s="41"/>
      <c r="J131" s="41"/>
      <c r="K131" s="65" t="str">
        <f>IFERROR(VLOOKUP(D131,Sheet4!A$1:M$56,11,FALSE),"")</f>
        <v/>
      </c>
      <c r="L131" s="65" t="str">
        <f t="shared" ref="L131:L194" si="2">_xlfn.CONCAT(J131,K131)</f>
        <v/>
      </c>
      <c r="M131" s="14" t="s">
        <v>2222</v>
      </c>
      <c r="N131" s="15">
        <v>44819</v>
      </c>
      <c r="O131" t="s">
        <v>2719</v>
      </c>
      <c r="P131" t="s">
        <v>51</v>
      </c>
      <c r="Q131" t="s">
        <v>52</v>
      </c>
      <c r="R131" t="s">
        <v>53</v>
      </c>
      <c r="S131" t="s">
        <v>755</v>
      </c>
      <c r="T131" t="s">
        <v>7450</v>
      </c>
      <c r="U131" t="s">
        <v>56</v>
      </c>
      <c r="V131" s="21" t="s">
        <v>7451</v>
      </c>
      <c r="W131" s="21"/>
      <c r="X131" t="s">
        <v>7528</v>
      </c>
      <c r="Y131" t="s">
        <v>7529</v>
      </c>
      <c r="AC131" t="s">
        <v>2225</v>
      </c>
      <c r="AE131" s="15"/>
      <c r="AG131">
        <v>40.455345000000001</v>
      </c>
      <c r="AH131">
        <v>-85.510240999999994</v>
      </c>
      <c r="AI131" t="s">
        <v>6130</v>
      </c>
      <c r="AL131" t="s">
        <v>1715</v>
      </c>
      <c r="AM131" t="s">
        <v>63</v>
      </c>
      <c r="AN131" t="s">
        <v>7530</v>
      </c>
      <c r="AO131">
        <v>192590</v>
      </c>
      <c r="AQ131" t="s">
        <v>7531</v>
      </c>
      <c r="AR131" t="s">
        <v>7532</v>
      </c>
      <c r="AS131" t="s">
        <v>7533</v>
      </c>
      <c r="AT131" t="s">
        <v>68</v>
      </c>
      <c r="AV131" t="s">
        <v>7534</v>
      </c>
      <c r="AW131" t="s">
        <v>7535</v>
      </c>
      <c r="AX131" t="s">
        <v>7536</v>
      </c>
      <c r="BA131" s="14" t="s">
        <v>72</v>
      </c>
      <c r="BB131" s="14" t="s">
        <v>73</v>
      </c>
      <c r="BC131" s="14" t="s">
        <v>74</v>
      </c>
    </row>
    <row r="132" spans="1:55" ht="15" customHeight="1" x14ac:dyDescent="0.4">
      <c r="A132" s="12">
        <v>3976</v>
      </c>
      <c r="B132" s="21" t="s">
        <v>7537</v>
      </c>
      <c r="C132" s="13" t="s">
        <v>7538</v>
      </c>
      <c r="D132" s="25" t="s">
        <v>7538</v>
      </c>
      <c r="E132" s="13"/>
      <c r="F132" s="41"/>
      <c r="G132" s="41"/>
      <c r="H132" s="41"/>
      <c r="I132" s="41"/>
      <c r="J132" s="41"/>
      <c r="K132" s="65" t="str">
        <f>IFERROR(VLOOKUP(D132,Sheet4!A$1:M$56,11,FALSE),"")</f>
        <v/>
      </c>
      <c r="L132" s="65" t="str">
        <f t="shared" si="2"/>
        <v/>
      </c>
      <c r="M132" s="14" t="s">
        <v>2222</v>
      </c>
      <c r="N132" s="15">
        <v>44819</v>
      </c>
      <c r="O132" t="s">
        <v>2719</v>
      </c>
      <c r="P132" t="s">
        <v>51</v>
      </c>
      <c r="Q132" t="s">
        <v>52</v>
      </c>
      <c r="R132" t="s">
        <v>53</v>
      </c>
      <c r="S132" t="s">
        <v>755</v>
      </c>
      <c r="T132" t="s">
        <v>7450</v>
      </c>
      <c r="U132" t="s">
        <v>56</v>
      </c>
      <c r="V132" s="21" t="s">
        <v>7451</v>
      </c>
      <c r="W132" s="21"/>
      <c r="X132" t="s">
        <v>7539</v>
      </c>
      <c r="Y132" t="s">
        <v>7540</v>
      </c>
      <c r="AC132" t="s">
        <v>2225</v>
      </c>
      <c r="AE132" s="15"/>
      <c r="AG132">
        <v>40.455370000000002</v>
      </c>
      <c r="AH132">
        <v>-85.510389000000004</v>
      </c>
      <c r="AI132" t="s">
        <v>7541</v>
      </c>
      <c r="AL132" t="s">
        <v>1715</v>
      </c>
      <c r="AM132" t="s">
        <v>63</v>
      </c>
      <c r="AN132" t="s">
        <v>7542</v>
      </c>
      <c r="AO132">
        <v>192589</v>
      </c>
      <c r="AQ132" t="s">
        <v>7543</v>
      </c>
      <c r="AR132" t="s">
        <v>7544</v>
      </c>
      <c r="AS132" t="s">
        <v>7545</v>
      </c>
      <c r="AT132" t="s">
        <v>68</v>
      </c>
      <c r="AV132" t="s">
        <v>7546</v>
      </c>
      <c r="AW132" t="s">
        <v>7547</v>
      </c>
      <c r="AX132" t="s">
        <v>7548</v>
      </c>
      <c r="BA132" s="14" t="s">
        <v>72</v>
      </c>
      <c r="BB132" s="14" t="s">
        <v>73</v>
      </c>
      <c r="BC132" s="14" t="s">
        <v>74</v>
      </c>
    </row>
    <row r="133" spans="1:55" ht="15" customHeight="1" x14ac:dyDescent="0.4">
      <c r="A133" s="12">
        <v>3977</v>
      </c>
      <c r="B133" s="21" t="s">
        <v>7549</v>
      </c>
      <c r="C133" s="13" t="s">
        <v>7550</v>
      </c>
      <c r="D133" s="25" t="s">
        <v>7550</v>
      </c>
      <c r="E133" s="13"/>
      <c r="F133" s="41"/>
      <c r="G133" s="41"/>
      <c r="H133" s="41"/>
      <c r="I133" s="41"/>
      <c r="J133" s="41"/>
      <c r="K133" s="65" t="str">
        <f>IFERROR(VLOOKUP(D133,Sheet4!A$1:M$56,11,FALSE),"")</f>
        <v/>
      </c>
      <c r="L133" s="65" t="str">
        <f t="shared" si="2"/>
        <v/>
      </c>
      <c r="M133" s="14" t="s">
        <v>2222</v>
      </c>
      <c r="N133" s="15">
        <v>44819</v>
      </c>
      <c r="O133" t="s">
        <v>2719</v>
      </c>
      <c r="P133" t="s">
        <v>51</v>
      </c>
      <c r="Q133" t="s">
        <v>52</v>
      </c>
      <c r="R133" t="s">
        <v>53</v>
      </c>
      <c r="S133" t="s">
        <v>755</v>
      </c>
      <c r="T133" t="s">
        <v>7450</v>
      </c>
      <c r="U133" t="s">
        <v>56</v>
      </c>
      <c r="V133" s="21" t="s">
        <v>7451</v>
      </c>
      <c r="W133" s="21"/>
      <c r="X133" t="s">
        <v>7464</v>
      </c>
      <c r="Y133" t="s">
        <v>7551</v>
      </c>
      <c r="AC133" t="s">
        <v>2225</v>
      </c>
      <c r="AE133" s="15"/>
      <c r="AG133">
        <v>40.455440000000003</v>
      </c>
      <c r="AH133">
        <v>-85.510653000000005</v>
      </c>
      <c r="AI133" t="s">
        <v>7552</v>
      </c>
      <c r="AL133" t="s">
        <v>1715</v>
      </c>
      <c r="AM133" t="s">
        <v>63</v>
      </c>
      <c r="AN133" t="s">
        <v>7553</v>
      </c>
      <c r="AO133">
        <v>192596</v>
      </c>
      <c r="AQ133" t="s">
        <v>7554</v>
      </c>
      <c r="AR133" t="s">
        <v>7555</v>
      </c>
      <c r="AS133" t="s">
        <v>7556</v>
      </c>
      <c r="AT133" t="s">
        <v>68</v>
      </c>
      <c r="AV133" t="s">
        <v>7557</v>
      </c>
      <c r="AW133" t="s">
        <v>7558</v>
      </c>
      <c r="AX133" t="s">
        <v>7559</v>
      </c>
      <c r="BA133" s="14" t="s">
        <v>72</v>
      </c>
      <c r="BB133" s="14" t="s">
        <v>73</v>
      </c>
      <c r="BC133" s="14" t="s">
        <v>74</v>
      </c>
    </row>
    <row r="134" spans="1:55" ht="15" customHeight="1" x14ac:dyDescent="0.4">
      <c r="A134" s="12">
        <v>3978</v>
      </c>
      <c r="B134" s="21" t="s">
        <v>7560</v>
      </c>
      <c r="C134" s="13" t="s">
        <v>7561</v>
      </c>
      <c r="D134" s="25" t="s">
        <v>7561</v>
      </c>
      <c r="E134" s="13"/>
      <c r="F134" s="41"/>
      <c r="G134" s="41"/>
      <c r="H134" s="41"/>
      <c r="I134" s="41"/>
      <c r="J134" s="41" t="s">
        <v>8177</v>
      </c>
      <c r="K134" s="65" t="str">
        <f>IFERROR(VLOOKUP(D134,Sheet4!A$1:M$56,11,FALSE),"")</f>
        <v/>
      </c>
      <c r="L134" s="65" t="str">
        <f t="shared" si="2"/>
        <v>May have genomic admixture with Q. prinoides</v>
      </c>
      <c r="M134" s="14" t="s">
        <v>1829</v>
      </c>
      <c r="N134" s="15">
        <v>44819</v>
      </c>
      <c r="O134" t="s">
        <v>2719</v>
      </c>
      <c r="P134" t="s">
        <v>51</v>
      </c>
      <c r="Q134" t="s">
        <v>52</v>
      </c>
      <c r="R134" t="s">
        <v>53</v>
      </c>
      <c r="S134" t="s">
        <v>755</v>
      </c>
      <c r="T134" t="s">
        <v>7450</v>
      </c>
      <c r="U134" t="s">
        <v>56</v>
      </c>
      <c r="V134" s="21" t="s">
        <v>7451</v>
      </c>
      <c r="W134" s="21"/>
      <c r="X134" t="s">
        <v>7562</v>
      </c>
      <c r="Y134" t="s">
        <v>7563</v>
      </c>
      <c r="AC134" t="s">
        <v>1832</v>
      </c>
      <c r="AE134" s="15"/>
      <c r="AG134">
        <v>40.457023</v>
      </c>
      <c r="AH134">
        <v>-85.508851000000007</v>
      </c>
      <c r="AI134" t="s">
        <v>3008</v>
      </c>
      <c r="AL134" t="s">
        <v>1715</v>
      </c>
      <c r="AM134" t="s">
        <v>63</v>
      </c>
      <c r="AN134" t="s">
        <v>7564</v>
      </c>
      <c r="AO134">
        <v>194546</v>
      </c>
      <c r="AQ134" t="s">
        <v>7565</v>
      </c>
      <c r="AR134" t="s">
        <v>7566</v>
      </c>
      <c r="AS134" t="s">
        <v>7567</v>
      </c>
      <c r="AT134" t="s">
        <v>68</v>
      </c>
      <c r="AV134" t="s">
        <v>7568</v>
      </c>
      <c r="AW134" t="s">
        <v>7569</v>
      </c>
      <c r="AX134" t="s">
        <v>7570</v>
      </c>
      <c r="BA134" s="14" t="s">
        <v>72</v>
      </c>
      <c r="BB134" s="14" t="s">
        <v>73</v>
      </c>
      <c r="BC134" s="14" t="s">
        <v>74</v>
      </c>
    </row>
    <row r="135" spans="1:55" ht="15" customHeight="1" x14ac:dyDescent="0.4">
      <c r="A135" s="12">
        <v>3979</v>
      </c>
      <c r="B135" s="21" t="s">
        <v>7571</v>
      </c>
      <c r="C135" s="13" t="s">
        <v>7572</v>
      </c>
      <c r="D135" s="25" t="s">
        <v>7572</v>
      </c>
      <c r="E135" s="13"/>
      <c r="F135" s="41"/>
      <c r="G135" s="41"/>
      <c r="H135" s="41"/>
      <c r="I135" s="41"/>
      <c r="J135" s="41"/>
      <c r="K135" s="65" t="str">
        <f>IFERROR(VLOOKUP(D135,Sheet4!A$1:M$56,11,FALSE),"")</f>
        <v/>
      </c>
      <c r="L135" s="65" t="str">
        <f t="shared" si="2"/>
        <v/>
      </c>
      <c r="M135" s="14" t="s">
        <v>1878</v>
      </c>
      <c r="N135" s="15">
        <v>44819</v>
      </c>
      <c r="O135" t="s">
        <v>2719</v>
      </c>
      <c r="P135" t="s">
        <v>51</v>
      </c>
      <c r="Q135" t="s">
        <v>52</v>
      </c>
      <c r="R135" t="s">
        <v>53</v>
      </c>
      <c r="S135" t="s">
        <v>755</v>
      </c>
      <c r="T135" t="s">
        <v>7450</v>
      </c>
      <c r="U135" t="s">
        <v>56</v>
      </c>
      <c r="V135" s="21" t="s">
        <v>7451</v>
      </c>
      <c r="W135" s="21"/>
      <c r="X135" t="s">
        <v>7573</v>
      </c>
      <c r="Y135" t="s">
        <v>7574</v>
      </c>
      <c r="AC135" t="s">
        <v>1881</v>
      </c>
      <c r="AE135" s="15"/>
      <c r="AG135">
        <v>40.456997000000001</v>
      </c>
      <c r="AH135">
        <v>-85.507453999999996</v>
      </c>
      <c r="AI135" t="s">
        <v>7575</v>
      </c>
      <c r="AL135" t="s">
        <v>1715</v>
      </c>
      <c r="AM135" t="s">
        <v>63</v>
      </c>
      <c r="AN135" t="s">
        <v>7576</v>
      </c>
      <c r="AO135">
        <v>192580</v>
      </c>
      <c r="AQ135" t="s">
        <v>7577</v>
      </c>
      <c r="AR135" t="s">
        <v>7578</v>
      </c>
      <c r="AS135" t="s">
        <v>7579</v>
      </c>
      <c r="AT135" t="s">
        <v>68</v>
      </c>
      <c r="AV135" t="s">
        <v>7580</v>
      </c>
      <c r="AW135" t="s">
        <v>7581</v>
      </c>
      <c r="AX135" t="s">
        <v>7582</v>
      </c>
      <c r="BA135" s="14" t="s">
        <v>72</v>
      </c>
      <c r="BB135" s="14" t="s">
        <v>73</v>
      </c>
      <c r="BC135" s="14" t="s">
        <v>1723</v>
      </c>
    </row>
    <row r="136" spans="1:55" ht="15" customHeight="1" x14ac:dyDescent="0.4">
      <c r="A136" s="12">
        <v>3980</v>
      </c>
      <c r="B136" s="21" t="s">
        <v>7583</v>
      </c>
      <c r="C136" s="13" t="s">
        <v>7584</v>
      </c>
      <c r="D136" s="25" t="s">
        <v>7584</v>
      </c>
      <c r="E136" s="13"/>
      <c r="F136" s="41"/>
      <c r="G136" s="41"/>
      <c r="H136" s="41"/>
      <c r="I136" s="41"/>
      <c r="J136" s="41"/>
      <c r="K136" s="65" t="str">
        <f>IFERROR(VLOOKUP(D136,Sheet4!A$1:M$56,11,FALSE),"")</f>
        <v/>
      </c>
      <c r="L136" s="65" t="str">
        <f t="shared" si="2"/>
        <v/>
      </c>
      <c r="M136" s="14" t="s">
        <v>1878</v>
      </c>
      <c r="N136" s="15">
        <v>44819</v>
      </c>
      <c r="O136" t="s">
        <v>2719</v>
      </c>
      <c r="P136" t="s">
        <v>51</v>
      </c>
      <c r="Q136" t="s">
        <v>52</v>
      </c>
      <c r="R136" t="s">
        <v>53</v>
      </c>
      <c r="S136" t="s">
        <v>755</v>
      </c>
      <c r="T136" t="s">
        <v>7450</v>
      </c>
      <c r="U136" t="s">
        <v>56</v>
      </c>
      <c r="V136" s="21" t="s">
        <v>7451</v>
      </c>
      <c r="W136" s="21"/>
      <c r="X136" t="s">
        <v>7585</v>
      </c>
      <c r="Y136" t="s">
        <v>7586</v>
      </c>
      <c r="AC136" t="s">
        <v>1881</v>
      </c>
      <c r="AE136" s="15"/>
      <c r="AG136">
        <v>40.456902999999997</v>
      </c>
      <c r="AH136">
        <v>-85.508927</v>
      </c>
      <c r="AI136" t="s">
        <v>4975</v>
      </c>
      <c r="AL136" t="s">
        <v>1715</v>
      </c>
      <c r="AM136" t="s">
        <v>63</v>
      </c>
      <c r="AN136" t="s">
        <v>7587</v>
      </c>
      <c r="AO136">
        <v>194149</v>
      </c>
      <c r="AQ136" t="s">
        <v>7588</v>
      </c>
      <c r="AR136" t="s">
        <v>7589</v>
      </c>
      <c r="AS136" t="s">
        <v>7590</v>
      </c>
      <c r="AT136" t="s">
        <v>68</v>
      </c>
      <c r="AV136" t="s">
        <v>7591</v>
      </c>
      <c r="AW136" t="s">
        <v>7592</v>
      </c>
      <c r="AX136" t="s">
        <v>7593</v>
      </c>
      <c r="BA136" s="14" t="s">
        <v>72</v>
      </c>
      <c r="BB136" s="14" t="s">
        <v>73</v>
      </c>
      <c r="BC136" s="14" t="s">
        <v>1723</v>
      </c>
    </row>
    <row r="137" spans="1:55" ht="15" customHeight="1" x14ac:dyDescent="0.4">
      <c r="A137" s="12">
        <v>3981</v>
      </c>
      <c r="B137" s="21" t="s">
        <v>7594</v>
      </c>
      <c r="C137" s="13" t="s">
        <v>7595</v>
      </c>
      <c r="D137" s="25" t="s">
        <v>7595</v>
      </c>
      <c r="E137" s="13"/>
      <c r="F137" s="41" t="s">
        <v>8111</v>
      </c>
      <c r="G137" s="41"/>
      <c r="H137" s="41"/>
      <c r="I137" s="41"/>
      <c r="J137" s="41"/>
      <c r="K137" s="65" t="str">
        <f>IFERROR(VLOOKUP(D137,Sheet4!A$1:M$56,11,FALSE),"")</f>
        <v/>
      </c>
      <c r="L137" s="65" t="str">
        <f t="shared" si="2"/>
        <v/>
      </c>
      <c r="M137" s="14" t="s">
        <v>1829</v>
      </c>
      <c r="N137" s="15">
        <v>44819</v>
      </c>
      <c r="O137" t="s">
        <v>2719</v>
      </c>
      <c r="P137" t="s">
        <v>51</v>
      </c>
      <c r="Q137" t="s">
        <v>52</v>
      </c>
      <c r="R137" t="s">
        <v>53</v>
      </c>
      <c r="S137" t="s">
        <v>755</v>
      </c>
      <c r="T137" t="s">
        <v>7450</v>
      </c>
      <c r="U137" t="s">
        <v>56</v>
      </c>
      <c r="V137" s="21" t="s">
        <v>7451</v>
      </c>
      <c r="W137" s="21"/>
      <c r="X137" t="s">
        <v>7596</v>
      </c>
      <c r="Y137" t="s">
        <v>7597</v>
      </c>
      <c r="AB137" t="s">
        <v>1758</v>
      </c>
      <c r="AC137" t="s">
        <v>1832</v>
      </c>
      <c r="AE137" s="15"/>
      <c r="AG137">
        <v>40.456969999999998</v>
      </c>
      <c r="AH137">
        <v>-85.508488999999997</v>
      </c>
      <c r="AI137" t="s">
        <v>7598</v>
      </c>
      <c r="AL137" t="s">
        <v>1715</v>
      </c>
      <c r="AM137" t="s">
        <v>63</v>
      </c>
      <c r="AN137" t="s">
        <v>7599</v>
      </c>
      <c r="AO137">
        <v>193366</v>
      </c>
      <c r="AQ137" t="s">
        <v>7600</v>
      </c>
      <c r="AR137" t="s">
        <v>7601</v>
      </c>
      <c r="AS137" t="s">
        <v>7602</v>
      </c>
      <c r="AT137" t="s">
        <v>68</v>
      </c>
      <c r="AV137" t="s">
        <v>7603</v>
      </c>
      <c r="AW137" t="s">
        <v>7604</v>
      </c>
      <c r="AX137" t="s">
        <v>7605</v>
      </c>
      <c r="BA137" s="14" t="s">
        <v>72</v>
      </c>
      <c r="BB137" s="14" t="s">
        <v>73</v>
      </c>
      <c r="BC137" s="14" t="s">
        <v>74</v>
      </c>
    </row>
    <row r="138" spans="1:55" ht="15" customHeight="1" x14ac:dyDescent="0.4">
      <c r="A138" s="12">
        <v>2110</v>
      </c>
      <c r="B138" t="s">
        <v>753</v>
      </c>
      <c r="D138" t="s">
        <v>754</v>
      </c>
      <c r="E138" s="13"/>
      <c r="F138" s="41"/>
      <c r="G138" s="41"/>
      <c r="H138" s="41"/>
      <c r="I138" s="41"/>
      <c r="J138" s="41"/>
      <c r="K138" s="65" t="str">
        <f>IFERROR(VLOOKUP(D138,Sheet4!A$1:M$56,11,FALSE),"")</f>
        <v/>
      </c>
      <c r="L138" s="65" t="str">
        <f t="shared" si="2"/>
        <v/>
      </c>
      <c r="M138" s="14" t="s">
        <v>49</v>
      </c>
      <c r="N138" s="15">
        <v>42949</v>
      </c>
      <c r="O138" t="s">
        <v>174</v>
      </c>
      <c r="P138" t="s">
        <v>51</v>
      </c>
      <c r="Q138" s="15" t="s">
        <v>52</v>
      </c>
      <c r="R138" t="s">
        <v>53</v>
      </c>
      <c r="S138" t="s">
        <v>755</v>
      </c>
      <c r="T138" t="s">
        <v>756</v>
      </c>
      <c r="U138" t="s">
        <v>56</v>
      </c>
      <c r="V138" t="s">
        <v>757</v>
      </c>
      <c r="W138" s="21" t="s">
        <v>758</v>
      </c>
      <c r="X138" t="s">
        <v>759</v>
      </c>
      <c r="Y138" t="s">
        <v>760</v>
      </c>
      <c r="AC138" t="s">
        <v>78</v>
      </c>
      <c r="AD138" t="s">
        <v>79</v>
      </c>
      <c r="AE138" s="15">
        <v>45597</v>
      </c>
      <c r="AF138" t="s">
        <v>48</v>
      </c>
      <c r="AG138">
        <v>41.532730000000001</v>
      </c>
      <c r="AH138">
        <v>-87.294799999999995</v>
      </c>
      <c r="AI138" t="s">
        <v>761</v>
      </c>
      <c r="AL138" t="s">
        <v>62</v>
      </c>
      <c r="AM138" t="s">
        <v>63</v>
      </c>
      <c r="AN138" t="s">
        <v>762</v>
      </c>
      <c r="AO138">
        <v>185844</v>
      </c>
      <c r="AQ138" t="s">
        <v>763</v>
      </c>
      <c r="AR138" t="s">
        <v>764</v>
      </c>
      <c r="AS138" t="s">
        <v>765</v>
      </c>
      <c r="AT138" t="s">
        <v>68</v>
      </c>
      <c r="AV138" t="s">
        <v>766</v>
      </c>
      <c r="AW138" t="s">
        <v>767</v>
      </c>
      <c r="AX138" t="s">
        <v>768</v>
      </c>
      <c r="AY138" s="31" t="s">
        <v>769</v>
      </c>
      <c r="AZ138" s="31" t="s">
        <v>85</v>
      </c>
      <c r="BA138" s="14" t="s">
        <v>72</v>
      </c>
      <c r="BB138" s="14" t="s">
        <v>73</v>
      </c>
      <c r="BC138" s="14" t="s">
        <v>74</v>
      </c>
    </row>
    <row r="139" spans="1:55" ht="15" customHeight="1" x14ac:dyDescent="0.4">
      <c r="A139" s="12">
        <v>2111</v>
      </c>
      <c r="B139" t="s">
        <v>770</v>
      </c>
      <c r="D139" t="s">
        <v>771</v>
      </c>
      <c r="E139" s="13"/>
      <c r="F139" s="41"/>
      <c r="G139" s="41"/>
      <c r="H139" s="41"/>
      <c r="I139" s="41"/>
      <c r="J139" s="41"/>
      <c r="K139" s="65" t="str">
        <f>IFERROR(VLOOKUP(D139,Sheet4!A$1:M$56,11,FALSE),"")</f>
        <v/>
      </c>
      <c r="L139" s="65" t="str">
        <f t="shared" si="2"/>
        <v/>
      </c>
      <c r="M139" s="14" t="s">
        <v>49</v>
      </c>
      <c r="N139" s="15">
        <v>42949</v>
      </c>
      <c r="O139" t="s">
        <v>174</v>
      </c>
      <c r="P139" t="s">
        <v>51</v>
      </c>
      <c r="Q139" s="15" t="s">
        <v>52</v>
      </c>
      <c r="R139" t="s">
        <v>53</v>
      </c>
      <c r="S139" t="s">
        <v>755</v>
      </c>
      <c r="T139" t="s">
        <v>756</v>
      </c>
      <c r="U139" t="s">
        <v>56</v>
      </c>
      <c r="V139" t="s">
        <v>757</v>
      </c>
      <c r="W139" s="21" t="s">
        <v>758</v>
      </c>
      <c r="X139" t="s">
        <v>759</v>
      </c>
      <c r="Y139" t="s">
        <v>760</v>
      </c>
      <c r="AC139" t="s">
        <v>60</v>
      </c>
      <c r="AE139" s="15"/>
      <c r="AG139">
        <v>41.532809999999998</v>
      </c>
      <c r="AH139">
        <v>-87.293769999999995</v>
      </c>
      <c r="AI139" t="s">
        <v>772</v>
      </c>
      <c r="AL139" t="s">
        <v>62</v>
      </c>
      <c r="AM139" t="s">
        <v>63</v>
      </c>
      <c r="AN139" t="s">
        <v>773</v>
      </c>
      <c r="AO139">
        <v>185845</v>
      </c>
      <c r="AQ139" t="s">
        <v>774</v>
      </c>
      <c r="AR139" t="s">
        <v>775</v>
      </c>
      <c r="AS139" t="s">
        <v>776</v>
      </c>
      <c r="AT139" t="s">
        <v>68</v>
      </c>
      <c r="AV139" t="s">
        <v>777</v>
      </c>
      <c r="AW139" t="s">
        <v>778</v>
      </c>
      <c r="AX139" t="s">
        <v>779</v>
      </c>
      <c r="BA139" s="14" t="s">
        <v>72</v>
      </c>
      <c r="BB139" s="14" t="s">
        <v>73</v>
      </c>
      <c r="BC139" s="14" t="s">
        <v>74</v>
      </c>
    </row>
    <row r="140" spans="1:55" ht="15" customHeight="1" x14ac:dyDescent="0.4">
      <c r="A140" s="12">
        <v>2112</v>
      </c>
      <c r="B140" t="s">
        <v>780</v>
      </c>
      <c r="D140" t="s">
        <v>781</v>
      </c>
      <c r="E140" s="13"/>
      <c r="F140" s="41"/>
      <c r="G140" s="41"/>
      <c r="H140" s="41"/>
      <c r="I140" s="41"/>
      <c r="J140" s="41"/>
      <c r="K140" s="65" t="str">
        <f>IFERROR(VLOOKUP(D140,Sheet4!A$1:M$56,11,FALSE),"")</f>
        <v/>
      </c>
      <c r="L140" s="65" t="str">
        <f t="shared" si="2"/>
        <v/>
      </c>
      <c r="M140" s="14" t="s">
        <v>49</v>
      </c>
      <c r="N140" s="15">
        <v>42949</v>
      </c>
      <c r="O140" t="s">
        <v>174</v>
      </c>
      <c r="P140" t="s">
        <v>51</v>
      </c>
      <c r="Q140" s="15" t="s">
        <v>52</v>
      </c>
      <c r="R140" t="s">
        <v>53</v>
      </c>
      <c r="S140" t="s">
        <v>755</v>
      </c>
      <c r="T140" t="s">
        <v>756</v>
      </c>
      <c r="U140" t="s">
        <v>56</v>
      </c>
      <c r="V140" t="s">
        <v>757</v>
      </c>
      <c r="W140" s="21" t="s">
        <v>758</v>
      </c>
      <c r="X140" t="s">
        <v>759</v>
      </c>
      <c r="Y140" t="s">
        <v>760</v>
      </c>
      <c r="AC140" t="s">
        <v>60</v>
      </c>
      <c r="AE140" s="15"/>
      <c r="AG140">
        <v>41.533209999999997</v>
      </c>
      <c r="AH140">
        <v>-87.293360000000007</v>
      </c>
      <c r="AI140" t="s">
        <v>782</v>
      </c>
      <c r="AL140" t="s">
        <v>62</v>
      </c>
      <c r="AM140" t="s">
        <v>63</v>
      </c>
      <c r="AN140" t="s">
        <v>783</v>
      </c>
      <c r="AO140" t="s">
        <v>784</v>
      </c>
      <c r="AQ140" t="s">
        <v>785</v>
      </c>
      <c r="AR140" t="s">
        <v>786</v>
      </c>
      <c r="AS140" t="s">
        <v>787</v>
      </c>
      <c r="AT140" t="s">
        <v>68</v>
      </c>
      <c r="AV140" t="s">
        <v>788</v>
      </c>
      <c r="AW140" t="s">
        <v>789</v>
      </c>
      <c r="AX140" t="s">
        <v>790</v>
      </c>
      <c r="BA140" s="14" t="s">
        <v>72</v>
      </c>
      <c r="BB140" s="14" t="s">
        <v>73</v>
      </c>
      <c r="BC140" s="14" t="s">
        <v>74</v>
      </c>
    </row>
    <row r="141" spans="1:55" ht="15" customHeight="1" x14ac:dyDescent="0.4">
      <c r="A141" s="12">
        <v>2113</v>
      </c>
      <c r="B141" t="s">
        <v>791</v>
      </c>
      <c r="D141" t="s">
        <v>792</v>
      </c>
      <c r="E141" s="13"/>
      <c r="F141" s="41"/>
      <c r="G141" s="41"/>
      <c r="H141" s="41"/>
      <c r="I141" s="41"/>
      <c r="J141" s="41"/>
      <c r="K141" s="65" t="str">
        <f>IFERROR(VLOOKUP(D141,Sheet4!A$1:M$56,11,FALSE),"")</f>
        <v/>
      </c>
      <c r="L141" s="65" t="str">
        <f t="shared" si="2"/>
        <v/>
      </c>
      <c r="M141" s="14" t="s">
        <v>49</v>
      </c>
      <c r="N141" s="15">
        <v>42949</v>
      </c>
      <c r="O141" t="s">
        <v>174</v>
      </c>
      <c r="P141" t="s">
        <v>51</v>
      </c>
      <c r="Q141" s="15" t="s">
        <v>52</v>
      </c>
      <c r="R141" t="s">
        <v>53</v>
      </c>
      <c r="S141" t="s">
        <v>755</v>
      </c>
      <c r="T141" t="s">
        <v>756</v>
      </c>
      <c r="U141" t="s">
        <v>56</v>
      </c>
      <c r="V141" t="s">
        <v>757</v>
      </c>
      <c r="W141" s="21" t="s">
        <v>758</v>
      </c>
      <c r="X141" t="s">
        <v>759</v>
      </c>
      <c r="Y141" t="s">
        <v>760</v>
      </c>
      <c r="AC141" t="s">
        <v>60</v>
      </c>
      <c r="AE141" s="15"/>
      <c r="AG141">
        <v>41.533479999999997</v>
      </c>
      <c r="AH141">
        <v>-87.292310000000001</v>
      </c>
      <c r="AI141" t="s">
        <v>793</v>
      </c>
      <c r="AL141" t="s">
        <v>62</v>
      </c>
      <c r="AM141" t="s">
        <v>63</v>
      </c>
      <c r="AN141" t="s">
        <v>794</v>
      </c>
      <c r="AO141" t="s">
        <v>795</v>
      </c>
      <c r="AQ141" t="s">
        <v>796</v>
      </c>
      <c r="AR141" t="s">
        <v>797</v>
      </c>
      <c r="AS141" t="s">
        <v>798</v>
      </c>
      <c r="AT141" t="s">
        <v>68</v>
      </c>
      <c r="AV141" t="s">
        <v>799</v>
      </c>
      <c r="AW141" t="s">
        <v>800</v>
      </c>
      <c r="AX141" t="s">
        <v>801</v>
      </c>
      <c r="BA141" s="14" t="s">
        <v>72</v>
      </c>
      <c r="BB141" s="14" t="s">
        <v>73</v>
      </c>
      <c r="BC141" s="14" t="s">
        <v>74</v>
      </c>
    </row>
    <row r="142" spans="1:55" ht="15" customHeight="1" x14ac:dyDescent="0.4">
      <c r="A142" s="12">
        <v>2114</v>
      </c>
      <c r="B142" t="s">
        <v>802</v>
      </c>
      <c r="D142" t="s">
        <v>803</v>
      </c>
      <c r="E142" s="13"/>
      <c r="F142" s="41"/>
      <c r="G142" s="41"/>
      <c r="H142" s="41"/>
      <c r="I142" s="41"/>
      <c r="J142" s="41"/>
      <c r="K142" s="65" t="str">
        <f>IFERROR(VLOOKUP(D142,Sheet4!A$1:M$56,11,FALSE),"")</f>
        <v/>
      </c>
      <c r="L142" s="65" t="str">
        <f t="shared" si="2"/>
        <v/>
      </c>
      <c r="M142" s="14" t="s">
        <v>49</v>
      </c>
      <c r="N142" s="15">
        <v>42949</v>
      </c>
      <c r="O142" t="s">
        <v>174</v>
      </c>
      <c r="P142" t="s">
        <v>51</v>
      </c>
      <c r="Q142" s="15" t="s">
        <v>52</v>
      </c>
      <c r="R142" t="s">
        <v>53</v>
      </c>
      <c r="S142" t="s">
        <v>755</v>
      </c>
      <c r="T142" t="s">
        <v>756</v>
      </c>
      <c r="U142" t="s">
        <v>56</v>
      </c>
      <c r="V142" t="s">
        <v>757</v>
      </c>
      <c r="W142" s="21" t="s">
        <v>758</v>
      </c>
      <c r="X142" t="s">
        <v>759</v>
      </c>
      <c r="Y142" t="s">
        <v>760</v>
      </c>
      <c r="AC142" t="s">
        <v>78</v>
      </c>
      <c r="AD142" t="s">
        <v>79</v>
      </c>
      <c r="AE142" s="15">
        <v>45597</v>
      </c>
      <c r="AF142" t="s">
        <v>48</v>
      </c>
      <c r="AG142">
        <v>41.534030000000001</v>
      </c>
      <c r="AH142">
        <v>-87.291460000000001</v>
      </c>
      <c r="AI142" t="s">
        <v>804</v>
      </c>
      <c r="AL142" t="s">
        <v>62</v>
      </c>
      <c r="AM142" t="s">
        <v>63</v>
      </c>
      <c r="AN142" t="s">
        <v>805</v>
      </c>
      <c r="AO142">
        <v>186781</v>
      </c>
      <c r="AQ142" t="s">
        <v>806</v>
      </c>
      <c r="AR142" t="s">
        <v>807</v>
      </c>
      <c r="AS142" t="s">
        <v>808</v>
      </c>
      <c r="AT142" t="s">
        <v>68</v>
      </c>
      <c r="AV142" t="s">
        <v>809</v>
      </c>
      <c r="AW142" t="s">
        <v>810</v>
      </c>
      <c r="AX142" t="s">
        <v>811</v>
      </c>
      <c r="AY142" s="31" t="s">
        <v>812</v>
      </c>
      <c r="AZ142" s="31" t="s">
        <v>85</v>
      </c>
      <c r="BA142" s="14" t="s">
        <v>72</v>
      </c>
      <c r="BB142" s="14" t="s">
        <v>73</v>
      </c>
      <c r="BC142" s="14" t="s">
        <v>74</v>
      </c>
    </row>
    <row r="143" spans="1:55" ht="15" customHeight="1" x14ac:dyDescent="0.4">
      <c r="A143" s="12">
        <v>2115</v>
      </c>
      <c r="B143" t="s">
        <v>813</v>
      </c>
      <c r="D143" t="s">
        <v>814</v>
      </c>
      <c r="E143" s="13"/>
      <c r="F143" s="41"/>
      <c r="G143" s="41"/>
      <c r="H143" s="41"/>
      <c r="I143" s="41"/>
      <c r="J143" s="41"/>
      <c r="K143" s="65" t="str">
        <f>IFERROR(VLOOKUP(D143,Sheet4!A$1:M$56,11,FALSE),"")</f>
        <v/>
      </c>
      <c r="L143" s="65" t="str">
        <f t="shared" si="2"/>
        <v/>
      </c>
      <c r="M143" s="14" t="s">
        <v>49</v>
      </c>
      <c r="N143" s="15">
        <v>42949</v>
      </c>
      <c r="O143" t="s">
        <v>174</v>
      </c>
      <c r="P143" t="s">
        <v>51</v>
      </c>
      <c r="Q143" s="15" t="s">
        <v>52</v>
      </c>
      <c r="R143" t="s">
        <v>53</v>
      </c>
      <c r="S143" t="s">
        <v>755</v>
      </c>
      <c r="T143" t="s">
        <v>756</v>
      </c>
      <c r="U143" t="s">
        <v>56</v>
      </c>
      <c r="V143" t="s">
        <v>757</v>
      </c>
      <c r="W143" s="21" t="s">
        <v>758</v>
      </c>
      <c r="X143" t="s">
        <v>759</v>
      </c>
      <c r="Y143" t="s">
        <v>760</v>
      </c>
      <c r="AC143" t="s">
        <v>60</v>
      </c>
      <c r="AE143" s="15"/>
      <c r="AG143">
        <v>41.534500000000001</v>
      </c>
      <c r="AH143">
        <v>-87.292789999999997</v>
      </c>
      <c r="AI143" t="s">
        <v>815</v>
      </c>
      <c r="AL143" t="s">
        <v>62</v>
      </c>
      <c r="AM143" t="s">
        <v>63</v>
      </c>
      <c r="AN143" t="s">
        <v>816</v>
      </c>
      <c r="AO143" t="s">
        <v>817</v>
      </c>
      <c r="AQ143" t="s">
        <v>818</v>
      </c>
      <c r="AR143" t="s">
        <v>819</v>
      </c>
      <c r="AS143" t="s">
        <v>820</v>
      </c>
      <c r="AT143" t="s">
        <v>68</v>
      </c>
      <c r="AV143" t="s">
        <v>821</v>
      </c>
      <c r="AW143" t="s">
        <v>822</v>
      </c>
      <c r="AX143" t="s">
        <v>823</v>
      </c>
      <c r="BA143" s="14" t="s">
        <v>72</v>
      </c>
      <c r="BB143" s="14" t="s">
        <v>73</v>
      </c>
      <c r="BC143" s="14" t="s">
        <v>74</v>
      </c>
    </row>
    <row r="144" spans="1:55" ht="15" customHeight="1" x14ac:dyDescent="0.4">
      <c r="A144" s="12">
        <v>2116</v>
      </c>
      <c r="B144" t="s">
        <v>824</v>
      </c>
      <c r="D144" t="s">
        <v>825</v>
      </c>
      <c r="E144" s="13"/>
      <c r="F144" s="41"/>
      <c r="G144" s="41"/>
      <c r="H144" s="41"/>
      <c r="I144" s="41"/>
      <c r="J144" s="41"/>
      <c r="K144" s="65" t="str">
        <f>IFERROR(VLOOKUP(D144,Sheet4!A$1:M$56,11,FALSE),"")</f>
        <v/>
      </c>
      <c r="L144" s="65" t="str">
        <f t="shared" si="2"/>
        <v/>
      </c>
      <c r="M144" s="14" t="s">
        <v>49</v>
      </c>
      <c r="N144" s="15">
        <v>42949</v>
      </c>
      <c r="O144" t="s">
        <v>174</v>
      </c>
      <c r="P144" t="s">
        <v>51</v>
      </c>
      <c r="Q144" s="15" t="s">
        <v>52</v>
      </c>
      <c r="R144" t="s">
        <v>53</v>
      </c>
      <c r="S144" t="s">
        <v>755</v>
      </c>
      <c r="T144" t="s">
        <v>756</v>
      </c>
      <c r="U144" t="s">
        <v>56</v>
      </c>
      <c r="V144" t="s">
        <v>757</v>
      </c>
      <c r="W144" s="21" t="s">
        <v>758</v>
      </c>
      <c r="X144" t="s">
        <v>759</v>
      </c>
      <c r="Y144" t="s">
        <v>760</v>
      </c>
      <c r="AC144" t="s">
        <v>60</v>
      </c>
      <c r="AE144" s="15"/>
      <c r="AG144">
        <v>41.534570000000002</v>
      </c>
      <c r="AH144">
        <v>-87.294030000000006</v>
      </c>
      <c r="AI144" t="s">
        <v>826</v>
      </c>
      <c r="AL144" t="s">
        <v>62</v>
      </c>
      <c r="AM144" t="s">
        <v>63</v>
      </c>
      <c r="AN144" t="s">
        <v>827</v>
      </c>
      <c r="AO144" t="s">
        <v>828</v>
      </c>
      <c r="AQ144" t="s">
        <v>829</v>
      </c>
      <c r="AR144" t="s">
        <v>830</v>
      </c>
      <c r="AS144" t="s">
        <v>831</v>
      </c>
      <c r="AT144" t="s">
        <v>68</v>
      </c>
      <c r="AV144" t="s">
        <v>832</v>
      </c>
      <c r="AW144" t="s">
        <v>833</v>
      </c>
      <c r="AX144" t="s">
        <v>834</v>
      </c>
      <c r="BA144" s="14" t="s">
        <v>72</v>
      </c>
      <c r="BB144" s="14" t="s">
        <v>73</v>
      </c>
      <c r="BC144" s="14" t="s">
        <v>74</v>
      </c>
    </row>
    <row r="145" spans="1:55" ht="15" customHeight="1" x14ac:dyDescent="0.4">
      <c r="A145" s="12">
        <v>2117</v>
      </c>
      <c r="B145" t="s">
        <v>835</v>
      </c>
      <c r="D145" t="s">
        <v>836</v>
      </c>
      <c r="E145" s="13"/>
      <c r="F145" s="41"/>
      <c r="G145" s="41"/>
      <c r="H145" s="41"/>
      <c r="I145" s="41"/>
      <c r="J145" s="41"/>
      <c r="K145" s="65" t="str">
        <f>IFERROR(VLOOKUP(D145,Sheet4!A$1:M$56,11,FALSE),"")</f>
        <v/>
      </c>
      <c r="L145" s="65" t="str">
        <f t="shared" si="2"/>
        <v/>
      </c>
      <c r="M145" s="14" t="s">
        <v>49</v>
      </c>
      <c r="N145" s="15">
        <v>42949</v>
      </c>
      <c r="O145" t="s">
        <v>174</v>
      </c>
      <c r="P145" t="s">
        <v>51</v>
      </c>
      <c r="Q145" s="15" t="s">
        <v>52</v>
      </c>
      <c r="R145" t="s">
        <v>53</v>
      </c>
      <c r="S145" t="s">
        <v>755</v>
      </c>
      <c r="T145" t="s">
        <v>756</v>
      </c>
      <c r="U145" t="s">
        <v>56</v>
      </c>
      <c r="V145" t="s">
        <v>757</v>
      </c>
      <c r="W145" s="21" t="s">
        <v>758</v>
      </c>
      <c r="X145" t="s">
        <v>759</v>
      </c>
      <c r="Y145" t="s">
        <v>760</v>
      </c>
      <c r="AC145" t="s">
        <v>60</v>
      </c>
      <c r="AE145" s="15"/>
      <c r="AG145">
        <v>41.532530000000001</v>
      </c>
      <c r="AH145">
        <v>-87.296610000000001</v>
      </c>
      <c r="AI145" t="s">
        <v>837</v>
      </c>
      <c r="AL145" t="s">
        <v>62</v>
      </c>
      <c r="AM145" t="s">
        <v>63</v>
      </c>
      <c r="AN145" t="s">
        <v>838</v>
      </c>
      <c r="AO145" t="s">
        <v>839</v>
      </c>
      <c r="AQ145" t="s">
        <v>840</v>
      </c>
      <c r="AR145" t="s">
        <v>841</v>
      </c>
      <c r="AS145" t="s">
        <v>842</v>
      </c>
      <c r="AT145" t="s">
        <v>68</v>
      </c>
      <c r="AV145" t="s">
        <v>843</v>
      </c>
      <c r="AW145" t="s">
        <v>844</v>
      </c>
      <c r="AX145" t="s">
        <v>845</v>
      </c>
      <c r="BA145" s="14" t="s">
        <v>72</v>
      </c>
      <c r="BB145" s="14" t="s">
        <v>73</v>
      </c>
      <c r="BC145" s="14" t="s">
        <v>74</v>
      </c>
    </row>
    <row r="146" spans="1:55" ht="15" customHeight="1" x14ac:dyDescent="0.4">
      <c r="A146" s="12">
        <v>2118</v>
      </c>
      <c r="B146" t="s">
        <v>846</v>
      </c>
      <c r="D146" t="s">
        <v>847</v>
      </c>
      <c r="E146" s="13"/>
      <c r="F146" s="41"/>
      <c r="G146" s="41"/>
      <c r="H146" s="41"/>
      <c r="I146" s="41"/>
      <c r="J146" s="41"/>
      <c r="K146" s="65" t="str">
        <f>IFERROR(VLOOKUP(D146,Sheet4!A$1:M$56,11,FALSE),"")</f>
        <v/>
      </c>
      <c r="L146" s="65" t="str">
        <f t="shared" si="2"/>
        <v/>
      </c>
      <c r="M146" s="14" t="s">
        <v>49</v>
      </c>
      <c r="N146" s="15">
        <v>42949</v>
      </c>
      <c r="O146" t="s">
        <v>174</v>
      </c>
      <c r="P146" t="s">
        <v>51</v>
      </c>
      <c r="Q146" s="15" t="s">
        <v>52</v>
      </c>
      <c r="R146" t="s">
        <v>53</v>
      </c>
      <c r="S146" t="s">
        <v>755</v>
      </c>
      <c r="T146" t="s">
        <v>756</v>
      </c>
      <c r="U146" t="s">
        <v>56</v>
      </c>
      <c r="V146" t="s">
        <v>757</v>
      </c>
      <c r="W146" s="21" t="s">
        <v>758</v>
      </c>
      <c r="X146" t="s">
        <v>759</v>
      </c>
      <c r="Y146" t="s">
        <v>760</v>
      </c>
      <c r="AC146" t="s">
        <v>60</v>
      </c>
      <c r="AE146" s="15"/>
      <c r="AG146">
        <v>41.53246</v>
      </c>
      <c r="AH146">
        <v>-87.296840000000003</v>
      </c>
      <c r="AI146" t="s">
        <v>848</v>
      </c>
      <c r="AL146" t="s">
        <v>62</v>
      </c>
      <c r="AM146" t="s">
        <v>63</v>
      </c>
      <c r="AN146" t="s">
        <v>849</v>
      </c>
      <c r="AO146" t="s">
        <v>850</v>
      </c>
      <c r="AQ146" t="s">
        <v>851</v>
      </c>
      <c r="AR146" t="s">
        <v>852</v>
      </c>
      <c r="AS146" t="s">
        <v>853</v>
      </c>
      <c r="AT146" t="s">
        <v>68</v>
      </c>
      <c r="AV146" t="s">
        <v>854</v>
      </c>
      <c r="AW146" t="s">
        <v>855</v>
      </c>
      <c r="AX146" t="s">
        <v>856</v>
      </c>
      <c r="BA146" s="14" t="s">
        <v>72</v>
      </c>
      <c r="BB146" s="14" t="s">
        <v>73</v>
      </c>
      <c r="BC146" s="14" t="s">
        <v>74</v>
      </c>
    </row>
    <row r="147" spans="1:55" ht="15" customHeight="1" x14ac:dyDescent="0.4">
      <c r="A147" s="12">
        <v>2119</v>
      </c>
      <c r="B147" t="s">
        <v>857</v>
      </c>
      <c r="D147" t="s">
        <v>858</v>
      </c>
      <c r="E147" s="13"/>
      <c r="F147" s="41"/>
      <c r="G147" s="41"/>
      <c r="H147" s="41"/>
      <c r="I147" s="41"/>
      <c r="J147" s="41"/>
      <c r="K147" s="65" t="str">
        <f>IFERROR(VLOOKUP(D147,Sheet4!A$1:M$56,11,FALSE),"")</f>
        <v/>
      </c>
      <c r="L147" s="65" t="str">
        <f t="shared" si="2"/>
        <v/>
      </c>
      <c r="M147" s="14" t="s">
        <v>49</v>
      </c>
      <c r="N147" s="15">
        <v>42949</v>
      </c>
      <c r="O147" t="s">
        <v>174</v>
      </c>
      <c r="P147" t="s">
        <v>51</v>
      </c>
      <c r="Q147" s="15" t="s">
        <v>52</v>
      </c>
      <c r="R147" t="s">
        <v>53</v>
      </c>
      <c r="S147" t="s">
        <v>755</v>
      </c>
      <c r="T147" t="s">
        <v>756</v>
      </c>
      <c r="U147" t="s">
        <v>56</v>
      </c>
      <c r="V147" t="s">
        <v>757</v>
      </c>
      <c r="W147" s="21" t="s">
        <v>758</v>
      </c>
      <c r="X147" t="s">
        <v>759</v>
      </c>
      <c r="Y147" t="s">
        <v>760</v>
      </c>
      <c r="AC147" t="s">
        <v>78</v>
      </c>
      <c r="AD147" t="s">
        <v>79</v>
      </c>
      <c r="AE147" s="15">
        <v>45597</v>
      </c>
      <c r="AF147" t="s">
        <v>48</v>
      </c>
      <c r="AG147">
        <v>41.532389999999999</v>
      </c>
      <c r="AH147">
        <v>-87.297079999999994</v>
      </c>
      <c r="AI147" t="s">
        <v>859</v>
      </c>
      <c r="AL147" t="s">
        <v>62</v>
      </c>
      <c r="AM147" t="s">
        <v>63</v>
      </c>
      <c r="AN147" t="s">
        <v>860</v>
      </c>
      <c r="AO147">
        <v>185834</v>
      </c>
      <c r="AQ147" t="s">
        <v>861</v>
      </c>
      <c r="AR147" t="s">
        <v>862</v>
      </c>
      <c r="AS147" t="s">
        <v>863</v>
      </c>
      <c r="AT147" t="s">
        <v>68</v>
      </c>
      <c r="AV147" t="s">
        <v>864</v>
      </c>
      <c r="AW147" t="s">
        <v>865</v>
      </c>
      <c r="AX147" t="s">
        <v>866</v>
      </c>
      <c r="AY147" s="31" t="s">
        <v>867</v>
      </c>
      <c r="AZ147" s="31" t="s">
        <v>85</v>
      </c>
      <c r="BA147" s="14" t="s">
        <v>72</v>
      </c>
      <c r="BB147" s="14" t="s">
        <v>73</v>
      </c>
      <c r="BC147" s="14" t="s">
        <v>74</v>
      </c>
    </row>
    <row r="148" spans="1:55" ht="15" customHeight="1" x14ac:dyDescent="0.4">
      <c r="A148" s="12">
        <v>2570</v>
      </c>
      <c r="B148" t="s">
        <v>1447</v>
      </c>
      <c r="D148" t="s">
        <v>1448</v>
      </c>
      <c r="E148" s="13"/>
      <c r="F148" s="41"/>
      <c r="G148" s="41"/>
      <c r="H148" s="41"/>
      <c r="I148" s="41"/>
      <c r="J148" s="41"/>
      <c r="K148" s="65" t="str">
        <f>IFERROR(VLOOKUP(D148,Sheet4!A$1:M$56,11,FALSE),"")</f>
        <v/>
      </c>
      <c r="L148" s="65" t="str">
        <f t="shared" si="2"/>
        <v/>
      </c>
      <c r="M148" s="14" t="s">
        <v>49</v>
      </c>
      <c r="N148" s="15">
        <v>42965</v>
      </c>
      <c r="O148" t="s">
        <v>1449</v>
      </c>
      <c r="P148" t="s">
        <v>51</v>
      </c>
      <c r="Q148" t="s">
        <v>1450</v>
      </c>
      <c r="R148" t="s">
        <v>53</v>
      </c>
      <c r="S148" t="s">
        <v>1451</v>
      </c>
      <c r="T148" t="s">
        <v>1452</v>
      </c>
      <c r="U148" t="s">
        <v>56</v>
      </c>
      <c r="V148" t="s">
        <v>1453</v>
      </c>
      <c r="W148" s="21" t="s">
        <v>1454</v>
      </c>
      <c r="Y148" t="s">
        <v>1455</v>
      </c>
      <c r="Z148">
        <v>25</v>
      </c>
      <c r="AA148" s="13" t="s">
        <v>1456</v>
      </c>
      <c r="AC148" t="s">
        <v>60</v>
      </c>
      <c r="AE148" s="15"/>
      <c r="AG148">
        <v>43.760489999999997</v>
      </c>
      <c r="AH148">
        <v>-103.47675</v>
      </c>
      <c r="AI148" t="s">
        <v>1457</v>
      </c>
      <c r="AJ148" t="s">
        <v>1458</v>
      </c>
      <c r="AL148" t="s">
        <v>62</v>
      </c>
      <c r="AM148" t="s">
        <v>63</v>
      </c>
      <c r="AN148" t="s">
        <v>1459</v>
      </c>
      <c r="AO148" t="s">
        <v>48</v>
      </c>
      <c r="AQ148" t="s">
        <v>48</v>
      </c>
      <c r="AR148" s="24" t="s">
        <v>1460</v>
      </c>
      <c r="AS148" t="s">
        <v>48</v>
      </c>
      <c r="AT148" t="s">
        <v>68</v>
      </c>
      <c r="AU148" s="22"/>
      <c r="AV148" t="s">
        <v>1461</v>
      </c>
      <c r="AW148" t="s">
        <v>1462</v>
      </c>
      <c r="AX148" t="s">
        <v>1463</v>
      </c>
      <c r="AY148" s="31" t="s">
        <v>1464</v>
      </c>
      <c r="AZ148" s="31" t="s">
        <v>85</v>
      </c>
      <c r="BA148" s="14" t="s">
        <v>72</v>
      </c>
      <c r="BB148" s="14" t="s">
        <v>73</v>
      </c>
      <c r="BC148" s="14" t="s">
        <v>74</v>
      </c>
    </row>
    <row r="149" spans="1:55" ht="15" customHeight="1" x14ac:dyDescent="0.4">
      <c r="A149" s="12">
        <v>2571</v>
      </c>
      <c r="B149" t="s">
        <v>1465</v>
      </c>
      <c r="D149" t="s">
        <v>1466</v>
      </c>
      <c r="E149" s="13"/>
      <c r="F149" s="41"/>
      <c r="G149" s="41"/>
      <c r="H149" s="41"/>
      <c r="I149" s="41"/>
      <c r="J149" s="41"/>
      <c r="K149" s="65" t="str">
        <f>IFERROR(VLOOKUP(D149,Sheet4!A$1:M$56,11,FALSE),"")</f>
        <v>Based on ADMIXTURE results of 78,187 SNPs, may be trace admixed with Quercus lobata</v>
      </c>
      <c r="L149" s="65" t="str">
        <f t="shared" si="2"/>
        <v>Based on ADMIXTURE results of 78,187 SNPs, may be trace admixed with Quercus lobata</v>
      </c>
      <c r="M149" s="14" t="s">
        <v>49</v>
      </c>
      <c r="N149" s="15">
        <v>42965</v>
      </c>
      <c r="O149" t="s">
        <v>1449</v>
      </c>
      <c r="P149" t="s">
        <v>51</v>
      </c>
      <c r="Q149" t="s">
        <v>1450</v>
      </c>
      <c r="R149" t="s">
        <v>53</v>
      </c>
      <c r="S149" t="s">
        <v>1451</v>
      </c>
      <c r="T149" t="s">
        <v>1452</v>
      </c>
      <c r="U149" t="s">
        <v>56</v>
      </c>
      <c r="V149" t="s">
        <v>1453</v>
      </c>
      <c r="W149" s="21" t="s">
        <v>1454</v>
      </c>
      <c r="Y149" t="s">
        <v>1455</v>
      </c>
      <c r="Z149">
        <v>30</v>
      </c>
      <c r="AA149" s="13" t="s">
        <v>1467</v>
      </c>
      <c r="AC149" t="s">
        <v>60</v>
      </c>
      <c r="AE149" s="15"/>
      <c r="AG149">
        <v>43.761949999999999</v>
      </c>
      <c r="AH149">
        <v>-103.47226000000001</v>
      </c>
      <c r="AI149" t="s">
        <v>1468</v>
      </c>
      <c r="AJ149" t="s">
        <v>1469</v>
      </c>
      <c r="AL149" t="s">
        <v>62</v>
      </c>
      <c r="AM149" t="s">
        <v>63</v>
      </c>
      <c r="AN149" t="s">
        <v>1470</v>
      </c>
      <c r="AO149">
        <v>185943</v>
      </c>
      <c r="AQ149" t="s">
        <v>1471</v>
      </c>
      <c r="AR149" t="s">
        <v>1472</v>
      </c>
      <c r="AS149" t="s">
        <v>1473</v>
      </c>
      <c r="AT149" t="s">
        <v>68</v>
      </c>
      <c r="AV149" t="s">
        <v>1474</v>
      </c>
      <c r="AW149" t="s">
        <v>1475</v>
      </c>
      <c r="AX149" t="s">
        <v>1476</v>
      </c>
      <c r="BA149" s="14" t="s">
        <v>72</v>
      </c>
      <c r="BB149" s="14" t="s">
        <v>73</v>
      </c>
      <c r="BC149" s="14" t="s">
        <v>74</v>
      </c>
    </row>
    <row r="150" spans="1:55" ht="15" customHeight="1" x14ac:dyDescent="0.4">
      <c r="A150" s="12">
        <v>2572</v>
      </c>
      <c r="B150" t="s">
        <v>1477</v>
      </c>
      <c r="D150" t="s">
        <v>1478</v>
      </c>
      <c r="E150" s="13"/>
      <c r="F150" s="41"/>
      <c r="G150" s="41"/>
      <c r="H150" s="41"/>
      <c r="I150" s="41"/>
      <c r="J150" s="41"/>
      <c r="K150" s="65" t="str">
        <f>IFERROR(VLOOKUP(D150,Sheet4!A$1:M$56,11,FALSE),"")</f>
        <v/>
      </c>
      <c r="L150" s="65" t="str">
        <f t="shared" si="2"/>
        <v/>
      </c>
      <c r="M150" s="14" t="s">
        <v>49</v>
      </c>
      <c r="N150" s="15">
        <v>42965</v>
      </c>
      <c r="O150" t="s">
        <v>1449</v>
      </c>
      <c r="P150" t="s">
        <v>51</v>
      </c>
      <c r="Q150" t="s">
        <v>1450</v>
      </c>
      <c r="R150" t="s">
        <v>53</v>
      </c>
      <c r="S150" t="s">
        <v>1451</v>
      </c>
      <c r="T150" t="s">
        <v>1452</v>
      </c>
      <c r="U150" t="s">
        <v>56</v>
      </c>
      <c r="V150" t="s">
        <v>1453</v>
      </c>
      <c r="W150" s="21" t="s">
        <v>1454</v>
      </c>
      <c r="Y150" t="s">
        <v>1455</v>
      </c>
      <c r="Z150">
        <v>30</v>
      </c>
      <c r="AA150" s="13" t="s">
        <v>1479</v>
      </c>
      <c r="AC150" t="s">
        <v>60</v>
      </c>
      <c r="AE150" s="15"/>
      <c r="AG150">
        <v>43.762070000000001</v>
      </c>
      <c r="AH150">
        <v>-103.46704</v>
      </c>
      <c r="AI150" t="s">
        <v>1480</v>
      </c>
      <c r="AJ150" t="s">
        <v>1481</v>
      </c>
      <c r="AL150" t="s">
        <v>62</v>
      </c>
      <c r="AM150" t="s">
        <v>63</v>
      </c>
      <c r="AN150" t="s">
        <v>1482</v>
      </c>
      <c r="AO150">
        <v>185944</v>
      </c>
      <c r="AQ150" t="s">
        <v>1483</v>
      </c>
      <c r="AR150" t="s">
        <v>1484</v>
      </c>
      <c r="AS150" t="s">
        <v>1485</v>
      </c>
      <c r="AT150" t="s">
        <v>68</v>
      </c>
      <c r="AV150" t="s">
        <v>1486</v>
      </c>
      <c r="AW150" t="s">
        <v>1487</v>
      </c>
      <c r="AX150" t="s">
        <v>1488</v>
      </c>
      <c r="BA150" s="14" t="s">
        <v>72</v>
      </c>
      <c r="BB150" s="14" t="s">
        <v>73</v>
      </c>
      <c r="BC150" s="14" t="s">
        <v>74</v>
      </c>
    </row>
    <row r="151" spans="1:55" ht="15" customHeight="1" x14ac:dyDescent="0.4">
      <c r="A151" s="12">
        <v>2573</v>
      </c>
      <c r="B151" t="s">
        <v>1489</v>
      </c>
      <c r="D151" t="s">
        <v>1490</v>
      </c>
      <c r="E151" s="13"/>
      <c r="F151" s="41"/>
      <c r="G151" s="41"/>
      <c r="H151" s="41"/>
      <c r="I151" s="41"/>
      <c r="J151" s="41"/>
      <c r="K151" s="65" t="str">
        <f>IFERROR(VLOOKUP(D151,Sheet4!A$1:M$56,11,FALSE),"")</f>
        <v>Based on ADMIXTURE results of 78,187 SNPs, may be trace admixed with Quercus lobata</v>
      </c>
      <c r="L151" s="65" t="str">
        <f t="shared" si="2"/>
        <v>Based on ADMIXTURE results of 78,187 SNPs, may be trace admixed with Quercus lobata</v>
      </c>
      <c r="M151" s="14" t="s">
        <v>49</v>
      </c>
      <c r="N151" s="15">
        <v>42965</v>
      </c>
      <c r="O151" t="s">
        <v>1449</v>
      </c>
      <c r="P151" t="s">
        <v>51</v>
      </c>
      <c r="Q151" t="s">
        <v>1450</v>
      </c>
      <c r="R151" t="s">
        <v>53</v>
      </c>
      <c r="S151" t="s">
        <v>1451</v>
      </c>
      <c r="T151" t="s">
        <v>1452</v>
      </c>
      <c r="U151" t="s">
        <v>56</v>
      </c>
      <c r="V151" t="s">
        <v>1453</v>
      </c>
      <c r="W151" s="21" t="s">
        <v>1454</v>
      </c>
      <c r="Y151" t="s">
        <v>1455</v>
      </c>
      <c r="Z151">
        <v>18</v>
      </c>
      <c r="AA151" s="13" t="s">
        <v>1491</v>
      </c>
      <c r="AC151" t="s">
        <v>60</v>
      </c>
      <c r="AE151" s="15"/>
      <c r="AG151">
        <v>43.76737</v>
      </c>
      <c r="AH151">
        <v>-103.45567</v>
      </c>
      <c r="AI151" t="s">
        <v>1492</v>
      </c>
      <c r="AJ151" t="s">
        <v>1493</v>
      </c>
      <c r="AL151" t="s">
        <v>62</v>
      </c>
      <c r="AM151" t="s">
        <v>63</v>
      </c>
      <c r="AN151" t="s">
        <v>1494</v>
      </c>
      <c r="AO151">
        <v>185945</v>
      </c>
      <c r="AQ151" t="s">
        <v>1495</v>
      </c>
      <c r="AR151" t="s">
        <v>1496</v>
      </c>
      <c r="AS151" t="s">
        <v>1497</v>
      </c>
      <c r="AT151" t="s">
        <v>68</v>
      </c>
      <c r="AV151" t="s">
        <v>1498</v>
      </c>
      <c r="AW151" t="s">
        <v>1499</v>
      </c>
      <c r="AX151" t="s">
        <v>1500</v>
      </c>
      <c r="BA151" s="14" t="s">
        <v>72</v>
      </c>
      <c r="BB151" s="14" t="s">
        <v>73</v>
      </c>
      <c r="BC151" s="14" t="s">
        <v>74</v>
      </c>
    </row>
    <row r="152" spans="1:55" ht="15" customHeight="1" x14ac:dyDescent="0.4">
      <c r="A152" s="12">
        <v>2574</v>
      </c>
      <c r="B152" t="s">
        <v>1501</v>
      </c>
      <c r="D152" t="s">
        <v>1502</v>
      </c>
      <c r="E152" s="13"/>
      <c r="F152" s="41"/>
      <c r="G152" s="41"/>
      <c r="H152" s="41"/>
      <c r="I152" s="41"/>
      <c r="J152" s="41"/>
      <c r="K152" s="65" t="str">
        <f>IFERROR(VLOOKUP(D152,Sheet4!A$1:M$56,11,FALSE),"")</f>
        <v/>
      </c>
      <c r="L152" s="65" t="str">
        <f t="shared" si="2"/>
        <v/>
      </c>
      <c r="M152" s="14" t="s">
        <v>49</v>
      </c>
      <c r="N152" s="15">
        <v>42965</v>
      </c>
      <c r="O152" t="s">
        <v>1449</v>
      </c>
      <c r="P152" t="s">
        <v>51</v>
      </c>
      <c r="Q152" t="s">
        <v>1450</v>
      </c>
      <c r="R152" t="s">
        <v>53</v>
      </c>
      <c r="S152" t="s">
        <v>1451</v>
      </c>
      <c r="T152" t="s">
        <v>1452</v>
      </c>
      <c r="U152" t="s">
        <v>56</v>
      </c>
      <c r="V152" t="s">
        <v>1453</v>
      </c>
      <c r="W152" s="21" t="s">
        <v>1454</v>
      </c>
      <c r="Y152" t="s">
        <v>1455</v>
      </c>
      <c r="Z152">
        <v>18</v>
      </c>
      <c r="AA152" s="13" t="s">
        <v>1456</v>
      </c>
      <c r="AC152" t="s">
        <v>78</v>
      </c>
      <c r="AD152" t="s">
        <v>562</v>
      </c>
      <c r="AE152" s="15">
        <v>45597</v>
      </c>
      <c r="AF152" t="s">
        <v>48</v>
      </c>
      <c r="AG152">
        <v>43.7746</v>
      </c>
      <c r="AH152">
        <v>-103.43264000000001</v>
      </c>
      <c r="AI152" t="s">
        <v>1503</v>
      </c>
      <c r="AJ152" t="s">
        <v>1504</v>
      </c>
      <c r="AL152" t="s">
        <v>62</v>
      </c>
      <c r="AM152" t="s">
        <v>63</v>
      </c>
      <c r="AN152" t="s">
        <v>1505</v>
      </c>
      <c r="AO152">
        <v>185946</v>
      </c>
      <c r="AQ152" t="s">
        <v>1506</v>
      </c>
      <c r="AR152" t="s">
        <v>1507</v>
      </c>
      <c r="AS152" t="s">
        <v>1508</v>
      </c>
      <c r="AT152" t="s">
        <v>68</v>
      </c>
      <c r="AV152" t="s">
        <v>1509</v>
      </c>
      <c r="AW152" t="s">
        <v>1510</v>
      </c>
      <c r="AX152" t="s">
        <v>1511</v>
      </c>
      <c r="AY152" s="31" t="s">
        <v>1512</v>
      </c>
      <c r="AZ152" s="31" t="s">
        <v>85</v>
      </c>
      <c r="BA152" s="14" t="s">
        <v>72</v>
      </c>
      <c r="BB152" s="14" t="s">
        <v>73</v>
      </c>
      <c r="BC152" s="14" t="s">
        <v>74</v>
      </c>
    </row>
    <row r="153" spans="1:55" ht="15" customHeight="1" x14ac:dyDescent="0.4">
      <c r="A153" s="12">
        <v>2575</v>
      </c>
      <c r="B153" t="s">
        <v>1513</v>
      </c>
      <c r="D153" t="s">
        <v>1514</v>
      </c>
      <c r="E153" s="13"/>
      <c r="F153" s="41"/>
      <c r="G153" s="41"/>
      <c r="H153" s="41"/>
      <c r="I153" s="41"/>
      <c r="J153" s="41"/>
      <c r="K153" s="65" t="str">
        <f>IFERROR(VLOOKUP(D153,Sheet4!A$1:M$56,11,FALSE),"")</f>
        <v/>
      </c>
      <c r="L153" s="65" t="str">
        <f t="shared" si="2"/>
        <v/>
      </c>
      <c r="M153" s="14" t="s">
        <v>49</v>
      </c>
      <c r="N153" s="15">
        <v>42965</v>
      </c>
      <c r="O153" t="s">
        <v>1449</v>
      </c>
      <c r="P153" t="s">
        <v>51</v>
      </c>
      <c r="Q153" t="s">
        <v>1450</v>
      </c>
      <c r="R153" t="s">
        <v>53</v>
      </c>
      <c r="S153" t="s">
        <v>1451</v>
      </c>
      <c r="T153" t="s">
        <v>1452</v>
      </c>
      <c r="U153" t="s">
        <v>56</v>
      </c>
      <c r="V153" t="s">
        <v>1453</v>
      </c>
      <c r="W153" s="21" t="s">
        <v>1454</v>
      </c>
      <c r="Y153" t="s">
        <v>1455</v>
      </c>
      <c r="Z153">
        <v>15</v>
      </c>
      <c r="AA153" s="13" t="s">
        <v>1515</v>
      </c>
      <c r="AC153" t="s">
        <v>60</v>
      </c>
      <c r="AE153" s="15"/>
      <c r="AG153">
        <v>43.776240000000001</v>
      </c>
      <c r="AH153">
        <v>-103.41792</v>
      </c>
      <c r="AI153" t="s">
        <v>1516</v>
      </c>
      <c r="AJ153" t="s">
        <v>1517</v>
      </c>
      <c r="AL153" t="s">
        <v>62</v>
      </c>
      <c r="AM153" t="s">
        <v>63</v>
      </c>
      <c r="AN153" t="s">
        <v>1518</v>
      </c>
      <c r="AO153">
        <v>185947</v>
      </c>
      <c r="AQ153" t="s">
        <v>1519</v>
      </c>
      <c r="AR153" t="s">
        <v>1520</v>
      </c>
      <c r="AS153" t="s">
        <v>1521</v>
      </c>
      <c r="AT153" t="s">
        <v>68</v>
      </c>
      <c r="AV153" t="s">
        <v>1522</v>
      </c>
      <c r="AW153" t="s">
        <v>1523</v>
      </c>
      <c r="AX153" t="s">
        <v>1524</v>
      </c>
      <c r="BA153" s="14" t="s">
        <v>72</v>
      </c>
      <c r="BB153" s="14" t="s">
        <v>73</v>
      </c>
      <c r="BC153" s="14" t="s">
        <v>74</v>
      </c>
    </row>
    <row r="154" spans="1:55" ht="15" customHeight="1" x14ac:dyDescent="0.4">
      <c r="A154" s="12">
        <v>2576</v>
      </c>
      <c r="B154" t="s">
        <v>1525</v>
      </c>
      <c r="D154" t="s">
        <v>1526</v>
      </c>
      <c r="E154" s="13"/>
      <c r="F154" s="41"/>
      <c r="G154" s="41"/>
      <c r="H154" s="41"/>
      <c r="I154" s="41"/>
      <c r="J154" s="41"/>
      <c r="K154" s="65" t="str">
        <f>IFERROR(VLOOKUP(D154,Sheet4!A$1:M$56,11,FALSE),"")</f>
        <v/>
      </c>
      <c r="L154" s="65" t="str">
        <f t="shared" si="2"/>
        <v/>
      </c>
      <c r="M154" s="14" t="s">
        <v>49</v>
      </c>
      <c r="N154" s="15">
        <v>42965</v>
      </c>
      <c r="O154" t="s">
        <v>1449</v>
      </c>
      <c r="P154" t="s">
        <v>51</v>
      </c>
      <c r="Q154" t="s">
        <v>1450</v>
      </c>
      <c r="R154" t="s">
        <v>53</v>
      </c>
      <c r="S154" t="s">
        <v>1451</v>
      </c>
      <c r="T154" t="s">
        <v>1452</v>
      </c>
      <c r="U154" t="s">
        <v>56</v>
      </c>
      <c r="V154" t="s">
        <v>1453</v>
      </c>
      <c r="W154" s="21" t="s">
        <v>1454</v>
      </c>
      <c r="Y154" t="s">
        <v>1455</v>
      </c>
      <c r="Z154">
        <v>100</v>
      </c>
      <c r="AA154" s="13" t="s">
        <v>1527</v>
      </c>
      <c r="AC154" t="s">
        <v>60</v>
      </c>
      <c r="AE154" s="15"/>
      <c r="AG154">
        <v>43.77816</v>
      </c>
      <c r="AH154">
        <v>-103.40278000000001</v>
      </c>
      <c r="AI154" t="s">
        <v>1528</v>
      </c>
      <c r="AJ154" t="s">
        <v>1529</v>
      </c>
      <c r="AL154" t="s">
        <v>62</v>
      </c>
      <c r="AM154" t="s">
        <v>63</v>
      </c>
      <c r="AN154" t="s">
        <v>1530</v>
      </c>
      <c r="AO154">
        <v>185948</v>
      </c>
      <c r="AQ154" t="s">
        <v>1531</v>
      </c>
      <c r="AR154" t="s">
        <v>1532</v>
      </c>
      <c r="AS154" t="s">
        <v>1533</v>
      </c>
      <c r="AT154" t="s">
        <v>68</v>
      </c>
      <c r="AV154" t="s">
        <v>1534</v>
      </c>
      <c r="AW154" t="s">
        <v>1535</v>
      </c>
      <c r="AX154" t="s">
        <v>1536</v>
      </c>
      <c r="BA154" s="14" t="s">
        <v>72</v>
      </c>
      <c r="BB154" s="14" t="s">
        <v>73</v>
      </c>
      <c r="BC154" s="14" t="s">
        <v>74</v>
      </c>
    </row>
    <row r="155" spans="1:55" ht="15" customHeight="1" x14ac:dyDescent="0.4">
      <c r="A155" s="12">
        <v>2577</v>
      </c>
      <c r="B155" t="s">
        <v>1537</v>
      </c>
      <c r="D155" t="s">
        <v>1538</v>
      </c>
      <c r="E155" s="13"/>
      <c r="F155" s="41"/>
      <c r="G155" s="41"/>
      <c r="H155" s="41"/>
      <c r="I155" s="41"/>
      <c r="J155" s="41"/>
      <c r="K155" s="65" t="str">
        <f>IFERROR(VLOOKUP(D155,Sheet4!A$1:M$56,11,FALSE),"")</f>
        <v/>
      </c>
      <c r="L155" s="65" t="str">
        <f t="shared" si="2"/>
        <v/>
      </c>
      <c r="M155" s="14" t="s">
        <v>49</v>
      </c>
      <c r="N155" s="15">
        <v>42965</v>
      </c>
      <c r="O155" t="s">
        <v>1449</v>
      </c>
      <c r="P155" t="s">
        <v>51</v>
      </c>
      <c r="Q155" t="s">
        <v>1450</v>
      </c>
      <c r="R155" t="s">
        <v>53</v>
      </c>
      <c r="S155" t="s">
        <v>1451</v>
      </c>
      <c r="T155" t="s">
        <v>1452</v>
      </c>
      <c r="U155" t="s">
        <v>56</v>
      </c>
      <c r="V155" t="s">
        <v>1453</v>
      </c>
      <c r="W155" s="21" t="s">
        <v>1454</v>
      </c>
      <c r="Y155" t="s">
        <v>1455</v>
      </c>
      <c r="Z155">
        <v>45</v>
      </c>
      <c r="AA155" s="13" t="s">
        <v>1539</v>
      </c>
      <c r="AC155" t="s">
        <v>60</v>
      </c>
      <c r="AE155" s="15"/>
      <c r="AG155">
        <v>43.765639999999998</v>
      </c>
      <c r="AH155">
        <v>-103.3884</v>
      </c>
      <c r="AI155" t="s">
        <v>1540</v>
      </c>
      <c r="AJ155" t="s">
        <v>1541</v>
      </c>
      <c r="AL155" t="s">
        <v>62</v>
      </c>
      <c r="AM155" t="s">
        <v>63</v>
      </c>
      <c r="AN155" t="s">
        <v>1542</v>
      </c>
      <c r="AO155">
        <v>185949</v>
      </c>
      <c r="AQ155" t="s">
        <v>1543</v>
      </c>
      <c r="AR155" t="s">
        <v>1544</v>
      </c>
      <c r="AS155" t="s">
        <v>1545</v>
      </c>
      <c r="AT155" t="s">
        <v>68</v>
      </c>
      <c r="AV155" t="s">
        <v>1546</v>
      </c>
      <c r="AW155" t="s">
        <v>1547</v>
      </c>
      <c r="AX155" t="s">
        <v>1548</v>
      </c>
      <c r="BA155" s="14" t="s">
        <v>72</v>
      </c>
      <c r="BB155" s="14" t="s">
        <v>73</v>
      </c>
      <c r="BC155" s="14" t="s">
        <v>74</v>
      </c>
    </row>
    <row r="156" spans="1:55" ht="15" customHeight="1" x14ac:dyDescent="0.4">
      <c r="A156" s="12">
        <v>2578</v>
      </c>
      <c r="B156" t="s">
        <v>1549</v>
      </c>
      <c r="D156" t="s">
        <v>1550</v>
      </c>
      <c r="E156" s="13"/>
      <c r="F156" s="41"/>
      <c r="G156" s="41"/>
      <c r="H156" s="41"/>
      <c r="I156" s="41"/>
      <c r="J156" s="41"/>
      <c r="K156" s="65" t="str">
        <f>IFERROR(VLOOKUP(D156,Sheet4!A$1:M$56,11,FALSE),"")</f>
        <v>Based on ADMIXTURE results of 78,187 SNPs, may be trace admixed with Quercus lobata</v>
      </c>
      <c r="L156" s="65" t="str">
        <f t="shared" si="2"/>
        <v>Based on ADMIXTURE results of 78,187 SNPs, may be trace admixed with Quercus lobata</v>
      </c>
      <c r="M156" s="14" t="s">
        <v>49</v>
      </c>
      <c r="N156" s="15">
        <v>42965</v>
      </c>
      <c r="O156" t="s">
        <v>1449</v>
      </c>
      <c r="P156" t="s">
        <v>51</v>
      </c>
      <c r="Q156" t="s">
        <v>1450</v>
      </c>
      <c r="R156" t="s">
        <v>53</v>
      </c>
      <c r="S156" t="s">
        <v>1451</v>
      </c>
      <c r="T156" t="s">
        <v>1452</v>
      </c>
      <c r="U156" t="s">
        <v>56</v>
      </c>
      <c r="W156" s="21" t="s">
        <v>1551</v>
      </c>
      <c r="Y156" t="s">
        <v>1552</v>
      </c>
      <c r="Z156">
        <v>25</v>
      </c>
      <c r="AA156" s="13" t="s">
        <v>1553</v>
      </c>
      <c r="AC156" t="s">
        <v>60</v>
      </c>
      <c r="AE156" s="15"/>
      <c r="AG156">
        <v>43.772779999999997</v>
      </c>
      <c r="AH156">
        <v>-103.33803</v>
      </c>
      <c r="AI156" t="s">
        <v>1554</v>
      </c>
      <c r="AJ156">
        <v>6604</v>
      </c>
      <c r="AL156" t="s">
        <v>62</v>
      </c>
      <c r="AM156" t="s">
        <v>63</v>
      </c>
      <c r="AN156" t="s">
        <v>1555</v>
      </c>
      <c r="AO156">
        <v>185950</v>
      </c>
      <c r="AQ156" t="s">
        <v>1556</v>
      </c>
      <c r="AR156" t="s">
        <v>1557</v>
      </c>
      <c r="AS156" t="s">
        <v>1558</v>
      </c>
      <c r="AT156" t="s">
        <v>68</v>
      </c>
      <c r="AV156" t="s">
        <v>1559</v>
      </c>
      <c r="AW156" t="s">
        <v>1560</v>
      </c>
      <c r="AX156" t="s">
        <v>1561</v>
      </c>
      <c r="BA156" s="14" t="s">
        <v>72</v>
      </c>
      <c r="BB156" s="14" t="s">
        <v>73</v>
      </c>
      <c r="BC156" s="14" t="s">
        <v>74</v>
      </c>
    </row>
    <row r="157" spans="1:55" ht="15" customHeight="1" x14ac:dyDescent="0.4">
      <c r="A157" s="12">
        <v>2580</v>
      </c>
      <c r="B157" t="s">
        <v>1577</v>
      </c>
      <c r="D157" t="s">
        <v>1578</v>
      </c>
      <c r="E157" s="13"/>
      <c r="F157" s="41"/>
      <c r="G157" s="41"/>
      <c r="H157" s="41"/>
      <c r="I157" s="41"/>
      <c r="J157" s="41"/>
      <c r="K157" s="65" t="str">
        <f>IFERROR(VLOOKUP(D157,Sheet4!A$1:M$56,11,FALSE),"")</f>
        <v/>
      </c>
      <c r="L157" s="65" t="str">
        <f t="shared" si="2"/>
        <v/>
      </c>
      <c r="M157" s="14" t="s">
        <v>49</v>
      </c>
      <c r="N157" s="15">
        <v>42965</v>
      </c>
      <c r="O157" t="s">
        <v>1449</v>
      </c>
      <c r="P157" t="s">
        <v>51</v>
      </c>
      <c r="Q157" t="s">
        <v>1450</v>
      </c>
      <c r="R157" t="s">
        <v>53</v>
      </c>
      <c r="S157" t="s">
        <v>1451</v>
      </c>
      <c r="T157" t="s">
        <v>1579</v>
      </c>
      <c r="U157" t="s">
        <v>56</v>
      </c>
      <c r="W157" s="21" t="s">
        <v>1580</v>
      </c>
      <c r="Y157" t="s">
        <v>1581</v>
      </c>
      <c r="Z157">
        <v>90</v>
      </c>
      <c r="AA157" s="13" t="s">
        <v>1582</v>
      </c>
      <c r="AC157" t="s">
        <v>60</v>
      </c>
      <c r="AE157" s="15"/>
      <c r="AG157">
        <v>44.474130000000002</v>
      </c>
      <c r="AH157">
        <v>-103.73782</v>
      </c>
      <c r="AI157" t="s">
        <v>1583</v>
      </c>
      <c r="AJ157" t="s">
        <v>1584</v>
      </c>
      <c r="AL157" t="s">
        <v>62</v>
      </c>
      <c r="AM157" t="s">
        <v>63</v>
      </c>
      <c r="AN157" t="s">
        <v>1585</v>
      </c>
      <c r="AO157" t="s">
        <v>48</v>
      </c>
      <c r="AQ157" t="s">
        <v>48</v>
      </c>
      <c r="AR157" s="24" t="s">
        <v>1586</v>
      </c>
      <c r="AS157" t="s">
        <v>48</v>
      </c>
      <c r="AT157" t="s">
        <v>68</v>
      </c>
      <c r="AV157" t="s">
        <v>1587</v>
      </c>
      <c r="AW157" t="s">
        <v>1588</v>
      </c>
      <c r="AX157" t="s">
        <v>1589</v>
      </c>
      <c r="BA157" s="14" t="s">
        <v>72</v>
      </c>
      <c r="BB157" s="14" t="s">
        <v>73</v>
      </c>
      <c r="BC157" s="14" t="s">
        <v>74</v>
      </c>
    </row>
    <row r="158" spans="1:55" ht="15" customHeight="1" x14ac:dyDescent="0.4">
      <c r="A158" s="12">
        <v>2581</v>
      </c>
      <c r="B158" t="s">
        <v>1590</v>
      </c>
      <c r="D158" t="s">
        <v>1591</v>
      </c>
      <c r="E158" s="13"/>
      <c r="F158" s="43" t="s">
        <v>49</v>
      </c>
      <c r="G158" s="43" t="s">
        <v>8103</v>
      </c>
      <c r="H158" s="43" t="s">
        <v>8101</v>
      </c>
      <c r="I158" s="43"/>
      <c r="J158" s="43"/>
      <c r="K158" s="65" t="str">
        <f>IFERROR(VLOOKUP(D158,Sheet4!A$1:M$56,11,FALSE),"")</f>
        <v>Based on ADMIXTURE results of 78,187 SNPs, trace admixed (Q&lt;0.10) with Quercus lobata</v>
      </c>
      <c r="L158" s="65" t="str">
        <f t="shared" si="2"/>
        <v>Based on ADMIXTURE results of 78,187 SNPs, trace admixed (Q&lt;0.10) with Quercus lobata</v>
      </c>
      <c r="M158" s="14" t="s">
        <v>49</v>
      </c>
      <c r="N158" s="15">
        <v>42965</v>
      </c>
      <c r="O158" t="s">
        <v>1449</v>
      </c>
      <c r="P158" t="s">
        <v>51</v>
      </c>
      <c r="Q158" t="s">
        <v>1450</v>
      </c>
      <c r="R158" t="s">
        <v>53</v>
      </c>
      <c r="S158" t="s">
        <v>1451</v>
      </c>
      <c r="T158" t="s">
        <v>1579</v>
      </c>
      <c r="U158" t="s">
        <v>56</v>
      </c>
      <c r="W158" s="21" t="s">
        <v>1592</v>
      </c>
      <c r="Y158" t="s">
        <v>1581</v>
      </c>
      <c r="Z158">
        <v>20</v>
      </c>
      <c r="AA158" s="13" t="s">
        <v>1593</v>
      </c>
      <c r="AB158" t="s">
        <v>1594</v>
      </c>
      <c r="AC158" t="s">
        <v>78</v>
      </c>
      <c r="AD158" t="s">
        <v>79</v>
      </c>
      <c r="AE158" s="15">
        <v>45597</v>
      </c>
      <c r="AF158" t="s">
        <v>48</v>
      </c>
      <c r="AG158">
        <v>44.491329999999998</v>
      </c>
      <c r="AH158">
        <v>-103.80895</v>
      </c>
      <c r="AI158" t="s">
        <v>1595</v>
      </c>
      <c r="AJ158" t="s">
        <v>1596</v>
      </c>
      <c r="AL158" t="s">
        <v>62</v>
      </c>
      <c r="AM158" t="s">
        <v>63</v>
      </c>
      <c r="AN158" t="s">
        <v>1597</v>
      </c>
      <c r="AO158">
        <v>185952</v>
      </c>
      <c r="AQ158" t="s">
        <v>1598</v>
      </c>
      <c r="AR158" t="s">
        <v>1599</v>
      </c>
      <c r="AS158" t="s">
        <v>1600</v>
      </c>
      <c r="AT158" t="s">
        <v>68</v>
      </c>
      <c r="AV158" t="s">
        <v>1601</v>
      </c>
      <c r="AW158" t="s">
        <v>1602</v>
      </c>
      <c r="AX158" t="s">
        <v>1603</v>
      </c>
      <c r="AY158" s="31" t="s">
        <v>1604</v>
      </c>
      <c r="AZ158" s="31" t="s">
        <v>85</v>
      </c>
      <c r="BA158" s="14" t="s">
        <v>72</v>
      </c>
      <c r="BB158" s="14" t="s">
        <v>73</v>
      </c>
      <c r="BC158" s="14" t="s">
        <v>74</v>
      </c>
    </row>
    <row r="159" spans="1:55" ht="15" customHeight="1" x14ac:dyDescent="0.4">
      <c r="A159" s="12">
        <v>2582</v>
      </c>
      <c r="B159" t="s">
        <v>1605</v>
      </c>
      <c r="D159" t="s">
        <v>1606</v>
      </c>
      <c r="E159" s="13"/>
      <c r="F159" s="43" t="s">
        <v>49</v>
      </c>
      <c r="G159" s="43" t="s">
        <v>8103</v>
      </c>
      <c r="H159" s="43" t="s">
        <v>8101</v>
      </c>
      <c r="I159" s="43"/>
      <c r="J159" s="43"/>
      <c r="K159" s="65" t="str">
        <f>IFERROR(VLOOKUP(D159,Sheet4!A$1:M$56,11,FALSE),"")</f>
        <v>Based on ADMIXTURE results of 78,187 SNPs, admixed with Quercus lobata</v>
      </c>
      <c r="L159" s="65" t="str">
        <f t="shared" si="2"/>
        <v>Based on ADMIXTURE results of 78,187 SNPs, admixed with Quercus lobata</v>
      </c>
      <c r="M159" s="14" t="s">
        <v>49</v>
      </c>
      <c r="N159" s="15">
        <v>42965</v>
      </c>
      <c r="O159" t="s">
        <v>1449</v>
      </c>
      <c r="P159" t="s">
        <v>51</v>
      </c>
      <c r="Q159" t="s">
        <v>1450</v>
      </c>
      <c r="R159" t="s">
        <v>53</v>
      </c>
      <c r="S159" t="s">
        <v>1451</v>
      </c>
      <c r="T159" t="s">
        <v>1579</v>
      </c>
      <c r="U159" t="s">
        <v>56</v>
      </c>
      <c r="W159" s="21" t="s">
        <v>1592</v>
      </c>
      <c r="Y159" t="s">
        <v>1581</v>
      </c>
      <c r="Z159">
        <v>60</v>
      </c>
      <c r="AA159" s="13" t="s">
        <v>1582</v>
      </c>
      <c r="AC159" t="s">
        <v>60</v>
      </c>
      <c r="AE159" s="15"/>
      <c r="AG159">
        <v>44.48498</v>
      </c>
      <c r="AH159">
        <v>-103.82365</v>
      </c>
      <c r="AI159" t="s">
        <v>1595</v>
      </c>
      <c r="AJ159" t="s">
        <v>1607</v>
      </c>
      <c r="AL159" t="s">
        <v>62</v>
      </c>
      <c r="AM159" t="s">
        <v>63</v>
      </c>
      <c r="AN159" t="s">
        <v>1608</v>
      </c>
      <c r="AO159">
        <v>185953</v>
      </c>
      <c r="AQ159" t="s">
        <v>1609</v>
      </c>
      <c r="AR159" t="s">
        <v>1610</v>
      </c>
      <c r="AS159" t="s">
        <v>1611</v>
      </c>
      <c r="AT159" t="s">
        <v>68</v>
      </c>
      <c r="AV159" t="s">
        <v>1612</v>
      </c>
      <c r="AW159" t="s">
        <v>1613</v>
      </c>
      <c r="AX159" t="s">
        <v>1614</v>
      </c>
      <c r="BA159" s="14" t="s">
        <v>72</v>
      </c>
      <c r="BB159" s="14" t="s">
        <v>73</v>
      </c>
      <c r="BC159" s="14" t="s">
        <v>74</v>
      </c>
    </row>
    <row r="160" spans="1:55" ht="15" customHeight="1" x14ac:dyDescent="0.4">
      <c r="A160" s="12">
        <v>2583</v>
      </c>
      <c r="B160" t="s">
        <v>1615</v>
      </c>
      <c r="D160" t="s">
        <v>1616</v>
      </c>
      <c r="E160" s="13"/>
      <c r="F160" s="43" t="s">
        <v>49</v>
      </c>
      <c r="G160" s="43" t="s">
        <v>8103</v>
      </c>
      <c r="H160" s="43" t="s">
        <v>8101</v>
      </c>
      <c r="I160" s="43"/>
      <c r="J160" s="43"/>
      <c r="K160" s="65" t="str">
        <f>IFERROR(VLOOKUP(D160,Sheet4!A$1:M$56,11,FALSE),"")</f>
        <v>Based on ADMIXTURE results of 78,187 SNPs, trace admixed (Q&lt;0.10) with Quercus lobata</v>
      </c>
      <c r="L160" s="65" t="str">
        <f t="shared" si="2"/>
        <v>Based on ADMIXTURE results of 78,187 SNPs, trace admixed (Q&lt;0.10) with Quercus lobata</v>
      </c>
      <c r="M160" s="14" t="s">
        <v>49</v>
      </c>
      <c r="N160" s="15">
        <v>42965</v>
      </c>
      <c r="O160" t="s">
        <v>1449</v>
      </c>
      <c r="P160" t="s">
        <v>51</v>
      </c>
      <c r="Q160" t="s">
        <v>1450</v>
      </c>
      <c r="R160" t="s">
        <v>53</v>
      </c>
      <c r="S160" t="s">
        <v>1451</v>
      </c>
      <c r="T160" t="s">
        <v>1579</v>
      </c>
      <c r="U160" t="s">
        <v>56</v>
      </c>
      <c r="W160" s="21" t="s">
        <v>1592</v>
      </c>
      <c r="Y160" t="s">
        <v>1581</v>
      </c>
      <c r="Z160" t="s">
        <v>1565</v>
      </c>
      <c r="AA160" s="13" t="s">
        <v>1467</v>
      </c>
      <c r="AB160" t="s">
        <v>1617</v>
      </c>
      <c r="AC160" t="s">
        <v>60</v>
      </c>
      <c r="AE160" s="15"/>
      <c r="AG160">
        <v>44.479900000000001</v>
      </c>
      <c r="AH160">
        <v>-103.83083999999999</v>
      </c>
      <c r="AI160" t="s">
        <v>1618</v>
      </c>
      <c r="AJ160" t="s">
        <v>1619</v>
      </c>
      <c r="AL160" t="s">
        <v>62</v>
      </c>
      <c r="AM160" t="s">
        <v>63</v>
      </c>
      <c r="AN160" t="s">
        <v>1620</v>
      </c>
      <c r="AO160">
        <v>185954</v>
      </c>
      <c r="AQ160" t="s">
        <v>1621</v>
      </c>
      <c r="AR160" t="s">
        <v>1622</v>
      </c>
      <c r="AS160" t="s">
        <v>1623</v>
      </c>
      <c r="AT160" t="s">
        <v>68</v>
      </c>
      <c r="AU160" t="s">
        <v>1624</v>
      </c>
      <c r="AV160" t="s">
        <v>1625</v>
      </c>
      <c r="AW160" t="s">
        <v>1626</v>
      </c>
      <c r="AX160" t="s">
        <v>1627</v>
      </c>
      <c r="AY160" s="31" t="s">
        <v>1628</v>
      </c>
      <c r="BA160" s="14" t="s">
        <v>72</v>
      </c>
      <c r="BB160" s="14" t="s">
        <v>73</v>
      </c>
      <c r="BC160" s="14" t="s">
        <v>74</v>
      </c>
    </row>
    <row r="161" spans="1:55" ht="15" customHeight="1" x14ac:dyDescent="0.4">
      <c r="A161" s="12">
        <v>2584</v>
      </c>
      <c r="B161" t="s">
        <v>1629</v>
      </c>
      <c r="D161" t="s">
        <v>1630</v>
      </c>
      <c r="E161" s="13"/>
      <c r="F161" s="43" t="s">
        <v>49</v>
      </c>
      <c r="G161" s="43" t="s">
        <v>8103</v>
      </c>
      <c r="H161" s="43" t="s">
        <v>8101</v>
      </c>
      <c r="I161" s="43"/>
      <c r="J161" s="43"/>
      <c r="K161" s="65" t="str">
        <f>IFERROR(VLOOKUP(D161,Sheet4!A$1:M$56,11,FALSE),"")</f>
        <v>Based on ADMIXTURE results of 78,187 SNPs, trace admixed (Q&lt;0.10) with Quercus lobata</v>
      </c>
      <c r="L161" s="65" t="str">
        <f t="shared" si="2"/>
        <v>Based on ADMIXTURE results of 78,187 SNPs, trace admixed (Q&lt;0.10) with Quercus lobata</v>
      </c>
      <c r="M161" s="14" t="s">
        <v>49</v>
      </c>
      <c r="N161" s="15">
        <v>42965</v>
      </c>
      <c r="O161" t="s">
        <v>1449</v>
      </c>
      <c r="P161" t="s">
        <v>51</v>
      </c>
      <c r="Q161" t="s">
        <v>1450</v>
      </c>
      <c r="R161" t="s">
        <v>53</v>
      </c>
      <c r="S161" t="s">
        <v>1451</v>
      </c>
      <c r="T161" t="s">
        <v>1579</v>
      </c>
      <c r="U161" t="s">
        <v>56</v>
      </c>
      <c r="W161" s="21" t="s">
        <v>1592</v>
      </c>
      <c r="Y161" t="s">
        <v>1581</v>
      </c>
      <c r="Z161" t="s">
        <v>1631</v>
      </c>
      <c r="AA161" s="13" t="s">
        <v>1467</v>
      </c>
      <c r="AC161" t="s">
        <v>60</v>
      </c>
      <c r="AE161" s="15"/>
      <c r="AG161">
        <v>44.476500000000001</v>
      </c>
      <c r="AH161">
        <v>-103.84972</v>
      </c>
      <c r="AI161" t="s">
        <v>1632</v>
      </c>
      <c r="AJ161" t="s">
        <v>1633</v>
      </c>
      <c r="AL161" t="s">
        <v>62</v>
      </c>
      <c r="AM161" t="s">
        <v>63</v>
      </c>
      <c r="AN161" t="s">
        <v>1634</v>
      </c>
      <c r="AO161">
        <v>185955</v>
      </c>
      <c r="AQ161" t="s">
        <v>1635</v>
      </c>
      <c r="AR161" t="s">
        <v>1636</v>
      </c>
      <c r="AS161" t="s">
        <v>1637</v>
      </c>
      <c r="AT161" t="s">
        <v>68</v>
      </c>
      <c r="AV161" t="s">
        <v>1638</v>
      </c>
      <c r="AW161" t="s">
        <v>1639</v>
      </c>
      <c r="AX161" t="s">
        <v>1640</v>
      </c>
      <c r="BA161" s="14" t="s">
        <v>72</v>
      </c>
      <c r="BB161" s="14" t="s">
        <v>73</v>
      </c>
      <c r="BC161" s="14" t="s">
        <v>74</v>
      </c>
    </row>
    <row r="162" spans="1:55" ht="15" customHeight="1" x14ac:dyDescent="0.4">
      <c r="A162" s="12">
        <v>2585</v>
      </c>
      <c r="B162" t="s">
        <v>1641</v>
      </c>
      <c r="D162" t="s">
        <v>1642</v>
      </c>
      <c r="E162" s="13"/>
      <c r="F162" s="43" t="s">
        <v>49</v>
      </c>
      <c r="G162" s="43" t="s">
        <v>8103</v>
      </c>
      <c r="H162" s="43" t="s">
        <v>8101</v>
      </c>
      <c r="I162" s="43"/>
      <c r="J162" s="43"/>
      <c r="K162" s="65" t="str">
        <f>IFERROR(VLOOKUP(D162,Sheet4!A$1:M$56,11,FALSE),"")</f>
        <v>Based on ADMIXTURE results of 78,187 SNPs, admixed with Quercus lobata</v>
      </c>
      <c r="L162" s="65" t="str">
        <f t="shared" si="2"/>
        <v>Based on ADMIXTURE results of 78,187 SNPs, admixed with Quercus lobata</v>
      </c>
      <c r="M162" s="14" t="s">
        <v>49</v>
      </c>
      <c r="N162" s="15">
        <v>42965</v>
      </c>
      <c r="O162" t="s">
        <v>1449</v>
      </c>
      <c r="P162" t="s">
        <v>51</v>
      </c>
      <c r="Q162" t="s">
        <v>1450</v>
      </c>
      <c r="R162" t="s">
        <v>53</v>
      </c>
      <c r="S162" t="s">
        <v>1451</v>
      </c>
      <c r="T162" t="s">
        <v>1579</v>
      </c>
      <c r="U162" t="s">
        <v>56</v>
      </c>
      <c r="W162" s="21" t="s">
        <v>1592</v>
      </c>
      <c r="Y162" t="s">
        <v>1581</v>
      </c>
      <c r="Z162">
        <v>30</v>
      </c>
      <c r="AA162" s="13" t="s">
        <v>1479</v>
      </c>
      <c r="AC162" t="s">
        <v>78</v>
      </c>
      <c r="AD162" t="s">
        <v>562</v>
      </c>
      <c r="AE162" s="15">
        <v>45597</v>
      </c>
      <c r="AF162" t="s">
        <v>48</v>
      </c>
      <c r="AG162">
        <v>44.467329999999997</v>
      </c>
      <c r="AH162">
        <v>-103.84975</v>
      </c>
      <c r="AI162" t="s">
        <v>1643</v>
      </c>
      <c r="AJ162" t="s">
        <v>1644</v>
      </c>
      <c r="AL162" t="s">
        <v>62</v>
      </c>
      <c r="AM162" t="s">
        <v>63</v>
      </c>
      <c r="AN162" t="s">
        <v>1645</v>
      </c>
      <c r="AO162">
        <v>185956</v>
      </c>
      <c r="AQ162" t="s">
        <v>1646</v>
      </c>
      <c r="AR162" t="s">
        <v>1647</v>
      </c>
      <c r="AS162" t="s">
        <v>1648</v>
      </c>
      <c r="AT162" t="s">
        <v>68</v>
      </c>
      <c r="AV162" t="s">
        <v>1649</v>
      </c>
      <c r="AW162" t="s">
        <v>1650</v>
      </c>
      <c r="AX162" t="s">
        <v>1651</v>
      </c>
      <c r="AY162" s="31" t="s">
        <v>1652</v>
      </c>
      <c r="AZ162" s="31" t="s">
        <v>85</v>
      </c>
      <c r="BA162" s="14" t="s">
        <v>72</v>
      </c>
      <c r="BB162" s="14" t="s">
        <v>73</v>
      </c>
      <c r="BC162" s="14" t="s">
        <v>74</v>
      </c>
    </row>
    <row r="163" spans="1:55" ht="15" customHeight="1" x14ac:dyDescent="0.4">
      <c r="A163" s="12">
        <v>2586</v>
      </c>
      <c r="B163" t="s">
        <v>1653</v>
      </c>
      <c r="D163" t="s">
        <v>1654</v>
      </c>
      <c r="E163" s="13"/>
      <c r="F163" s="43" t="s">
        <v>49</v>
      </c>
      <c r="G163" s="43" t="s">
        <v>8103</v>
      </c>
      <c r="H163" s="43" t="s">
        <v>8101</v>
      </c>
      <c r="I163" s="43"/>
      <c r="J163" s="43"/>
      <c r="K163" s="65" t="str">
        <f>IFERROR(VLOOKUP(D163,Sheet4!A$1:M$56,11,FALSE),"")</f>
        <v>Based on ADMIXTURE results of 78,187 SNPs, admixed with Quercus lobata</v>
      </c>
      <c r="L163" s="65" t="str">
        <f t="shared" si="2"/>
        <v>Based on ADMIXTURE results of 78,187 SNPs, admixed with Quercus lobata</v>
      </c>
      <c r="M163" s="14" t="s">
        <v>49</v>
      </c>
      <c r="N163" s="15">
        <v>42965</v>
      </c>
      <c r="O163" t="s">
        <v>1449</v>
      </c>
      <c r="P163" t="s">
        <v>51</v>
      </c>
      <c r="Q163" t="s">
        <v>1450</v>
      </c>
      <c r="R163" t="s">
        <v>53</v>
      </c>
      <c r="S163" t="s">
        <v>1451</v>
      </c>
      <c r="T163" t="s">
        <v>1579</v>
      </c>
      <c r="U163" t="s">
        <v>56</v>
      </c>
      <c r="V163" t="s">
        <v>1655</v>
      </c>
      <c r="W163" s="21" t="s">
        <v>1656</v>
      </c>
      <c r="Y163" t="s">
        <v>1581</v>
      </c>
      <c r="Z163">
        <v>25</v>
      </c>
      <c r="AA163" s="13" t="s">
        <v>1593</v>
      </c>
      <c r="AC163" t="s">
        <v>60</v>
      </c>
      <c r="AE163" s="15"/>
      <c r="AG163">
        <v>44.463079999999998</v>
      </c>
      <c r="AH163">
        <v>-103.85467</v>
      </c>
      <c r="AI163" t="s">
        <v>1657</v>
      </c>
      <c r="AJ163" t="s">
        <v>1658</v>
      </c>
      <c r="AL163" t="s">
        <v>62</v>
      </c>
      <c r="AM163" t="s">
        <v>63</v>
      </c>
      <c r="AN163" t="s">
        <v>1659</v>
      </c>
      <c r="AO163">
        <v>185957</v>
      </c>
      <c r="AQ163" t="s">
        <v>1660</v>
      </c>
      <c r="AR163" t="s">
        <v>1661</v>
      </c>
      <c r="AS163" t="s">
        <v>1662</v>
      </c>
      <c r="AT163" t="s">
        <v>68</v>
      </c>
      <c r="AV163" t="s">
        <v>1663</v>
      </c>
      <c r="AW163" t="s">
        <v>1664</v>
      </c>
      <c r="AX163" t="s">
        <v>1665</v>
      </c>
      <c r="BA163" s="14" t="s">
        <v>72</v>
      </c>
      <c r="BB163" s="14" t="s">
        <v>73</v>
      </c>
      <c r="BC163" s="14" t="s">
        <v>74</v>
      </c>
    </row>
    <row r="164" spans="1:55" ht="15" customHeight="1" x14ac:dyDescent="0.4">
      <c r="A164" s="12">
        <v>2587</v>
      </c>
      <c r="B164" t="s">
        <v>1666</v>
      </c>
      <c r="D164" t="s">
        <v>1667</v>
      </c>
      <c r="E164" s="13"/>
      <c r="F164" s="43" t="s">
        <v>49</v>
      </c>
      <c r="G164" s="43" t="s">
        <v>8103</v>
      </c>
      <c r="H164" s="43" t="s">
        <v>8101</v>
      </c>
      <c r="I164" s="43"/>
      <c r="J164" s="43"/>
      <c r="K164" s="65" t="str">
        <f>IFERROR(VLOOKUP(D164,Sheet4!A$1:M$56,11,FALSE),"")</f>
        <v/>
      </c>
      <c r="L164" s="65" t="str">
        <f t="shared" si="2"/>
        <v/>
      </c>
      <c r="M164" s="14" t="s">
        <v>49</v>
      </c>
      <c r="N164" s="15">
        <v>42965</v>
      </c>
      <c r="O164" t="s">
        <v>1449</v>
      </c>
      <c r="P164" t="s">
        <v>51</v>
      </c>
      <c r="Q164" t="s">
        <v>1450</v>
      </c>
      <c r="R164" t="s">
        <v>53</v>
      </c>
      <c r="S164" t="s">
        <v>1451</v>
      </c>
      <c r="T164" t="s">
        <v>1579</v>
      </c>
      <c r="U164" t="s">
        <v>56</v>
      </c>
      <c r="V164" t="s">
        <v>1655</v>
      </c>
      <c r="W164" s="21" t="s">
        <v>1656</v>
      </c>
      <c r="Y164" t="s">
        <v>1581</v>
      </c>
      <c r="Z164">
        <v>25</v>
      </c>
      <c r="AA164" s="13" t="s">
        <v>1456</v>
      </c>
      <c r="AC164" t="s">
        <v>60</v>
      </c>
      <c r="AE164" s="15"/>
      <c r="AG164">
        <v>44.456159999999997</v>
      </c>
      <c r="AH164">
        <v>-103.86291</v>
      </c>
      <c r="AI164" t="s">
        <v>1657</v>
      </c>
      <c r="AJ164" t="s">
        <v>1668</v>
      </c>
      <c r="AL164" t="s">
        <v>62</v>
      </c>
      <c r="AM164" t="s">
        <v>63</v>
      </c>
      <c r="AN164" t="s">
        <v>1669</v>
      </c>
      <c r="AO164">
        <v>185958</v>
      </c>
      <c r="AQ164" t="s">
        <v>1670</v>
      </c>
      <c r="AR164" t="s">
        <v>1671</v>
      </c>
      <c r="AS164" t="s">
        <v>1672</v>
      </c>
      <c r="AT164" t="s">
        <v>68</v>
      </c>
      <c r="AV164" t="s">
        <v>1673</v>
      </c>
      <c r="AW164" t="s">
        <v>1674</v>
      </c>
      <c r="AX164" t="s">
        <v>1675</v>
      </c>
      <c r="BA164" s="14" t="s">
        <v>72</v>
      </c>
      <c r="BB164" s="14" t="s">
        <v>73</v>
      </c>
      <c r="BC164" s="14" t="s">
        <v>74</v>
      </c>
    </row>
    <row r="165" spans="1:55" ht="15" customHeight="1" x14ac:dyDescent="0.4">
      <c r="A165" s="12">
        <v>2588</v>
      </c>
      <c r="B165" t="s">
        <v>1676</v>
      </c>
      <c r="D165" t="s">
        <v>1677</v>
      </c>
      <c r="E165" s="13"/>
      <c r="F165" s="43" t="s">
        <v>49</v>
      </c>
      <c r="G165" s="43" t="s">
        <v>8103</v>
      </c>
      <c r="H165" s="43" t="s">
        <v>8101</v>
      </c>
      <c r="I165" s="43"/>
      <c r="J165" s="43"/>
      <c r="K165" s="65" t="str">
        <f>IFERROR(VLOOKUP(D165,Sheet4!A$1:M$56,11,FALSE),"")</f>
        <v>Based on ADMIXTURE results of 78,187 SNPs, trace admixed (Q&lt;0.10) with Quercus lobata</v>
      </c>
      <c r="L165" s="65" t="str">
        <f t="shared" si="2"/>
        <v>Based on ADMIXTURE results of 78,187 SNPs, trace admixed (Q&lt;0.10) with Quercus lobata</v>
      </c>
      <c r="M165" s="14" t="s">
        <v>49</v>
      </c>
      <c r="N165" s="15">
        <v>42965</v>
      </c>
      <c r="O165" t="s">
        <v>1449</v>
      </c>
      <c r="P165" t="s">
        <v>51</v>
      </c>
      <c r="Q165" t="s">
        <v>1450</v>
      </c>
      <c r="R165" t="s">
        <v>53</v>
      </c>
      <c r="S165" t="s">
        <v>1451</v>
      </c>
      <c r="T165" t="s">
        <v>1579</v>
      </c>
      <c r="U165" t="s">
        <v>56</v>
      </c>
      <c r="V165" t="s">
        <v>1655</v>
      </c>
      <c r="W165" s="21" t="s">
        <v>1656</v>
      </c>
      <c r="Y165" t="s">
        <v>1581</v>
      </c>
      <c r="Z165">
        <v>25</v>
      </c>
      <c r="AA165" s="13" t="s">
        <v>1582</v>
      </c>
      <c r="AC165" t="s">
        <v>60</v>
      </c>
      <c r="AE165" s="15"/>
      <c r="AG165">
        <v>44.450530000000001</v>
      </c>
      <c r="AH165">
        <v>-103.86418999999999</v>
      </c>
      <c r="AI165" t="s">
        <v>1678</v>
      </c>
      <c r="AJ165" t="s">
        <v>1679</v>
      </c>
      <c r="AL165" t="s">
        <v>62</v>
      </c>
      <c r="AM165" t="s">
        <v>63</v>
      </c>
      <c r="AN165" t="s">
        <v>1680</v>
      </c>
      <c r="AO165">
        <v>185959</v>
      </c>
      <c r="AQ165" t="s">
        <v>1681</v>
      </c>
      <c r="AR165" t="s">
        <v>1682</v>
      </c>
      <c r="AS165" t="s">
        <v>1683</v>
      </c>
      <c r="AT165" t="s">
        <v>68</v>
      </c>
      <c r="AV165" t="s">
        <v>1684</v>
      </c>
      <c r="AW165" t="s">
        <v>1685</v>
      </c>
      <c r="AX165" t="s">
        <v>1686</v>
      </c>
      <c r="BA165" s="14" t="s">
        <v>72</v>
      </c>
      <c r="BB165" s="14" t="s">
        <v>73</v>
      </c>
      <c r="BC165" s="14" t="s">
        <v>74</v>
      </c>
    </row>
    <row r="166" spans="1:55" ht="15" customHeight="1" x14ac:dyDescent="0.4">
      <c r="A166" s="12">
        <v>2589</v>
      </c>
      <c r="B166" t="s">
        <v>1687</v>
      </c>
      <c r="D166" t="s">
        <v>1688</v>
      </c>
      <c r="E166" s="13"/>
      <c r="F166" s="43" t="s">
        <v>49</v>
      </c>
      <c r="G166" s="43" t="s">
        <v>8103</v>
      </c>
      <c r="H166" s="43" t="s">
        <v>8101</v>
      </c>
      <c r="I166" s="43"/>
      <c r="J166" s="43"/>
      <c r="K166" s="65" t="str">
        <f>IFERROR(VLOOKUP(D166,Sheet4!A$1:M$56,11,FALSE),"")</f>
        <v>Based on ADMIXTURE results of 78,187 SNPs, trace admixed (Q&lt;0.10) with Quercus lobata</v>
      </c>
      <c r="L166" s="65" t="str">
        <f t="shared" si="2"/>
        <v>Based on ADMIXTURE results of 78,187 SNPs, trace admixed (Q&lt;0.10) with Quercus lobata</v>
      </c>
      <c r="M166" s="14" t="s">
        <v>49</v>
      </c>
      <c r="N166" s="15">
        <v>42965</v>
      </c>
      <c r="O166" t="s">
        <v>1449</v>
      </c>
      <c r="P166" t="s">
        <v>51</v>
      </c>
      <c r="Q166" t="s">
        <v>1450</v>
      </c>
      <c r="R166" t="s">
        <v>53</v>
      </c>
      <c r="S166" t="s">
        <v>1451</v>
      </c>
      <c r="T166" t="s">
        <v>1579</v>
      </c>
      <c r="U166" t="s">
        <v>56</v>
      </c>
      <c r="V166" t="s">
        <v>1655</v>
      </c>
      <c r="W166" s="21" t="s">
        <v>1656</v>
      </c>
      <c r="Y166" t="s">
        <v>1581</v>
      </c>
      <c r="Z166">
        <v>30</v>
      </c>
      <c r="AA166" s="13" t="s">
        <v>1689</v>
      </c>
      <c r="AC166" t="s">
        <v>78</v>
      </c>
      <c r="AD166" t="s">
        <v>562</v>
      </c>
      <c r="AE166" s="15">
        <v>45597</v>
      </c>
      <c r="AF166" t="s">
        <v>48</v>
      </c>
      <c r="AG166">
        <v>44.433700000000002</v>
      </c>
      <c r="AH166">
        <v>-103.87411</v>
      </c>
      <c r="AI166" t="s">
        <v>1690</v>
      </c>
      <c r="AJ166" t="s">
        <v>1691</v>
      </c>
      <c r="AL166" t="s">
        <v>62</v>
      </c>
      <c r="AM166" t="s">
        <v>63</v>
      </c>
      <c r="AN166" t="s">
        <v>1692</v>
      </c>
      <c r="AO166">
        <v>185960</v>
      </c>
      <c r="AQ166" t="s">
        <v>1693</v>
      </c>
      <c r="AR166" t="s">
        <v>1694</v>
      </c>
      <c r="AS166" t="s">
        <v>1695</v>
      </c>
      <c r="AT166" t="s">
        <v>68</v>
      </c>
      <c r="AV166" t="s">
        <v>1696</v>
      </c>
      <c r="AW166" t="s">
        <v>1697</v>
      </c>
      <c r="AX166" t="s">
        <v>1698</v>
      </c>
      <c r="AY166" s="31" t="s">
        <v>1699</v>
      </c>
      <c r="AZ166" s="31" t="s">
        <v>85</v>
      </c>
      <c r="BA166" s="14" t="s">
        <v>72</v>
      </c>
      <c r="BB166" s="14" t="s">
        <v>73</v>
      </c>
      <c r="BC166" s="14" t="s">
        <v>74</v>
      </c>
    </row>
    <row r="167" spans="1:55" ht="15" customHeight="1" x14ac:dyDescent="0.4">
      <c r="A167" s="12">
        <v>2579</v>
      </c>
      <c r="B167" t="s">
        <v>1562</v>
      </c>
      <c r="D167" t="s">
        <v>1563</v>
      </c>
      <c r="E167" s="13"/>
      <c r="F167" s="41"/>
      <c r="G167" s="41"/>
      <c r="H167" s="41"/>
      <c r="I167" s="41"/>
      <c r="J167" s="41"/>
      <c r="K167" s="65" t="str">
        <f>IFERROR(VLOOKUP(D167,Sheet4!A$1:M$56,11,FALSE),"")</f>
        <v/>
      </c>
      <c r="L167" s="65" t="str">
        <f t="shared" si="2"/>
        <v/>
      </c>
      <c r="M167" s="14" t="s">
        <v>49</v>
      </c>
      <c r="N167" s="15">
        <v>42965</v>
      </c>
      <c r="O167" t="s">
        <v>1449</v>
      </c>
      <c r="P167" t="s">
        <v>51</v>
      </c>
      <c r="Q167" t="s">
        <v>1450</v>
      </c>
      <c r="R167" t="s">
        <v>53</v>
      </c>
      <c r="S167" t="s">
        <v>1451</v>
      </c>
      <c r="T167" t="s">
        <v>1452</v>
      </c>
      <c r="U167" t="s">
        <v>56</v>
      </c>
      <c r="W167" s="21" t="s">
        <v>1564</v>
      </c>
      <c r="Y167" t="s">
        <v>1455</v>
      </c>
      <c r="Z167" t="s">
        <v>1565</v>
      </c>
      <c r="AA167" s="13" t="s">
        <v>1566</v>
      </c>
      <c r="AC167" t="s">
        <v>60</v>
      </c>
      <c r="AE167" s="15"/>
      <c r="AG167">
        <v>43.816839999999999</v>
      </c>
      <c r="AH167">
        <v>-103.25005</v>
      </c>
      <c r="AI167" t="s">
        <v>1567</v>
      </c>
      <c r="AJ167" t="s">
        <v>1568</v>
      </c>
      <c r="AL167" t="s">
        <v>62</v>
      </c>
      <c r="AM167" t="s">
        <v>63</v>
      </c>
      <c r="AN167" t="s">
        <v>1569</v>
      </c>
      <c r="AO167">
        <v>185951</v>
      </c>
      <c r="AQ167" t="s">
        <v>1570</v>
      </c>
      <c r="AR167" t="s">
        <v>1571</v>
      </c>
      <c r="AS167" t="s">
        <v>1572</v>
      </c>
      <c r="AT167" t="s">
        <v>68</v>
      </c>
      <c r="AV167" t="s">
        <v>1573</v>
      </c>
      <c r="AW167" t="s">
        <v>1574</v>
      </c>
      <c r="AX167" t="s">
        <v>1575</v>
      </c>
      <c r="AY167" s="31" t="s">
        <v>1576</v>
      </c>
      <c r="AZ167" s="31" t="s">
        <v>85</v>
      </c>
      <c r="BA167" s="14" t="s">
        <v>72</v>
      </c>
      <c r="BB167" s="14" t="s">
        <v>73</v>
      </c>
      <c r="BC167" s="14" t="s">
        <v>74</v>
      </c>
    </row>
    <row r="168" spans="1:55" s="34" customFormat="1" ht="15" customHeight="1" x14ac:dyDescent="0.4">
      <c r="A168" s="33">
        <v>3798</v>
      </c>
      <c r="B168" s="37" t="s">
        <v>5448</v>
      </c>
      <c r="C168" s="35" t="s">
        <v>5449</v>
      </c>
      <c r="D168" s="55" t="s">
        <v>5449</v>
      </c>
      <c r="E168" s="35"/>
      <c r="F168" s="42" t="s">
        <v>1829</v>
      </c>
      <c r="G168" s="42" t="s">
        <v>8145</v>
      </c>
      <c r="H168" s="42"/>
      <c r="I168" s="42"/>
      <c r="J168" s="42" t="s">
        <v>8145</v>
      </c>
      <c r="K168" s="65" t="str">
        <f>IFERROR(VLOOKUP(D168,Sheet4!A$1:M$56,11,FALSE),"")</f>
        <v/>
      </c>
      <c r="L168" s="65" t="str">
        <f t="shared" si="2"/>
        <v>genomically</v>
      </c>
      <c r="M168" s="34" t="s">
        <v>3090</v>
      </c>
      <c r="N168" s="15">
        <v>44776</v>
      </c>
      <c r="O168" t="s">
        <v>2719</v>
      </c>
      <c r="P168" t="s">
        <v>51</v>
      </c>
      <c r="Q168" t="s">
        <v>52</v>
      </c>
      <c r="R168" t="s">
        <v>53</v>
      </c>
      <c r="S168" t="s">
        <v>651</v>
      </c>
      <c r="T168" t="s">
        <v>1708</v>
      </c>
      <c r="U168" t="s">
        <v>56</v>
      </c>
      <c r="V168" s="21" t="s">
        <v>5450</v>
      </c>
      <c r="W168" s="21"/>
      <c r="X168" t="s">
        <v>3394</v>
      </c>
      <c r="Y168" t="s">
        <v>5451</v>
      </c>
      <c r="Z168"/>
      <c r="AA168"/>
      <c r="AB168" t="s">
        <v>1758</v>
      </c>
      <c r="AC168" s="34" t="s">
        <v>3096</v>
      </c>
      <c r="AE168" s="36"/>
      <c r="AG168" s="34">
        <v>38.917271999999997</v>
      </c>
      <c r="AH168" s="34">
        <v>-94.973530999999994</v>
      </c>
      <c r="AI168" s="34" t="s">
        <v>1406</v>
      </c>
      <c r="AL168" s="34" t="s">
        <v>1715</v>
      </c>
      <c r="AM168" s="34" t="s">
        <v>63</v>
      </c>
      <c r="AN168" s="34" t="s">
        <v>5452</v>
      </c>
      <c r="AO168" s="34">
        <v>194554</v>
      </c>
      <c r="AQ168" s="34" t="s">
        <v>5453</v>
      </c>
      <c r="AR168" s="34" t="s">
        <v>5454</v>
      </c>
      <c r="AS168" s="34" t="s">
        <v>5455</v>
      </c>
      <c r="AT168" s="34" t="s">
        <v>68</v>
      </c>
      <c r="AV168" s="34" t="s">
        <v>5456</v>
      </c>
      <c r="AW168" s="34" t="s">
        <v>5457</v>
      </c>
      <c r="AX168" s="34" t="s">
        <v>5458</v>
      </c>
      <c r="BA168" s="34" t="s">
        <v>72</v>
      </c>
      <c r="BB168" s="34" t="s">
        <v>73</v>
      </c>
      <c r="BC168" s="34" t="s">
        <v>74</v>
      </c>
    </row>
    <row r="169" spans="1:55" ht="15" customHeight="1" x14ac:dyDescent="0.4">
      <c r="A169" s="12">
        <v>3799</v>
      </c>
      <c r="B169" s="21" t="s">
        <v>5459</v>
      </c>
      <c r="C169" s="13" t="s">
        <v>5460</v>
      </c>
      <c r="D169" s="25" t="s">
        <v>5460</v>
      </c>
      <c r="E169" s="13"/>
      <c r="F169" s="41"/>
      <c r="G169" s="41"/>
      <c r="H169" s="41"/>
      <c r="I169" s="41"/>
      <c r="J169" s="41" t="s">
        <v>8180</v>
      </c>
      <c r="K169" s="65" t="str">
        <f>IFERROR(VLOOKUP(D169,Sheet4!A$1:M$56,11,FALSE),"")</f>
        <v/>
      </c>
      <c r="L169" s="65" t="str">
        <f t="shared" si="2"/>
        <v>May have genomic admixture with Q. muehlenbergii</v>
      </c>
      <c r="M169" s="14" t="s">
        <v>3090</v>
      </c>
      <c r="N169" s="15">
        <v>44776</v>
      </c>
      <c r="O169" t="s">
        <v>2719</v>
      </c>
      <c r="P169" t="s">
        <v>51</v>
      </c>
      <c r="Q169" t="s">
        <v>52</v>
      </c>
      <c r="R169" t="s">
        <v>53</v>
      </c>
      <c r="S169" t="s">
        <v>651</v>
      </c>
      <c r="T169" t="s">
        <v>1708</v>
      </c>
      <c r="U169" t="s">
        <v>56</v>
      </c>
      <c r="V169" s="21" t="s">
        <v>5450</v>
      </c>
      <c r="W169" s="21"/>
      <c r="X169" t="s">
        <v>5461</v>
      </c>
      <c r="Y169" t="s">
        <v>5462</v>
      </c>
      <c r="AB169" t="s">
        <v>1758</v>
      </c>
      <c r="AC169" t="s">
        <v>3096</v>
      </c>
      <c r="AE169" s="15"/>
      <c r="AG169">
        <v>38.917033000000004</v>
      </c>
      <c r="AH169">
        <v>-94.973636999999997</v>
      </c>
      <c r="AI169" t="s">
        <v>4892</v>
      </c>
      <c r="AL169" t="s">
        <v>1715</v>
      </c>
      <c r="AM169" t="s">
        <v>63</v>
      </c>
      <c r="AN169" t="s">
        <v>5463</v>
      </c>
      <c r="AO169">
        <v>194553</v>
      </c>
      <c r="AQ169" t="s">
        <v>5464</v>
      </c>
      <c r="AR169" t="s">
        <v>5465</v>
      </c>
      <c r="AS169" t="s">
        <v>5466</v>
      </c>
      <c r="AT169" t="s">
        <v>68</v>
      </c>
      <c r="AV169" t="s">
        <v>5467</v>
      </c>
      <c r="AW169" t="s">
        <v>5468</v>
      </c>
      <c r="AX169" t="s">
        <v>5469</v>
      </c>
      <c r="BA169" s="14" t="s">
        <v>72</v>
      </c>
      <c r="BB169" s="14" t="s">
        <v>73</v>
      </c>
      <c r="BC169" s="14" t="s">
        <v>74</v>
      </c>
    </row>
    <row r="170" spans="1:55" ht="15" customHeight="1" x14ac:dyDescent="0.4">
      <c r="A170" s="12">
        <v>3800</v>
      </c>
      <c r="B170" s="21" t="s">
        <v>5470</v>
      </c>
      <c r="C170" s="13" t="s">
        <v>5471</v>
      </c>
      <c r="D170" s="25" t="s">
        <v>5471</v>
      </c>
      <c r="E170" s="13"/>
      <c r="F170" s="41"/>
      <c r="G170" s="41"/>
      <c r="H170" s="41"/>
      <c r="I170" s="41"/>
      <c r="J170" s="41"/>
      <c r="K170" s="65" t="str">
        <f>IFERROR(VLOOKUP(D170,Sheet4!A$1:M$56,11,FALSE),"")</f>
        <v/>
      </c>
      <c r="L170" s="65" t="str">
        <f t="shared" si="2"/>
        <v/>
      </c>
      <c r="M170" s="14" t="s">
        <v>49</v>
      </c>
      <c r="N170" s="15">
        <v>44777</v>
      </c>
      <c r="O170" t="s">
        <v>2719</v>
      </c>
      <c r="P170" t="s">
        <v>51</v>
      </c>
      <c r="Q170" t="s">
        <v>52</v>
      </c>
      <c r="R170" t="s">
        <v>53</v>
      </c>
      <c r="S170" t="s">
        <v>651</v>
      </c>
      <c r="T170" t="s">
        <v>5472</v>
      </c>
      <c r="U170" t="s">
        <v>56</v>
      </c>
      <c r="V170" s="21" t="s">
        <v>5473</v>
      </c>
      <c r="W170" s="21"/>
      <c r="X170" t="s">
        <v>5474</v>
      </c>
      <c r="Y170" t="s">
        <v>5475</v>
      </c>
      <c r="AC170" t="s">
        <v>60</v>
      </c>
      <c r="AE170" s="15"/>
      <c r="AG170">
        <v>39.106898999999999</v>
      </c>
      <c r="AH170">
        <v>-96.607647</v>
      </c>
      <c r="AI170" t="s">
        <v>5476</v>
      </c>
      <c r="AL170" t="s">
        <v>1715</v>
      </c>
      <c r="AM170" t="s">
        <v>63</v>
      </c>
      <c r="AN170" t="s">
        <v>5477</v>
      </c>
      <c r="AO170">
        <v>194456</v>
      </c>
      <c r="AQ170" t="s">
        <v>5478</v>
      </c>
      <c r="AR170" t="s">
        <v>5479</v>
      </c>
      <c r="AS170" t="s">
        <v>5480</v>
      </c>
      <c r="AT170" t="s">
        <v>68</v>
      </c>
      <c r="AV170" t="s">
        <v>5481</v>
      </c>
      <c r="AW170" t="s">
        <v>5482</v>
      </c>
      <c r="AX170" t="s">
        <v>5483</v>
      </c>
      <c r="BA170" s="14" t="s">
        <v>72</v>
      </c>
      <c r="BB170" s="14" t="s">
        <v>73</v>
      </c>
      <c r="BC170" s="14" t="s">
        <v>74</v>
      </c>
    </row>
    <row r="171" spans="1:55" ht="15" customHeight="1" x14ac:dyDescent="0.4">
      <c r="A171" s="12">
        <v>3801</v>
      </c>
      <c r="B171" s="21" t="s">
        <v>5484</v>
      </c>
      <c r="C171" s="13" t="s">
        <v>5485</v>
      </c>
      <c r="D171" s="25" t="s">
        <v>5485</v>
      </c>
      <c r="E171" s="13"/>
      <c r="F171" s="41"/>
      <c r="G171" s="41"/>
      <c r="H171" s="41"/>
      <c r="I171" s="41"/>
      <c r="J171" s="41"/>
      <c r="K171" s="65" t="str">
        <f>IFERROR(VLOOKUP(D171,Sheet4!A$1:M$56,11,FALSE),"")</f>
        <v/>
      </c>
      <c r="L171" s="65" t="str">
        <f t="shared" si="2"/>
        <v/>
      </c>
      <c r="M171" s="14" t="s">
        <v>49</v>
      </c>
      <c r="N171" s="15">
        <v>44777</v>
      </c>
      <c r="O171" t="s">
        <v>2719</v>
      </c>
      <c r="P171" t="s">
        <v>51</v>
      </c>
      <c r="Q171" t="s">
        <v>52</v>
      </c>
      <c r="R171" t="s">
        <v>53</v>
      </c>
      <c r="S171" t="s">
        <v>651</v>
      </c>
      <c r="T171" t="s">
        <v>5472</v>
      </c>
      <c r="U171" t="s">
        <v>56</v>
      </c>
      <c r="V171" s="21" t="s">
        <v>5473</v>
      </c>
      <c r="W171" s="21"/>
      <c r="X171" t="s">
        <v>5486</v>
      </c>
      <c r="Y171" t="s">
        <v>5487</v>
      </c>
      <c r="AB171" t="s">
        <v>1758</v>
      </c>
      <c r="AC171" t="s">
        <v>60</v>
      </c>
      <c r="AE171" s="15"/>
      <c r="AG171">
        <v>39.107655999999999</v>
      </c>
      <c r="AH171">
        <v>-96.606831999999997</v>
      </c>
      <c r="AI171" t="s">
        <v>5488</v>
      </c>
      <c r="AL171" t="s">
        <v>1715</v>
      </c>
      <c r="AM171" t="s">
        <v>63</v>
      </c>
      <c r="AN171" t="s">
        <v>5489</v>
      </c>
      <c r="AO171">
        <v>194453</v>
      </c>
      <c r="AQ171" t="s">
        <v>5490</v>
      </c>
      <c r="AR171" t="s">
        <v>5491</v>
      </c>
      <c r="AS171" t="s">
        <v>5492</v>
      </c>
      <c r="AT171" t="s">
        <v>68</v>
      </c>
      <c r="AV171" t="s">
        <v>5493</v>
      </c>
      <c r="AW171" t="s">
        <v>5494</v>
      </c>
      <c r="AX171" t="s">
        <v>5495</v>
      </c>
      <c r="BA171" s="14" t="s">
        <v>72</v>
      </c>
      <c r="BB171" s="14" t="s">
        <v>73</v>
      </c>
      <c r="BC171" s="14" t="s">
        <v>74</v>
      </c>
    </row>
    <row r="172" spans="1:55" ht="15" customHeight="1" x14ac:dyDescent="0.4">
      <c r="A172" s="12">
        <v>3802</v>
      </c>
      <c r="B172" s="21" t="s">
        <v>5496</v>
      </c>
      <c r="C172" s="13" t="s">
        <v>5497</v>
      </c>
      <c r="D172" s="25" t="s">
        <v>5497</v>
      </c>
      <c r="E172" s="13"/>
      <c r="F172" s="41"/>
      <c r="G172" s="41"/>
      <c r="H172" s="41"/>
      <c r="I172" s="41"/>
      <c r="J172" s="41" t="s">
        <v>8177</v>
      </c>
      <c r="K172" s="65" t="str">
        <f>IFERROR(VLOOKUP(D172,Sheet4!A$1:M$56,11,FALSE),"")</f>
        <v/>
      </c>
      <c r="L172" s="65" t="str">
        <f t="shared" si="2"/>
        <v>May have genomic admixture with Q. prinoides</v>
      </c>
      <c r="M172" s="14" t="s">
        <v>1829</v>
      </c>
      <c r="N172" s="15">
        <v>44777</v>
      </c>
      <c r="O172" t="s">
        <v>2719</v>
      </c>
      <c r="P172" t="s">
        <v>51</v>
      </c>
      <c r="Q172" t="s">
        <v>52</v>
      </c>
      <c r="R172" t="s">
        <v>53</v>
      </c>
      <c r="S172" t="s">
        <v>651</v>
      </c>
      <c r="T172" t="s">
        <v>5472</v>
      </c>
      <c r="U172" t="s">
        <v>56</v>
      </c>
      <c r="V172" s="21" t="s">
        <v>5473</v>
      </c>
      <c r="W172" s="21"/>
      <c r="X172" t="s">
        <v>5498</v>
      </c>
      <c r="Y172" t="s">
        <v>5499</v>
      </c>
      <c r="AB172" t="s">
        <v>2336</v>
      </c>
      <c r="AC172" t="s">
        <v>1832</v>
      </c>
      <c r="AE172" s="15"/>
      <c r="AG172">
        <v>39.107928999999999</v>
      </c>
      <c r="AH172">
        <v>-96.605811000000003</v>
      </c>
      <c r="AI172" t="s">
        <v>5500</v>
      </c>
      <c r="AL172" t="s">
        <v>1715</v>
      </c>
      <c r="AM172" t="s">
        <v>63</v>
      </c>
      <c r="AN172" t="s">
        <v>5501</v>
      </c>
      <c r="AO172">
        <v>194492</v>
      </c>
      <c r="AQ172" t="s">
        <v>5502</v>
      </c>
      <c r="AR172" t="s">
        <v>5503</v>
      </c>
      <c r="AS172" t="s">
        <v>5504</v>
      </c>
      <c r="AT172" t="s">
        <v>68</v>
      </c>
      <c r="AV172" t="s">
        <v>5505</v>
      </c>
      <c r="AW172" t="s">
        <v>5506</v>
      </c>
      <c r="AX172" t="s">
        <v>5507</v>
      </c>
      <c r="BA172" s="14" t="s">
        <v>72</v>
      </c>
      <c r="BB172" s="14" t="s">
        <v>73</v>
      </c>
      <c r="BC172" s="14" t="s">
        <v>74</v>
      </c>
    </row>
    <row r="173" spans="1:55" ht="15" customHeight="1" x14ac:dyDescent="0.4">
      <c r="A173" s="12">
        <v>3803</v>
      </c>
      <c r="B173" s="21" t="s">
        <v>5508</v>
      </c>
      <c r="C173" s="13" t="s">
        <v>5509</v>
      </c>
      <c r="D173" s="25" t="s">
        <v>5509</v>
      </c>
      <c r="E173" s="13"/>
      <c r="F173" s="41"/>
      <c r="G173" s="41"/>
      <c r="H173" s="41"/>
      <c r="I173" s="41"/>
      <c r="J173" s="41"/>
      <c r="K173" s="65" t="str">
        <f>IFERROR(VLOOKUP(D173,Sheet4!A$1:M$56,11,FALSE),"")</f>
        <v/>
      </c>
      <c r="L173" s="65" t="str">
        <f t="shared" si="2"/>
        <v/>
      </c>
      <c r="M173" s="14" t="s">
        <v>49</v>
      </c>
      <c r="N173" s="15">
        <v>44777</v>
      </c>
      <c r="O173" t="s">
        <v>2719</v>
      </c>
      <c r="P173" t="s">
        <v>51</v>
      </c>
      <c r="Q173" t="s">
        <v>52</v>
      </c>
      <c r="R173" t="s">
        <v>53</v>
      </c>
      <c r="S173" t="s">
        <v>651</v>
      </c>
      <c r="T173" t="s">
        <v>5472</v>
      </c>
      <c r="U173" t="s">
        <v>56</v>
      </c>
      <c r="V173" s="21" t="s">
        <v>5473</v>
      </c>
      <c r="W173" s="21"/>
      <c r="X173" t="s">
        <v>5510</v>
      </c>
      <c r="Y173" t="s">
        <v>5511</v>
      </c>
      <c r="AB173" t="s">
        <v>1758</v>
      </c>
      <c r="AC173" t="s">
        <v>60</v>
      </c>
      <c r="AE173" s="15"/>
      <c r="AG173">
        <v>39.107911000000001</v>
      </c>
      <c r="AH173">
        <v>-96.604941999999994</v>
      </c>
      <c r="AI173" t="s">
        <v>5512</v>
      </c>
      <c r="AL173" t="s">
        <v>1715</v>
      </c>
      <c r="AM173" t="s">
        <v>63</v>
      </c>
      <c r="AN173" t="s">
        <v>5513</v>
      </c>
      <c r="AO173">
        <v>194452</v>
      </c>
      <c r="AQ173" t="s">
        <v>5514</v>
      </c>
      <c r="AR173" t="s">
        <v>5515</v>
      </c>
      <c r="AS173" t="s">
        <v>5516</v>
      </c>
      <c r="AT173" t="s">
        <v>68</v>
      </c>
      <c r="AV173" t="s">
        <v>5517</v>
      </c>
      <c r="AW173" t="s">
        <v>5518</v>
      </c>
      <c r="AX173" t="s">
        <v>5519</v>
      </c>
      <c r="BA173" s="14" t="s">
        <v>72</v>
      </c>
      <c r="BB173" s="14" t="s">
        <v>73</v>
      </c>
      <c r="BC173" s="14" t="s">
        <v>74</v>
      </c>
    </row>
    <row r="174" spans="1:55" ht="15" customHeight="1" x14ac:dyDescent="0.4">
      <c r="A174" s="12">
        <v>3804</v>
      </c>
      <c r="B174" s="21" t="s">
        <v>5520</v>
      </c>
      <c r="C174" s="13" t="s">
        <v>5521</v>
      </c>
      <c r="D174" s="25" t="s">
        <v>5521</v>
      </c>
      <c r="E174" s="13"/>
      <c r="F174" s="41"/>
      <c r="G174" s="41"/>
      <c r="H174" s="41"/>
      <c r="I174" s="41"/>
      <c r="J174" s="41"/>
      <c r="K174" s="65" t="str">
        <f>IFERROR(VLOOKUP(D174,Sheet4!A$1:M$56,11,FALSE),"")</f>
        <v/>
      </c>
      <c r="L174" s="65" t="str">
        <f t="shared" si="2"/>
        <v/>
      </c>
      <c r="M174" s="14" t="s">
        <v>1829</v>
      </c>
      <c r="N174" s="15">
        <v>44777</v>
      </c>
      <c r="O174" t="s">
        <v>2719</v>
      </c>
      <c r="P174" t="s">
        <v>51</v>
      </c>
      <c r="Q174" t="s">
        <v>52</v>
      </c>
      <c r="R174" t="s">
        <v>53</v>
      </c>
      <c r="S174" t="s">
        <v>651</v>
      </c>
      <c r="T174" t="s">
        <v>5472</v>
      </c>
      <c r="U174" t="s">
        <v>56</v>
      </c>
      <c r="V174" s="21" t="s">
        <v>5473</v>
      </c>
      <c r="W174" s="21"/>
      <c r="X174" t="s">
        <v>5522</v>
      </c>
      <c r="Y174" t="s">
        <v>5523</v>
      </c>
      <c r="AB174" t="s">
        <v>1758</v>
      </c>
      <c r="AC174" t="s">
        <v>1832</v>
      </c>
      <c r="AE174" s="15"/>
      <c r="AG174">
        <v>39.107902000000003</v>
      </c>
      <c r="AH174">
        <v>-96.604707000000005</v>
      </c>
      <c r="AI174" t="s">
        <v>143</v>
      </c>
      <c r="AL174" t="s">
        <v>1715</v>
      </c>
      <c r="AM174" t="s">
        <v>63</v>
      </c>
      <c r="AN174" t="s">
        <v>5524</v>
      </c>
      <c r="AO174">
        <v>194489</v>
      </c>
      <c r="AQ174" t="s">
        <v>5525</v>
      </c>
      <c r="AR174" t="s">
        <v>5526</v>
      </c>
      <c r="AS174" t="s">
        <v>5527</v>
      </c>
      <c r="AT174" t="s">
        <v>68</v>
      </c>
      <c r="AV174" t="s">
        <v>5528</v>
      </c>
      <c r="AW174" t="s">
        <v>5529</v>
      </c>
      <c r="AX174" t="s">
        <v>5530</v>
      </c>
      <c r="BA174" s="14" t="s">
        <v>72</v>
      </c>
      <c r="BB174" s="14" t="s">
        <v>73</v>
      </c>
      <c r="BC174" s="14" t="s">
        <v>74</v>
      </c>
    </row>
    <row r="175" spans="1:55" ht="15" customHeight="1" x14ac:dyDescent="0.4">
      <c r="A175" s="12">
        <v>3805</v>
      </c>
      <c r="B175" s="21" t="s">
        <v>5531</v>
      </c>
      <c r="C175" s="13" t="s">
        <v>5532</v>
      </c>
      <c r="D175" s="25" t="s">
        <v>5532</v>
      </c>
      <c r="E175" s="13"/>
      <c r="F175" s="41"/>
      <c r="G175" s="41"/>
      <c r="H175" s="41"/>
      <c r="I175" s="41"/>
      <c r="J175" s="41"/>
      <c r="K175" s="65" t="str">
        <f>IFERROR(VLOOKUP(D175,Sheet4!A$1:M$56,11,FALSE),"")</f>
        <v/>
      </c>
      <c r="L175" s="65" t="str">
        <f t="shared" si="2"/>
        <v/>
      </c>
      <c r="M175" s="14" t="s">
        <v>49</v>
      </c>
      <c r="N175" s="15">
        <v>44777</v>
      </c>
      <c r="O175" t="s">
        <v>2719</v>
      </c>
      <c r="P175" t="s">
        <v>51</v>
      </c>
      <c r="Q175" t="s">
        <v>52</v>
      </c>
      <c r="R175" t="s">
        <v>53</v>
      </c>
      <c r="S175" t="s">
        <v>651</v>
      </c>
      <c r="T175" t="s">
        <v>5472</v>
      </c>
      <c r="U175" t="s">
        <v>56</v>
      </c>
      <c r="V175" s="21" t="s">
        <v>5473</v>
      </c>
      <c r="W175" s="21"/>
      <c r="X175" t="s">
        <v>5533</v>
      </c>
      <c r="Y175" t="s">
        <v>5534</v>
      </c>
      <c r="AC175" t="s">
        <v>60</v>
      </c>
      <c r="AE175" s="15"/>
      <c r="AG175">
        <v>39.107838999999998</v>
      </c>
      <c r="AH175">
        <v>-96.604185000000001</v>
      </c>
      <c r="AI175" t="s">
        <v>5535</v>
      </c>
      <c r="AL175" t="s">
        <v>1715</v>
      </c>
      <c r="AM175" t="s">
        <v>63</v>
      </c>
      <c r="AN175" t="s">
        <v>5536</v>
      </c>
      <c r="AO175">
        <v>194455</v>
      </c>
      <c r="AQ175" t="s">
        <v>5537</v>
      </c>
      <c r="AR175" t="s">
        <v>5538</v>
      </c>
      <c r="AS175" t="s">
        <v>5539</v>
      </c>
      <c r="AT175" t="s">
        <v>68</v>
      </c>
      <c r="AV175" t="s">
        <v>5540</v>
      </c>
      <c r="AW175" t="s">
        <v>5541</v>
      </c>
      <c r="AX175" t="s">
        <v>5542</v>
      </c>
      <c r="BA175" s="14" t="s">
        <v>72</v>
      </c>
      <c r="BB175" s="14" t="s">
        <v>73</v>
      </c>
      <c r="BC175" s="14" t="s">
        <v>74</v>
      </c>
    </row>
    <row r="176" spans="1:55" ht="15" customHeight="1" x14ac:dyDescent="0.4">
      <c r="A176" s="12">
        <v>3806</v>
      </c>
      <c r="B176" s="21" t="s">
        <v>5543</v>
      </c>
      <c r="C176" s="13" t="s">
        <v>5544</v>
      </c>
      <c r="D176" s="25" t="s">
        <v>5544</v>
      </c>
      <c r="E176" s="13"/>
      <c r="F176" s="41"/>
      <c r="G176" s="41"/>
      <c r="H176" s="41"/>
      <c r="I176" s="41"/>
      <c r="J176" s="41"/>
      <c r="K176" s="65" t="str">
        <f>IFERROR(VLOOKUP(D176,Sheet4!A$1:M$56,11,FALSE),"")</f>
        <v/>
      </c>
      <c r="L176" s="65" t="str">
        <f t="shared" si="2"/>
        <v/>
      </c>
      <c r="M176" s="14" t="s">
        <v>1829</v>
      </c>
      <c r="N176" s="15">
        <v>44777</v>
      </c>
      <c r="O176" t="s">
        <v>2719</v>
      </c>
      <c r="P176" t="s">
        <v>51</v>
      </c>
      <c r="Q176" t="s">
        <v>52</v>
      </c>
      <c r="R176" t="s">
        <v>53</v>
      </c>
      <c r="S176" t="s">
        <v>651</v>
      </c>
      <c r="T176" t="s">
        <v>5472</v>
      </c>
      <c r="U176" t="s">
        <v>56</v>
      </c>
      <c r="V176" s="21" t="s">
        <v>5473</v>
      </c>
      <c r="W176" s="21"/>
      <c r="X176" t="s">
        <v>5545</v>
      </c>
      <c r="Y176" t="s">
        <v>5546</v>
      </c>
      <c r="AB176" t="s">
        <v>1758</v>
      </c>
      <c r="AC176" t="s">
        <v>1832</v>
      </c>
      <c r="AE176" s="15"/>
      <c r="AG176">
        <v>39.107810999999998</v>
      </c>
      <c r="AH176">
        <v>-96.603104000000002</v>
      </c>
      <c r="AI176" t="s">
        <v>1156</v>
      </c>
      <c r="AL176" t="s">
        <v>1715</v>
      </c>
      <c r="AM176" t="s">
        <v>63</v>
      </c>
      <c r="AN176" t="s">
        <v>5547</v>
      </c>
      <c r="AO176">
        <v>194490</v>
      </c>
      <c r="AQ176" t="s">
        <v>5548</v>
      </c>
      <c r="AR176" t="s">
        <v>5549</v>
      </c>
      <c r="AS176" t="s">
        <v>5550</v>
      </c>
      <c r="AT176" t="s">
        <v>68</v>
      </c>
      <c r="AV176" t="s">
        <v>5551</v>
      </c>
      <c r="AW176" t="s">
        <v>5552</v>
      </c>
      <c r="AX176" t="s">
        <v>5553</v>
      </c>
      <c r="BA176" s="14" t="s">
        <v>72</v>
      </c>
      <c r="BB176" s="14" t="s">
        <v>73</v>
      </c>
      <c r="BC176" s="14" t="s">
        <v>74</v>
      </c>
    </row>
    <row r="177" spans="1:55" ht="15" customHeight="1" x14ac:dyDescent="0.4">
      <c r="A177" s="12">
        <v>3807</v>
      </c>
      <c r="B177" s="21" t="s">
        <v>5554</v>
      </c>
      <c r="C177" s="13" t="s">
        <v>5555</v>
      </c>
      <c r="D177" s="25" t="s">
        <v>5555</v>
      </c>
      <c r="E177" s="13"/>
      <c r="F177" s="41"/>
      <c r="G177" s="41"/>
      <c r="H177" s="41"/>
      <c r="I177" s="41"/>
      <c r="J177" s="41"/>
      <c r="K177" s="65" t="str">
        <f>IFERROR(VLOOKUP(D177,Sheet4!A$1:M$56,11,FALSE),"")</f>
        <v/>
      </c>
      <c r="L177" s="65" t="str">
        <f t="shared" si="2"/>
        <v/>
      </c>
      <c r="M177" s="14" t="s">
        <v>1829</v>
      </c>
      <c r="N177" s="15">
        <v>44777</v>
      </c>
      <c r="O177" t="s">
        <v>2719</v>
      </c>
      <c r="P177" t="s">
        <v>51</v>
      </c>
      <c r="Q177" t="s">
        <v>52</v>
      </c>
      <c r="R177" t="s">
        <v>53</v>
      </c>
      <c r="S177" t="s">
        <v>651</v>
      </c>
      <c r="T177" t="s">
        <v>5472</v>
      </c>
      <c r="U177" t="s">
        <v>56</v>
      </c>
      <c r="V177" s="21" t="s">
        <v>5473</v>
      </c>
      <c r="W177" s="21"/>
      <c r="X177" t="s">
        <v>5556</v>
      </c>
      <c r="Y177" t="s">
        <v>5557</v>
      </c>
      <c r="AB177" t="s">
        <v>1758</v>
      </c>
      <c r="AC177" t="s">
        <v>1832</v>
      </c>
      <c r="AE177" s="15"/>
      <c r="AG177">
        <v>39.107945999999998</v>
      </c>
      <c r="AH177">
        <v>-96.602301999999995</v>
      </c>
      <c r="AI177" t="s">
        <v>5558</v>
      </c>
      <c r="AL177" t="s">
        <v>1715</v>
      </c>
      <c r="AM177" t="s">
        <v>63</v>
      </c>
      <c r="AN177" t="s">
        <v>5559</v>
      </c>
      <c r="AO177">
        <v>194491</v>
      </c>
      <c r="AQ177" t="s">
        <v>5560</v>
      </c>
      <c r="AR177" t="s">
        <v>5561</v>
      </c>
      <c r="AS177" t="s">
        <v>5562</v>
      </c>
      <c r="AT177" t="s">
        <v>68</v>
      </c>
      <c r="AV177" t="s">
        <v>5563</v>
      </c>
      <c r="AW177" t="s">
        <v>5564</v>
      </c>
      <c r="AX177" t="s">
        <v>5565</v>
      </c>
      <c r="BA177" s="14" t="s">
        <v>72</v>
      </c>
      <c r="BB177" s="14" t="s">
        <v>73</v>
      </c>
      <c r="BC177" s="14" t="s">
        <v>74</v>
      </c>
    </row>
    <row r="178" spans="1:55" ht="15" customHeight="1" x14ac:dyDescent="0.4">
      <c r="A178" s="12">
        <v>3808</v>
      </c>
      <c r="B178" s="21" t="s">
        <v>5566</v>
      </c>
      <c r="C178" s="13" t="s">
        <v>5567</v>
      </c>
      <c r="D178" s="25" t="s">
        <v>5567</v>
      </c>
      <c r="E178" s="13"/>
      <c r="F178" s="41"/>
      <c r="G178" s="41"/>
      <c r="H178" s="41"/>
      <c r="I178" s="41"/>
      <c r="J178" s="41"/>
      <c r="K178" s="65" t="str">
        <f>IFERROR(VLOOKUP(D178,Sheet4!A$1:M$56,11,FALSE),"")</f>
        <v/>
      </c>
      <c r="L178" s="65" t="str">
        <f t="shared" si="2"/>
        <v/>
      </c>
      <c r="M178" s="14" t="s">
        <v>49</v>
      </c>
      <c r="N178" s="15">
        <v>44777</v>
      </c>
      <c r="O178" t="s">
        <v>2719</v>
      </c>
      <c r="P178" t="s">
        <v>51</v>
      </c>
      <c r="Q178" t="s">
        <v>52</v>
      </c>
      <c r="R178" t="s">
        <v>53</v>
      </c>
      <c r="S178" t="s">
        <v>651</v>
      </c>
      <c r="T178" t="s">
        <v>5472</v>
      </c>
      <c r="U178" t="s">
        <v>56</v>
      </c>
      <c r="V178" s="21" t="s">
        <v>5473</v>
      </c>
      <c r="W178" s="21"/>
      <c r="X178" t="s">
        <v>5568</v>
      </c>
      <c r="Y178" t="s">
        <v>5569</v>
      </c>
      <c r="AB178" t="s">
        <v>1758</v>
      </c>
      <c r="AC178" t="s">
        <v>60</v>
      </c>
      <c r="AE178" s="15"/>
      <c r="AG178">
        <v>39.108091999999999</v>
      </c>
      <c r="AH178">
        <v>-96.602193999999997</v>
      </c>
      <c r="AI178" t="s">
        <v>1134</v>
      </c>
      <c r="AL178" t="s">
        <v>1715</v>
      </c>
      <c r="AM178" t="s">
        <v>63</v>
      </c>
      <c r="AN178" t="s">
        <v>5570</v>
      </c>
      <c r="AO178">
        <v>194451</v>
      </c>
      <c r="AQ178" t="s">
        <v>5571</v>
      </c>
      <c r="AR178" t="s">
        <v>5572</v>
      </c>
      <c r="AS178" t="s">
        <v>5573</v>
      </c>
      <c r="AT178" t="s">
        <v>68</v>
      </c>
      <c r="AV178" t="s">
        <v>5574</v>
      </c>
      <c r="AW178" t="s">
        <v>5575</v>
      </c>
      <c r="AX178" t="s">
        <v>5576</v>
      </c>
      <c r="BA178" s="14" t="s">
        <v>72</v>
      </c>
      <c r="BB178" s="14" t="s">
        <v>73</v>
      </c>
      <c r="BC178" s="14" t="s">
        <v>74</v>
      </c>
    </row>
    <row r="179" spans="1:55" ht="15" customHeight="1" x14ac:dyDescent="0.4">
      <c r="A179" s="12">
        <v>3809</v>
      </c>
      <c r="B179" s="21" t="s">
        <v>5577</v>
      </c>
      <c r="C179" s="13" t="s">
        <v>5578</v>
      </c>
      <c r="D179" s="25" t="s">
        <v>5578</v>
      </c>
      <c r="E179" s="13"/>
      <c r="F179" s="41"/>
      <c r="G179" s="41"/>
      <c r="H179" s="41"/>
      <c r="I179" s="41"/>
      <c r="J179" s="41" t="s">
        <v>8177</v>
      </c>
      <c r="K179" s="65" t="str">
        <f>IFERROR(VLOOKUP(D179,Sheet4!A$1:M$56,11,FALSE),"")</f>
        <v/>
      </c>
      <c r="L179" s="65" t="str">
        <f t="shared" si="2"/>
        <v>May have genomic admixture with Q. prinoides</v>
      </c>
      <c r="M179" s="14" t="s">
        <v>1829</v>
      </c>
      <c r="N179" s="15">
        <v>44777</v>
      </c>
      <c r="O179" t="s">
        <v>2719</v>
      </c>
      <c r="P179" t="s">
        <v>51</v>
      </c>
      <c r="Q179" t="s">
        <v>52</v>
      </c>
      <c r="R179" t="s">
        <v>53</v>
      </c>
      <c r="S179" t="s">
        <v>651</v>
      </c>
      <c r="T179" t="s">
        <v>5472</v>
      </c>
      <c r="U179" t="s">
        <v>56</v>
      </c>
      <c r="V179" s="21" t="s">
        <v>5473</v>
      </c>
      <c r="W179" s="21"/>
      <c r="X179" t="s">
        <v>5579</v>
      </c>
      <c r="Y179" t="s">
        <v>5580</v>
      </c>
      <c r="AB179" t="s">
        <v>1758</v>
      </c>
      <c r="AC179" t="s">
        <v>1832</v>
      </c>
      <c r="AE179" s="15"/>
      <c r="AG179">
        <v>39.106907</v>
      </c>
      <c r="AH179">
        <v>-96.603869000000003</v>
      </c>
      <c r="AI179" t="s">
        <v>5581</v>
      </c>
      <c r="AL179" t="s">
        <v>1715</v>
      </c>
      <c r="AM179" t="s">
        <v>63</v>
      </c>
      <c r="AN179" t="s">
        <v>5582</v>
      </c>
      <c r="AO179">
        <v>194488</v>
      </c>
      <c r="AQ179" t="s">
        <v>5583</v>
      </c>
      <c r="AR179" t="s">
        <v>5584</v>
      </c>
      <c r="AS179" t="s">
        <v>5585</v>
      </c>
      <c r="AT179" t="s">
        <v>68</v>
      </c>
      <c r="AV179" t="s">
        <v>5586</v>
      </c>
      <c r="AW179" t="s">
        <v>5587</v>
      </c>
      <c r="AX179" t="s">
        <v>5588</v>
      </c>
      <c r="BA179" s="14" t="s">
        <v>72</v>
      </c>
      <c r="BB179" s="14" t="s">
        <v>73</v>
      </c>
      <c r="BC179" s="14" t="s">
        <v>74</v>
      </c>
    </row>
    <row r="180" spans="1:55" ht="15" customHeight="1" x14ac:dyDescent="0.4">
      <c r="A180" s="12">
        <v>3778</v>
      </c>
      <c r="B180" s="21" t="s">
        <v>5216</v>
      </c>
      <c r="C180" s="13" t="s">
        <v>5217</v>
      </c>
      <c r="D180" s="25" t="s">
        <v>5217</v>
      </c>
      <c r="E180" s="13"/>
      <c r="F180" s="41"/>
      <c r="G180" s="41"/>
      <c r="H180" s="41"/>
      <c r="I180" s="41"/>
      <c r="J180" s="41" t="s">
        <v>8177</v>
      </c>
      <c r="K180" s="65" t="str">
        <f>IFERROR(VLOOKUP(D180,Sheet4!A$1:M$56,11,FALSE),"")</f>
        <v/>
      </c>
      <c r="L180" s="65" t="str">
        <f t="shared" si="2"/>
        <v>May have genomic admixture with Q. prinoides</v>
      </c>
      <c r="M180" s="14" t="s">
        <v>1829</v>
      </c>
      <c r="N180" s="15">
        <v>44775</v>
      </c>
      <c r="O180" t="s">
        <v>2719</v>
      </c>
      <c r="P180" t="s">
        <v>51</v>
      </c>
      <c r="Q180" t="s">
        <v>52</v>
      </c>
      <c r="R180" t="s">
        <v>53</v>
      </c>
      <c r="S180" t="s">
        <v>651</v>
      </c>
      <c r="T180" t="s">
        <v>1708</v>
      </c>
      <c r="U180" t="s">
        <v>56</v>
      </c>
      <c r="V180" s="21" t="s">
        <v>5218</v>
      </c>
      <c r="W180" s="21"/>
      <c r="X180" t="s">
        <v>5219</v>
      </c>
      <c r="Y180" t="s">
        <v>5220</v>
      </c>
      <c r="AB180" t="s">
        <v>1758</v>
      </c>
      <c r="AC180" t="s">
        <v>1832</v>
      </c>
      <c r="AE180" s="15"/>
      <c r="AG180">
        <v>38.980761999999999</v>
      </c>
      <c r="AH180">
        <v>-94.789191000000002</v>
      </c>
      <c r="AI180" t="s">
        <v>5221</v>
      </c>
      <c r="AL180" t="s">
        <v>1715</v>
      </c>
      <c r="AM180" t="s">
        <v>63</v>
      </c>
      <c r="AN180" t="s">
        <v>5222</v>
      </c>
      <c r="AO180">
        <v>194534</v>
      </c>
      <c r="AQ180" t="s">
        <v>5223</v>
      </c>
      <c r="AR180" t="s">
        <v>5224</v>
      </c>
      <c r="AS180" t="s">
        <v>5225</v>
      </c>
      <c r="AT180" t="s">
        <v>68</v>
      </c>
      <c r="AV180" t="s">
        <v>5226</v>
      </c>
      <c r="AW180" t="s">
        <v>5227</v>
      </c>
      <c r="AX180" t="s">
        <v>5228</v>
      </c>
      <c r="BA180" s="14" t="s">
        <v>72</v>
      </c>
      <c r="BB180" s="14" t="s">
        <v>73</v>
      </c>
      <c r="BC180" s="14" t="s">
        <v>74</v>
      </c>
    </row>
    <row r="181" spans="1:55" ht="15" customHeight="1" x14ac:dyDescent="0.4">
      <c r="A181" s="12">
        <v>3779</v>
      </c>
      <c r="B181" s="21" t="s">
        <v>5229</v>
      </c>
      <c r="C181" s="13" t="s">
        <v>5230</v>
      </c>
      <c r="D181" s="25" t="s">
        <v>5230</v>
      </c>
      <c r="E181" s="13"/>
      <c r="F181" s="41"/>
      <c r="G181" s="41"/>
      <c r="H181" s="41"/>
      <c r="I181" s="41"/>
      <c r="J181" s="41"/>
      <c r="K181" s="65" t="str">
        <f>IFERROR(VLOOKUP(D181,Sheet4!A$1:M$56,11,FALSE),"")</f>
        <v/>
      </c>
      <c r="L181" s="65" t="str">
        <f t="shared" si="2"/>
        <v/>
      </c>
      <c r="M181" s="14" t="s">
        <v>49</v>
      </c>
      <c r="N181" s="15">
        <v>44775</v>
      </c>
      <c r="O181" t="s">
        <v>2719</v>
      </c>
      <c r="P181" t="s">
        <v>51</v>
      </c>
      <c r="Q181" t="s">
        <v>52</v>
      </c>
      <c r="R181" t="s">
        <v>53</v>
      </c>
      <c r="S181" t="s">
        <v>651</v>
      </c>
      <c r="T181" t="s">
        <v>1708</v>
      </c>
      <c r="U181" t="s">
        <v>56</v>
      </c>
      <c r="V181" s="21" t="s">
        <v>5218</v>
      </c>
      <c r="W181" s="21"/>
      <c r="X181" t="s">
        <v>5231</v>
      </c>
      <c r="Y181" t="s">
        <v>5232</v>
      </c>
      <c r="AC181" t="s">
        <v>60</v>
      </c>
      <c r="AE181" s="15"/>
      <c r="AG181">
        <v>38.980803999999999</v>
      </c>
      <c r="AH181">
        <v>-94.789401999999995</v>
      </c>
      <c r="AI181" t="s">
        <v>5233</v>
      </c>
      <c r="AL181" t="s">
        <v>1715</v>
      </c>
      <c r="AM181" t="s">
        <v>63</v>
      </c>
      <c r="AN181" t="s">
        <v>5234</v>
      </c>
      <c r="AO181">
        <v>194457</v>
      </c>
      <c r="AQ181" t="s">
        <v>5235</v>
      </c>
      <c r="AR181" t="s">
        <v>5236</v>
      </c>
      <c r="AS181" t="s">
        <v>5237</v>
      </c>
      <c r="AT181" t="s">
        <v>68</v>
      </c>
      <c r="AV181" t="s">
        <v>5238</v>
      </c>
      <c r="AW181" t="s">
        <v>5239</v>
      </c>
      <c r="AX181" t="s">
        <v>5240</v>
      </c>
      <c r="BA181" s="14" t="s">
        <v>72</v>
      </c>
      <c r="BB181" s="14" t="s">
        <v>73</v>
      </c>
      <c r="BC181" s="14" t="s">
        <v>74</v>
      </c>
    </row>
    <row r="182" spans="1:55" ht="15" customHeight="1" x14ac:dyDescent="0.4">
      <c r="A182" s="12">
        <v>3780</v>
      </c>
      <c r="B182" s="21" t="s">
        <v>5241</v>
      </c>
      <c r="C182" s="13" t="s">
        <v>5242</v>
      </c>
      <c r="D182" s="25" t="s">
        <v>5242</v>
      </c>
      <c r="E182" s="13"/>
      <c r="F182" s="41"/>
      <c r="G182" s="41"/>
      <c r="H182" s="41"/>
      <c r="I182" s="41"/>
      <c r="J182" s="41" t="s">
        <v>8177</v>
      </c>
      <c r="K182" s="65" t="str">
        <f>IFERROR(VLOOKUP(D182,Sheet4!A$1:M$56,11,FALSE),"")</f>
        <v/>
      </c>
      <c r="L182" s="65" t="str">
        <f t="shared" si="2"/>
        <v>May have genomic admixture with Q. prinoides</v>
      </c>
      <c r="M182" s="14" t="s">
        <v>1829</v>
      </c>
      <c r="N182" s="15">
        <v>44775</v>
      </c>
      <c r="O182" t="s">
        <v>2719</v>
      </c>
      <c r="P182" t="s">
        <v>51</v>
      </c>
      <c r="Q182" t="s">
        <v>52</v>
      </c>
      <c r="R182" t="s">
        <v>53</v>
      </c>
      <c r="S182" t="s">
        <v>651</v>
      </c>
      <c r="T182" t="s">
        <v>1708</v>
      </c>
      <c r="U182" t="s">
        <v>56</v>
      </c>
      <c r="V182" s="21" t="s">
        <v>5218</v>
      </c>
      <c r="W182" s="21"/>
      <c r="X182" t="s">
        <v>5243</v>
      </c>
      <c r="Y182" t="s">
        <v>5244</v>
      </c>
      <c r="AC182" t="s">
        <v>1832</v>
      </c>
      <c r="AE182" s="15"/>
      <c r="AG182">
        <v>38.981130999999998</v>
      </c>
      <c r="AH182">
        <v>-94.790356000000003</v>
      </c>
      <c r="AI182" t="s">
        <v>5245</v>
      </c>
      <c r="AL182" t="s">
        <v>1715</v>
      </c>
      <c r="AM182" t="s">
        <v>63</v>
      </c>
      <c r="AN182" t="s">
        <v>5246</v>
      </c>
      <c r="AO182">
        <v>194535</v>
      </c>
      <c r="AQ182" t="s">
        <v>5247</v>
      </c>
      <c r="AR182" t="s">
        <v>5248</v>
      </c>
      <c r="AS182" t="s">
        <v>5249</v>
      </c>
      <c r="AT182" t="s">
        <v>68</v>
      </c>
      <c r="AV182" t="s">
        <v>5250</v>
      </c>
      <c r="AW182" t="s">
        <v>5251</v>
      </c>
      <c r="AX182" t="s">
        <v>5252</v>
      </c>
      <c r="BA182" s="14" t="s">
        <v>72</v>
      </c>
      <c r="BB182" s="14" t="s">
        <v>73</v>
      </c>
      <c r="BC182" s="14" t="s">
        <v>74</v>
      </c>
    </row>
    <row r="183" spans="1:55" ht="15" customHeight="1" x14ac:dyDescent="0.4">
      <c r="A183" s="12">
        <v>3781</v>
      </c>
      <c r="B183" s="21" t="s">
        <v>5253</v>
      </c>
      <c r="C183" s="13" t="s">
        <v>5254</v>
      </c>
      <c r="D183" s="25" t="s">
        <v>5254</v>
      </c>
      <c r="E183" s="13"/>
      <c r="F183" s="41"/>
      <c r="G183" s="41"/>
      <c r="H183" s="41"/>
      <c r="I183" s="41"/>
      <c r="J183" s="41"/>
      <c r="K183" s="65" t="str">
        <f>IFERROR(VLOOKUP(D183,Sheet4!A$1:M$56,11,FALSE),"")</f>
        <v/>
      </c>
      <c r="L183" s="65" t="str">
        <f t="shared" si="2"/>
        <v/>
      </c>
      <c r="M183" s="14" t="s">
        <v>49</v>
      </c>
      <c r="N183" s="15">
        <v>44775</v>
      </c>
      <c r="O183" t="s">
        <v>2719</v>
      </c>
      <c r="P183" t="s">
        <v>51</v>
      </c>
      <c r="Q183" t="s">
        <v>52</v>
      </c>
      <c r="R183" t="s">
        <v>53</v>
      </c>
      <c r="S183" t="s">
        <v>651</v>
      </c>
      <c r="T183" t="s">
        <v>1708</v>
      </c>
      <c r="U183" t="s">
        <v>56</v>
      </c>
      <c r="V183" s="21" t="s">
        <v>5218</v>
      </c>
      <c r="W183" s="21"/>
      <c r="X183" t="s">
        <v>5255</v>
      </c>
      <c r="Y183" t="s">
        <v>5256</v>
      </c>
      <c r="AC183" t="s">
        <v>60</v>
      </c>
      <c r="AE183" s="15"/>
      <c r="AG183">
        <v>38.981180999999999</v>
      </c>
      <c r="AH183">
        <v>-94.790358999999995</v>
      </c>
      <c r="AI183" t="s">
        <v>5257</v>
      </c>
      <c r="AL183" t="s">
        <v>1715</v>
      </c>
      <c r="AM183" t="s">
        <v>63</v>
      </c>
      <c r="AN183" t="s">
        <v>5258</v>
      </c>
      <c r="AO183">
        <v>192652</v>
      </c>
      <c r="AQ183" t="s">
        <v>5259</v>
      </c>
      <c r="AR183" t="s">
        <v>5260</v>
      </c>
      <c r="AS183" t="s">
        <v>5261</v>
      </c>
      <c r="AT183" t="s">
        <v>68</v>
      </c>
      <c r="AV183" t="s">
        <v>5262</v>
      </c>
      <c r="AW183" t="s">
        <v>5263</v>
      </c>
      <c r="AX183" t="s">
        <v>5264</v>
      </c>
      <c r="BA183" s="14" t="s">
        <v>72</v>
      </c>
      <c r="BB183" s="14" t="s">
        <v>73</v>
      </c>
      <c r="BC183" s="14" t="s">
        <v>74</v>
      </c>
    </row>
    <row r="184" spans="1:55" ht="15" customHeight="1" x14ac:dyDescent="0.4">
      <c r="A184" s="12">
        <v>3782</v>
      </c>
      <c r="B184" s="21" t="s">
        <v>5265</v>
      </c>
      <c r="C184" s="13" t="s">
        <v>5266</v>
      </c>
      <c r="D184" s="25" t="s">
        <v>5266</v>
      </c>
      <c r="E184" s="13"/>
      <c r="F184" s="41"/>
      <c r="G184" s="41"/>
      <c r="H184" s="41"/>
      <c r="I184" s="41"/>
      <c r="J184" s="41"/>
      <c r="K184" s="65" t="str">
        <f>IFERROR(VLOOKUP(D184,Sheet4!A$1:M$56,11,FALSE),"")</f>
        <v/>
      </c>
      <c r="L184" s="65" t="str">
        <f t="shared" si="2"/>
        <v/>
      </c>
      <c r="M184" s="14" t="s">
        <v>1752</v>
      </c>
      <c r="N184" s="15">
        <v>44775</v>
      </c>
      <c r="O184" t="s">
        <v>2719</v>
      </c>
      <c r="P184" t="s">
        <v>51</v>
      </c>
      <c r="Q184" t="s">
        <v>52</v>
      </c>
      <c r="R184" t="s">
        <v>53</v>
      </c>
      <c r="S184" t="s">
        <v>651</v>
      </c>
      <c r="T184" t="s">
        <v>1708</v>
      </c>
      <c r="U184" t="s">
        <v>56</v>
      </c>
      <c r="V184" s="21" t="s">
        <v>5218</v>
      </c>
      <c r="W184" s="21"/>
      <c r="X184" t="s">
        <v>5267</v>
      </c>
      <c r="Y184" t="s">
        <v>5268</v>
      </c>
      <c r="AB184" t="s">
        <v>2321</v>
      </c>
      <c r="AC184" t="s">
        <v>1759</v>
      </c>
      <c r="AE184" s="15"/>
      <c r="AG184">
        <v>38.981382000000004</v>
      </c>
      <c r="AH184">
        <v>-94.791557999999995</v>
      </c>
      <c r="AI184" t="s">
        <v>5269</v>
      </c>
      <c r="AL184" t="s">
        <v>1715</v>
      </c>
      <c r="AM184" t="s">
        <v>63</v>
      </c>
      <c r="AN184" t="s">
        <v>5270</v>
      </c>
      <c r="AO184">
        <v>193523</v>
      </c>
      <c r="AQ184" t="s">
        <v>5271</v>
      </c>
      <c r="AR184" t="s">
        <v>5272</v>
      </c>
      <c r="AS184" t="s">
        <v>5273</v>
      </c>
      <c r="AT184" t="s">
        <v>68</v>
      </c>
      <c r="AV184" t="s">
        <v>5274</v>
      </c>
      <c r="AW184" t="s">
        <v>5275</v>
      </c>
      <c r="AX184" t="s">
        <v>5276</v>
      </c>
      <c r="BA184" s="14" t="s">
        <v>72</v>
      </c>
      <c r="BB184" s="14" t="s">
        <v>73</v>
      </c>
      <c r="BC184" s="14" t="s">
        <v>1768</v>
      </c>
    </row>
    <row r="185" spans="1:55" ht="15" customHeight="1" x14ac:dyDescent="0.4">
      <c r="A185" s="12">
        <v>3783</v>
      </c>
      <c r="B185" s="21" t="s">
        <v>5277</v>
      </c>
      <c r="C185" s="13" t="s">
        <v>5278</v>
      </c>
      <c r="D185" s="25" t="s">
        <v>5278</v>
      </c>
      <c r="E185" s="13"/>
      <c r="F185" s="41"/>
      <c r="G185" s="41"/>
      <c r="H185" s="41"/>
      <c r="I185" s="41"/>
      <c r="J185" s="41"/>
      <c r="K185" s="65" t="str">
        <f>IFERROR(VLOOKUP(D185,Sheet4!A$1:M$56,11,FALSE),"")</f>
        <v/>
      </c>
      <c r="L185" s="65" t="str">
        <f t="shared" si="2"/>
        <v/>
      </c>
      <c r="M185" s="14" t="s">
        <v>49</v>
      </c>
      <c r="N185" s="15">
        <v>44775</v>
      </c>
      <c r="O185" t="s">
        <v>2719</v>
      </c>
      <c r="P185" t="s">
        <v>51</v>
      </c>
      <c r="Q185" t="s">
        <v>52</v>
      </c>
      <c r="R185" t="s">
        <v>53</v>
      </c>
      <c r="S185" t="s">
        <v>651</v>
      </c>
      <c r="T185" t="s">
        <v>1708</v>
      </c>
      <c r="U185" t="s">
        <v>56</v>
      </c>
      <c r="V185" s="21" t="s">
        <v>5218</v>
      </c>
      <c r="W185" s="21"/>
      <c r="X185" t="s">
        <v>5279</v>
      </c>
      <c r="Y185" t="s">
        <v>5280</v>
      </c>
      <c r="AC185" t="s">
        <v>60</v>
      </c>
      <c r="AE185" s="15"/>
      <c r="AG185">
        <v>38.981467000000002</v>
      </c>
      <c r="AH185">
        <v>-94.791895999999994</v>
      </c>
      <c r="AI185" t="s">
        <v>5281</v>
      </c>
      <c r="AL185" t="s">
        <v>1715</v>
      </c>
      <c r="AM185" t="s">
        <v>63</v>
      </c>
      <c r="AN185" t="s">
        <v>5282</v>
      </c>
      <c r="AO185">
        <v>192645</v>
      </c>
      <c r="AQ185" t="s">
        <v>5283</v>
      </c>
      <c r="AR185" t="s">
        <v>5284</v>
      </c>
      <c r="AS185" t="s">
        <v>5285</v>
      </c>
      <c r="AT185" t="s">
        <v>68</v>
      </c>
      <c r="AV185" t="s">
        <v>5286</v>
      </c>
      <c r="AW185" t="s">
        <v>5287</v>
      </c>
      <c r="AX185" t="s">
        <v>5288</v>
      </c>
      <c r="BA185" s="14" t="s">
        <v>72</v>
      </c>
      <c r="BB185" s="14" t="s">
        <v>73</v>
      </c>
      <c r="BC185" s="14" t="s">
        <v>74</v>
      </c>
    </row>
    <row r="186" spans="1:55" ht="15" customHeight="1" x14ac:dyDescent="0.4">
      <c r="A186" s="12">
        <v>3784</v>
      </c>
      <c r="B186" s="21" t="s">
        <v>5289</v>
      </c>
      <c r="C186" s="13" t="s">
        <v>5290</v>
      </c>
      <c r="D186" s="25" t="s">
        <v>5290</v>
      </c>
      <c r="E186" s="13"/>
      <c r="F186" s="41"/>
      <c r="G186" s="41"/>
      <c r="H186" s="41"/>
      <c r="I186" s="41"/>
      <c r="J186" s="41"/>
      <c r="K186" s="65" t="str">
        <f>IFERROR(VLOOKUP(D186,Sheet4!A$1:M$56,11,FALSE),"")</f>
        <v/>
      </c>
      <c r="L186" s="65" t="str">
        <f t="shared" si="2"/>
        <v/>
      </c>
      <c r="M186" s="14" t="s">
        <v>1829</v>
      </c>
      <c r="N186" s="15">
        <v>44775</v>
      </c>
      <c r="O186" t="s">
        <v>2719</v>
      </c>
      <c r="P186" t="s">
        <v>51</v>
      </c>
      <c r="Q186" t="s">
        <v>52</v>
      </c>
      <c r="R186" t="s">
        <v>53</v>
      </c>
      <c r="S186" t="s">
        <v>651</v>
      </c>
      <c r="T186" t="s">
        <v>1708</v>
      </c>
      <c r="U186" t="s">
        <v>56</v>
      </c>
      <c r="V186" s="21" t="s">
        <v>5218</v>
      </c>
      <c r="W186" s="21"/>
      <c r="X186" t="s">
        <v>5291</v>
      </c>
      <c r="Y186" t="s">
        <v>5292</v>
      </c>
      <c r="AB186" t="s">
        <v>1758</v>
      </c>
      <c r="AC186" t="s">
        <v>1832</v>
      </c>
      <c r="AE186" s="15"/>
      <c r="AG186">
        <v>38.981538999999998</v>
      </c>
      <c r="AH186">
        <v>-94.792304999999999</v>
      </c>
      <c r="AI186" t="s">
        <v>5293</v>
      </c>
      <c r="AL186" t="s">
        <v>1715</v>
      </c>
      <c r="AM186" t="s">
        <v>63</v>
      </c>
      <c r="AN186" t="s">
        <v>5294</v>
      </c>
      <c r="AO186">
        <v>194536</v>
      </c>
      <c r="AQ186" t="s">
        <v>5295</v>
      </c>
      <c r="AR186" t="s">
        <v>5296</v>
      </c>
      <c r="AS186" t="s">
        <v>5297</v>
      </c>
      <c r="AT186" t="s">
        <v>68</v>
      </c>
      <c r="AV186" t="s">
        <v>5298</v>
      </c>
      <c r="AW186" t="s">
        <v>5299</v>
      </c>
      <c r="AX186" t="s">
        <v>5300</v>
      </c>
      <c r="BA186" s="14" t="s">
        <v>72</v>
      </c>
      <c r="BB186" s="14" t="s">
        <v>73</v>
      </c>
      <c r="BC186" s="14" t="s">
        <v>74</v>
      </c>
    </row>
    <row r="187" spans="1:55" ht="15" customHeight="1" x14ac:dyDescent="0.4">
      <c r="A187" s="12">
        <v>3785</v>
      </c>
      <c r="B187" s="21" t="s">
        <v>5301</v>
      </c>
      <c r="C187" s="13" t="s">
        <v>5302</v>
      </c>
      <c r="D187" s="25" t="s">
        <v>5302</v>
      </c>
      <c r="E187" s="13"/>
      <c r="F187" s="41"/>
      <c r="G187" s="41"/>
      <c r="H187" s="41"/>
      <c r="I187" s="41"/>
      <c r="J187" s="41"/>
      <c r="K187" s="65" t="str">
        <f>IFERROR(VLOOKUP(D187,Sheet4!A$1:M$56,11,FALSE),"")</f>
        <v/>
      </c>
      <c r="L187" s="65" t="str">
        <f t="shared" si="2"/>
        <v/>
      </c>
      <c r="M187" s="14" t="s">
        <v>49</v>
      </c>
      <c r="N187" s="15">
        <v>44775</v>
      </c>
      <c r="O187" t="s">
        <v>2719</v>
      </c>
      <c r="P187" t="s">
        <v>51</v>
      </c>
      <c r="Q187" t="s">
        <v>52</v>
      </c>
      <c r="R187" t="s">
        <v>53</v>
      </c>
      <c r="S187" t="s">
        <v>651</v>
      </c>
      <c r="T187" t="s">
        <v>1708</v>
      </c>
      <c r="U187" t="s">
        <v>56</v>
      </c>
      <c r="V187" s="21" t="s">
        <v>5218</v>
      </c>
      <c r="W187" s="21"/>
      <c r="X187" t="s">
        <v>5303</v>
      </c>
      <c r="Y187" t="s">
        <v>5304</v>
      </c>
      <c r="AC187" t="s">
        <v>60</v>
      </c>
      <c r="AE187" s="15"/>
      <c r="AG187">
        <v>38.981904</v>
      </c>
      <c r="AH187">
        <v>-94.793730999999994</v>
      </c>
      <c r="AI187" t="s">
        <v>5305</v>
      </c>
      <c r="AL187" t="s">
        <v>1715</v>
      </c>
      <c r="AM187" t="s">
        <v>63</v>
      </c>
      <c r="AN187" t="s">
        <v>5306</v>
      </c>
      <c r="AO187">
        <v>192651</v>
      </c>
      <c r="AQ187" t="s">
        <v>5307</v>
      </c>
      <c r="AR187" t="s">
        <v>5308</v>
      </c>
      <c r="AS187" t="s">
        <v>5309</v>
      </c>
      <c r="AT187" t="s">
        <v>68</v>
      </c>
      <c r="AV187" t="s">
        <v>5310</v>
      </c>
      <c r="AW187" t="s">
        <v>5311</v>
      </c>
      <c r="AX187" t="s">
        <v>5312</v>
      </c>
      <c r="BA187" s="14" t="s">
        <v>72</v>
      </c>
      <c r="BB187" s="14" t="s">
        <v>73</v>
      </c>
      <c r="BC187" s="14" t="s">
        <v>74</v>
      </c>
    </row>
    <row r="188" spans="1:55" ht="15" customHeight="1" x14ac:dyDescent="0.4">
      <c r="A188" s="12">
        <v>3786</v>
      </c>
      <c r="B188" s="21" t="s">
        <v>5313</v>
      </c>
      <c r="C188" s="13" t="s">
        <v>5314</v>
      </c>
      <c r="D188" s="25" t="s">
        <v>5314</v>
      </c>
      <c r="E188" s="13"/>
      <c r="F188" s="41"/>
      <c r="G188" s="41"/>
      <c r="H188" s="41"/>
      <c r="I188" s="41"/>
      <c r="J188" s="41" t="s">
        <v>8177</v>
      </c>
      <c r="K188" s="65" t="str">
        <f>IFERROR(VLOOKUP(D188,Sheet4!A$1:M$56,11,FALSE),"")</f>
        <v/>
      </c>
      <c r="L188" s="65" t="str">
        <f t="shared" si="2"/>
        <v>May have genomic admixture with Q. prinoides</v>
      </c>
      <c r="M188" s="14" t="s">
        <v>1829</v>
      </c>
      <c r="N188" s="15">
        <v>44775</v>
      </c>
      <c r="O188" t="s">
        <v>2719</v>
      </c>
      <c r="P188" t="s">
        <v>51</v>
      </c>
      <c r="Q188" t="s">
        <v>52</v>
      </c>
      <c r="R188" t="s">
        <v>53</v>
      </c>
      <c r="S188" t="s">
        <v>651</v>
      </c>
      <c r="T188" t="s">
        <v>1708</v>
      </c>
      <c r="U188" t="s">
        <v>56</v>
      </c>
      <c r="V188" s="21" t="s">
        <v>5218</v>
      </c>
      <c r="W188" s="21"/>
      <c r="X188" t="s">
        <v>5315</v>
      </c>
      <c r="Y188" t="s">
        <v>5316</v>
      </c>
      <c r="AB188" t="s">
        <v>1758</v>
      </c>
      <c r="AC188" t="s">
        <v>1832</v>
      </c>
      <c r="AE188" s="15"/>
      <c r="AG188">
        <v>38.981892999999999</v>
      </c>
      <c r="AH188">
        <v>-94.793893999999995</v>
      </c>
      <c r="AI188" t="s">
        <v>5305</v>
      </c>
      <c r="AL188" t="s">
        <v>1715</v>
      </c>
      <c r="AM188" t="s">
        <v>63</v>
      </c>
      <c r="AN188" t="s">
        <v>5317</v>
      </c>
      <c r="AO188">
        <v>194537</v>
      </c>
      <c r="AQ188" t="s">
        <v>5318</v>
      </c>
      <c r="AR188" t="s">
        <v>5319</v>
      </c>
      <c r="AS188" t="s">
        <v>5320</v>
      </c>
      <c r="AT188" t="s">
        <v>68</v>
      </c>
      <c r="AV188" t="s">
        <v>5321</v>
      </c>
      <c r="AW188" t="s">
        <v>5322</v>
      </c>
      <c r="AX188" t="s">
        <v>5323</v>
      </c>
      <c r="BA188" s="14" t="s">
        <v>72</v>
      </c>
      <c r="BB188" s="14" t="s">
        <v>73</v>
      </c>
      <c r="BC188" s="14" t="s">
        <v>74</v>
      </c>
    </row>
    <row r="189" spans="1:55" ht="15" customHeight="1" x14ac:dyDescent="0.4">
      <c r="A189" s="12">
        <v>3787</v>
      </c>
      <c r="B189" s="21" t="s">
        <v>5324</v>
      </c>
      <c r="C189" s="13" t="s">
        <v>5325</v>
      </c>
      <c r="D189" s="25" t="s">
        <v>5325</v>
      </c>
      <c r="E189" s="13"/>
      <c r="F189" s="41"/>
      <c r="G189" s="41"/>
      <c r="H189" s="41"/>
      <c r="I189" s="41"/>
      <c r="J189" s="41"/>
      <c r="K189" s="65" t="str">
        <f>IFERROR(VLOOKUP(D189,Sheet4!A$1:M$56,11,FALSE),"")</f>
        <v/>
      </c>
      <c r="L189" s="65" t="str">
        <f t="shared" si="2"/>
        <v/>
      </c>
      <c r="M189" s="14" t="s">
        <v>49</v>
      </c>
      <c r="N189" s="15">
        <v>44775</v>
      </c>
      <c r="O189" t="s">
        <v>2719</v>
      </c>
      <c r="P189" t="s">
        <v>51</v>
      </c>
      <c r="Q189" t="s">
        <v>52</v>
      </c>
      <c r="R189" t="s">
        <v>53</v>
      </c>
      <c r="S189" t="s">
        <v>651</v>
      </c>
      <c r="T189" t="s">
        <v>1708</v>
      </c>
      <c r="U189" t="s">
        <v>56</v>
      </c>
      <c r="V189" s="21" t="s">
        <v>5218</v>
      </c>
      <c r="W189" s="21"/>
      <c r="X189" t="s">
        <v>5326</v>
      </c>
      <c r="Y189" t="s">
        <v>5327</v>
      </c>
      <c r="AB189" t="s">
        <v>1758</v>
      </c>
      <c r="AC189" t="s">
        <v>60</v>
      </c>
      <c r="AE189" s="15"/>
      <c r="AG189">
        <v>38.981943999999999</v>
      </c>
      <c r="AH189">
        <v>-94.794163999999995</v>
      </c>
      <c r="AI189" t="s">
        <v>5305</v>
      </c>
      <c r="AL189" t="s">
        <v>1715</v>
      </c>
      <c r="AM189" t="s">
        <v>63</v>
      </c>
      <c r="AN189" t="s">
        <v>5328</v>
      </c>
      <c r="AO189">
        <v>192660</v>
      </c>
      <c r="AQ189" t="s">
        <v>5329</v>
      </c>
      <c r="AR189" t="s">
        <v>5330</v>
      </c>
      <c r="AS189" t="s">
        <v>5331</v>
      </c>
      <c r="AT189" t="s">
        <v>68</v>
      </c>
      <c r="AV189" t="s">
        <v>5332</v>
      </c>
      <c r="AW189" t="s">
        <v>5333</v>
      </c>
      <c r="AX189" t="s">
        <v>5334</v>
      </c>
      <c r="BA189" s="14" t="s">
        <v>72</v>
      </c>
      <c r="BB189" s="14" t="s">
        <v>73</v>
      </c>
      <c r="BC189" s="14" t="s">
        <v>74</v>
      </c>
    </row>
    <row r="190" spans="1:55" ht="15" customHeight="1" x14ac:dyDescent="0.4">
      <c r="A190" s="12">
        <v>3788</v>
      </c>
      <c r="B190" s="21" t="s">
        <v>5335</v>
      </c>
      <c r="C190" s="13" t="s">
        <v>5336</v>
      </c>
      <c r="D190" s="25" t="s">
        <v>5336</v>
      </c>
      <c r="E190" s="13"/>
      <c r="F190" s="41"/>
      <c r="G190" s="41"/>
      <c r="H190" s="41"/>
      <c r="I190" s="41"/>
      <c r="J190" s="41" t="s">
        <v>8177</v>
      </c>
      <c r="K190" s="65" t="str">
        <f>IFERROR(VLOOKUP(D190,Sheet4!A$1:M$56,11,FALSE),"")</f>
        <v/>
      </c>
      <c r="L190" s="65" t="str">
        <f t="shared" si="2"/>
        <v>May have genomic admixture with Q. prinoides</v>
      </c>
      <c r="M190" s="14" t="s">
        <v>1829</v>
      </c>
      <c r="N190" s="15">
        <v>44775</v>
      </c>
      <c r="O190" t="s">
        <v>2719</v>
      </c>
      <c r="P190" t="s">
        <v>51</v>
      </c>
      <c r="Q190" t="s">
        <v>52</v>
      </c>
      <c r="R190" t="s">
        <v>53</v>
      </c>
      <c r="S190" t="s">
        <v>651</v>
      </c>
      <c r="T190" t="s">
        <v>1708</v>
      </c>
      <c r="U190" t="s">
        <v>56</v>
      </c>
      <c r="V190" s="21" t="s">
        <v>5218</v>
      </c>
      <c r="W190" s="21"/>
      <c r="X190" t="s">
        <v>5326</v>
      </c>
      <c r="Y190" t="s">
        <v>5337</v>
      </c>
      <c r="AC190" t="s">
        <v>1832</v>
      </c>
      <c r="AE190" s="15"/>
      <c r="AG190">
        <v>38.982532999999997</v>
      </c>
      <c r="AH190">
        <v>-94.795299</v>
      </c>
      <c r="AI190" t="s">
        <v>4916</v>
      </c>
      <c r="AL190" t="s">
        <v>1715</v>
      </c>
      <c r="AM190" t="s">
        <v>63</v>
      </c>
      <c r="AN190" t="s">
        <v>5338</v>
      </c>
      <c r="AO190">
        <v>194538</v>
      </c>
      <c r="AQ190" t="s">
        <v>5339</v>
      </c>
      <c r="AR190" t="s">
        <v>5340</v>
      </c>
      <c r="AS190" t="s">
        <v>5341</v>
      </c>
      <c r="AT190" t="s">
        <v>68</v>
      </c>
      <c r="AV190" t="s">
        <v>5342</v>
      </c>
      <c r="AW190" t="s">
        <v>5343</v>
      </c>
      <c r="AX190" t="s">
        <v>5344</v>
      </c>
      <c r="BA190" s="14" t="s">
        <v>72</v>
      </c>
      <c r="BB190" s="14" t="s">
        <v>73</v>
      </c>
      <c r="BC190" s="14" t="s">
        <v>74</v>
      </c>
    </row>
    <row r="191" spans="1:55" ht="15" customHeight="1" x14ac:dyDescent="0.4">
      <c r="A191" s="12">
        <v>3789</v>
      </c>
      <c r="B191" s="21" t="s">
        <v>5345</v>
      </c>
      <c r="C191" s="13" t="s">
        <v>5346</v>
      </c>
      <c r="D191" s="25" t="s">
        <v>5346</v>
      </c>
      <c r="E191" s="13"/>
      <c r="F191" s="41"/>
      <c r="G191" s="41"/>
      <c r="H191" s="41"/>
      <c r="I191" s="41"/>
      <c r="J191" s="41"/>
      <c r="K191" s="65" t="str">
        <f>IFERROR(VLOOKUP(D191,Sheet4!A$1:M$56,11,FALSE),"")</f>
        <v/>
      </c>
      <c r="L191" s="65" t="str">
        <f t="shared" si="2"/>
        <v/>
      </c>
      <c r="M191" s="14" t="s">
        <v>1752</v>
      </c>
      <c r="N191" s="15">
        <v>44775</v>
      </c>
      <c r="O191" t="s">
        <v>2719</v>
      </c>
      <c r="P191" t="s">
        <v>51</v>
      </c>
      <c r="Q191" t="s">
        <v>52</v>
      </c>
      <c r="R191" t="s">
        <v>53</v>
      </c>
      <c r="S191" t="s">
        <v>651</v>
      </c>
      <c r="T191" t="s">
        <v>1708</v>
      </c>
      <c r="U191" t="s">
        <v>56</v>
      </c>
      <c r="V191" s="21" t="s">
        <v>5218</v>
      </c>
      <c r="W191" s="21"/>
      <c r="X191" t="s">
        <v>5347</v>
      </c>
      <c r="Y191" t="s">
        <v>5348</v>
      </c>
      <c r="AB191" t="s">
        <v>2336</v>
      </c>
      <c r="AC191" t="s">
        <v>1759</v>
      </c>
      <c r="AE191" s="15"/>
      <c r="AG191">
        <v>38.980547999999999</v>
      </c>
      <c r="AH191">
        <v>-94.789849000000004</v>
      </c>
      <c r="AI191" t="s">
        <v>5349</v>
      </c>
      <c r="AL191" t="s">
        <v>1715</v>
      </c>
      <c r="AM191" t="s">
        <v>63</v>
      </c>
      <c r="AN191" t="s">
        <v>5350</v>
      </c>
      <c r="AO191">
        <v>193524</v>
      </c>
      <c r="AQ191" t="s">
        <v>5351</v>
      </c>
      <c r="AR191" t="s">
        <v>5352</v>
      </c>
      <c r="AS191" t="s">
        <v>5353</v>
      </c>
      <c r="AT191" t="s">
        <v>68</v>
      </c>
      <c r="AV191" t="s">
        <v>5354</v>
      </c>
      <c r="AW191" t="s">
        <v>5355</v>
      </c>
      <c r="AX191" t="s">
        <v>5356</v>
      </c>
      <c r="BA191" s="14" t="s">
        <v>72</v>
      </c>
      <c r="BB191" s="14" t="s">
        <v>73</v>
      </c>
      <c r="BC191" s="14" t="s">
        <v>1768</v>
      </c>
    </row>
    <row r="192" spans="1:55" ht="15" customHeight="1" x14ac:dyDescent="0.4">
      <c r="A192" s="12">
        <v>3790</v>
      </c>
      <c r="B192" s="21" t="s">
        <v>5357</v>
      </c>
      <c r="C192" s="13" t="s">
        <v>5358</v>
      </c>
      <c r="D192" s="25" t="s">
        <v>5358</v>
      </c>
      <c r="E192" s="13"/>
      <c r="F192" s="41" t="s">
        <v>8126</v>
      </c>
      <c r="G192" s="46" t="s">
        <v>8169</v>
      </c>
      <c r="H192" s="41"/>
      <c r="I192" s="41"/>
      <c r="J192" s="46" t="s">
        <v>8170</v>
      </c>
      <c r="K192" s="65" t="str">
        <f>IFERROR(VLOOKUP(D192,Sheet4!A$1:M$56,11,FALSE),"")</f>
        <v/>
      </c>
      <c r="L192" s="65" t="str">
        <f t="shared" si="2"/>
        <v>genomically introgressed with Q. margaretiae</v>
      </c>
      <c r="M192" s="14" t="s">
        <v>1752</v>
      </c>
      <c r="N192" s="15">
        <v>44775</v>
      </c>
      <c r="O192" t="s">
        <v>2719</v>
      </c>
      <c r="P192" t="s">
        <v>51</v>
      </c>
      <c r="Q192" t="s">
        <v>52</v>
      </c>
      <c r="R192" t="s">
        <v>53</v>
      </c>
      <c r="S192" t="s">
        <v>651</v>
      </c>
      <c r="T192" t="s">
        <v>1708</v>
      </c>
      <c r="U192" t="s">
        <v>56</v>
      </c>
      <c r="V192" s="21" t="s">
        <v>5218</v>
      </c>
      <c r="W192" s="21"/>
      <c r="X192" t="s">
        <v>5326</v>
      </c>
      <c r="Y192" t="s">
        <v>5359</v>
      </c>
      <c r="AB192" t="s">
        <v>2336</v>
      </c>
      <c r="AC192" t="s">
        <v>1759</v>
      </c>
      <c r="AE192" s="15"/>
      <c r="AG192">
        <v>38.980615</v>
      </c>
      <c r="AH192">
        <v>-94.791199000000006</v>
      </c>
      <c r="AI192" t="s">
        <v>5360</v>
      </c>
      <c r="AL192" t="s">
        <v>1715</v>
      </c>
      <c r="AM192" t="s">
        <v>63</v>
      </c>
      <c r="AN192" t="s">
        <v>5361</v>
      </c>
      <c r="AO192">
        <v>193525</v>
      </c>
      <c r="AQ192" t="s">
        <v>5362</v>
      </c>
      <c r="AR192" t="s">
        <v>5363</v>
      </c>
      <c r="AS192" t="s">
        <v>5364</v>
      </c>
      <c r="AT192" t="s">
        <v>68</v>
      </c>
      <c r="AV192" t="s">
        <v>5365</v>
      </c>
      <c r="AW192" t="s">
        <v>5366</v>
      </c>
      <c r="AX192" t="s">
        <v>5367</v>
      </c>
      <c r="BA192" s="14" t="s">
        <v>72</v>
      </c>
      <c r="BB192" s="14" t="s">
        <v>73</v>
      </c>
      <c r="BC192" s="14" t="s">
        <v>1768</v>
      </c>
    </row>
    <row r="193" spans="1:55" ht="15" customHeight="1" x14ac:dyDescent="0.4">
      <c r="A193" s="12">
        <v>3791</v>
      </c>
      <c r="B193" s="21" t="s">
        <v>5368</v>
      </c>
      <c r="C193" s="13" t="s">
        <v>5369</v>
      </c>
      <c r="D193" s="25" t="s">
        <v>5369</v>
      </c>
      <c r="E193" s="13"/>
      <c r="F193" s="41"/>
      <c r="G193" s="41"/>
      <c r="H193" s="41"/>
      <c r="I193" s="41"/>
      <c r="J193" s="41"/>
      <c r="K193" s="65" t="str">
        <f>IFERROR(VLOOKUP(D193,Sheet4!A$1:M$56,11,FALSE),"")</f>
        <v/>
      </c>
      <c r="L193" s="65" t="str">
        <f t="shared" si="2"/>
        <v/>
      </c>
      <c r="M193" s="14" t="s">
        <v>1752</v>
      </c>
      <c r="N193" s="15">
        <v>44775</v>
      </c>
      <c r="O193" t="s">
        <v>2719</v>
      </c>
      <c r="P193" t="s">
        <v>51</v>
      </c>
      <c r="Q193" t="s">
        <v>52</v>
      </c>
      <c r="R193" t="s">
        <v>53</v>
      </c>
      <c r="S193" t="s">
        <v>651</v>
      </c>
      <c r="T193" t="s">
        <v>1708</v>
      </c>
      <c r="U193" t="s">
        <v>56</v>
      </c>
      <c r="V193" s="21" t="s">
        <v>5218</v>
      </c>
      <c r="W193" s="21"/>
      <c r="X193" t="s">
        <v>5370</v>
      </c>
      <c r="Y193" t="s">
        <v>5371</v>
      </c>
      <c r="AB193" t="s">
        <v>1758</v>
      </c>
      <c r="AC193" t="s">
        <v>1759</v>
      </c>
      <c r="AE193" s="15"/>
      <c r="AG193">
        <v>38.988259999999997</v>
      </c>
      <c r="AH193">
        <v>-94.801263000000006</v>
      </c>
      <c r="AI193" t="s">
        <v>5372</v>
      </c>
      <c r="AL193" t="s">
        <v>1715</v>
      </c>
      <c r="AM193" t="s">
        <v>63</v>
      </c>
      <c r="AN193" t="s">
        <v>5373</v>
      </c>
      <c r="AO193">
        <v>193526</v>
      </c>
      <c r="AQ193" t="s">
        <v>5374</v>
      </c>
      <c r="AR193" t="s">
        <v>5375</v>
      </c>
      <c r="AS193" s="26" t="e">
        <v>#N/A</v>
      </c>
      <c r="AT193" t="s">
        <v>68</v>
      </c>
      <c r="AV193" t="s">
        <v>5376</v>
      </c>
      <c r="AW193" t="s">
        <v>5377</v>
      </c>
      <c r="AX193" t="s">
        <v>5378</v>
      </c>
      <c r="BA193" s="14" t="s">
        <v>72</v>
      </c>
      <c r="BB193" s="14" t="s">
        <v>73</v>
      </c>
      <c r="BC193" s="14" t="s">
        <v>1768</v>
      </c>
    </row>
    <row r="194" spans="1:55" ht="15" customHeight="1" x14ac:dyDescent="0.4">
      <c r="A194" s="12">
        <v>3792</v>
      </c>
      <c r="B194" s="21" t="s">
        <v>5379</v>
      </c>
      <c r="C194" s="13" t="s">
        <v>5380</v>
      </c>
      <c r="D194" s="25" t="s">
        <v>5380</v>
      </c>
      <c r="E194" s="13"/>
      <c r="F194" s="41"/>
      <c r="G194" s="41"/>
      <c r="H194" s="41"/>
      <c r="I194" s="41"/>
      <c r="J194" s="41"/>
      <c r="K194" s="65" t="str">
        <f>IFERROR(VLOOKUP(D194,Sheet4!A$1:M$56,11,FALSE),"")</f>
        <v/>
      </c>
      <c r="L194" s="65" t="str">
        <f t="shared" si="2"/>
        <v/>
      </c>
      <c r="M194" s="14" t="s">
        <v>1752</v>
      </c>
      <c r="N194" s="15">
        <v>44775</v>
      </c>
      <c r="O194" t="s">
        <v>2719</v>
      </c>
      <c r="P194" t="s">
        <v>51</v>
      </c>
      <c r="Q194" t="s">
        <v>52</v>
      </c>
      <c r="R194" t="s">
        <v>53</v>
      </c>
      <c r="S194" t="s">
        <v>651</v>
      </c>
      <c r="T194" t="s">
        <v>1708</v>
      </c>
      <c r="U194" t="s">
        <v>56</v>
      </c>
      <c r="V194" s="21" t="s">
        <v>5218</v>
      </c>
      <c r="W194" s="21"/>
      <c r="X194" t="s">
        <v>5381</v>
      </c>
      <c r="Y194" t="s">
        <v>5382</v>
      </c>
      <c r="AB194" t="s">
        <v>2321</v>
      </c>
      <c r="AC194" t="s">
        <v>1759</v>
      </c>
      <c r="AE194" s="15"/>
      <c r="AG194">
        <v>38.988771999999997</v>
      </c>
      <c r="AH194">
        <v>-94.801447999999993</v>
      </c>
      <c r="AI194" t="s">
        <v>5383</v>
      </c>
      <c r="AL194" t="s">
        <v>1715</v>
      </c>
      <c r="AM194" t="s">
        <v>63</v>
      </c>
      <c r="AN194" t="s">
        <v>5384</v>
      </c>
      <c r="AO194">
        <v>193527</v>
      </c>
      <c r="AQ194" t="s">
        <v>5385</v>
      </c>
      <c r="AR194" t="s">
        <v>5386</v>
      </c>
      <c r="AS194" t="s">
        <v>5387</v>
      </c>
      <c r="AT194" t="s">
        <v>68</v>
      </c>
      <c r="AV194" t="s">
        <v>5388</v>
      </c>
      <c r="AW194" t="s">
        <v>5389</v>
      </c>
      <c r="AX194" t="s">
        <v>5390</v>
      </c>
      <c r="BA194" s="14" t="s">
        <v>72</v>
      </c>
      <c r="BB194" s="14" t="s">
        <v>73</v>
      </c>
      <c r="BC194" s="14" t="s">
        <v>1768</v>
      </c>
    </row>
    <row r="195" spans="1:55" ht="15" customHeight="1" x14ac:dyDescent="0.4">
      <c r="A195" s="12">
        <v>3793</v>
      </c>
      <c r="B195" s="21" t="s">
        <v>5391</v>
      </c>
      <c r="C195" s="13" t="s">
        <v>5392</v>
      </c>
      <c r="D195" s="25" t="s">
        <v>5392</v>
      </c>
      <c r="E195" s="13"/>
      <c r="F195" s="41"/>
      <c r="G195" s="41"/>
      <c r="H195" s="41"/>
      <c r="I195" s="41"/>
      <c r="J195" s="41"/>
      <c r="K195" s="65" t="str">
        <f>IFERROR(VLOOKUP(D195,Sheet4!A$1:M$56,11,FALSE),"")</f>
        <v/>
      </c>
      <c r="L195" s="65" t="str">
        <f t="shared" ref="L195:L258" si="3">_xlfn.CONCAT(J195,K195)</f>
        <v/>
      </c>
      <c r="M195" s="14" t="s">
        <v>1878</v>
      </c>
      <c r="N195" s="15">
        <v>44776</v>
      </c>
      <c r="O195" t="s">
        <v>2719</v>
      </c>
      <c r="P195" t="s">
        <v>51</v>
      </c>
      <c r="Q195" t="s">
        <v>52</v>
      </c>
      <c r="R195" t="s">
        <v>53</v>
      </c>
      <c r="S195" t="s">
        <v>651</v>
      </c>
      <c r="T195" t="s">
        <v>1708</v>
      </c>
      <c r="U195" t="s">
        <v>56</v>
      </c>
      <c r="V195" s="21" t="s">
        <v>5218</v>
      </c>
      <c r="W195" s="21"/>
      <c r="X195" t="s">
        <v>5393</v>
      </c>
      <c r="Y195" t="s">
        <v>5394</v>
      </c>
      <c r="AC195" t="s">
        <v>1881</v>
      </c>
      <c r="AE195" s="15"/>
      <c r="AG195">
        <v>38.980013</v>
      </c>
      <c r="AH195">
        <v>-94.808195999999995</v>
      </c>
      <c r="AI195" t="s">
        <v>5221</v>
      </c>
      <c r="AL195" t="s">
        <v>1715</v>
      </c>
      <c r="AM195" t="s">
        <v>63</v>
      </c>
      <c r="AN195" t="s">
        <v>5395</v>
      </c>
      <c r="AO195">
        <v>194505</v>
      </c>
      <c r="AQ195" t="s">
        <v>5396</v>
      </c>
      <c r="AR195" t="s">
        <v>5397</v>
      </c>
      <c r="AS195" t="s">
        <v>5398</v>
      </c>
      <c r="AT195" t="s">
        <v>68</v>
      </c>
      <c r="AV195" t="s">
        <v>5399</v>
      </c>
      <c r="AW195" t="s">
        <v>5400</v>
      </c>
      <c r="AX195" t="s">
        <v>5401</v>
      </c>
      <c r="BA195" s="14" t="s">
        <v>72</v>
      </c>
      <c r="BB195" s="14" t="s">
        <v>73</v>
      </c>
      <c r="BC195" s="14" t="s">
        <v>1723</v>
      </c>
    </row>
    <row r="196" spans="1:55" ht="15" customHeight="1" x14ac:dyDescent="0.4">
      <c r="A196" s="12">
        <v>3794</v>
      </c>
      <c r="B196" s="21" t="s">
        <v>5402</v>
      </c>
      <c r="C196" s="13" t="s">
        <v>5403</v>
      </c>
      <c r="D196" s="25" t="s">
        <v>5403</v>
      </c>
      <c r="E196" s="13"/>
      <c r="F196" s="41"/>
      <c r="G196" s="41"/>
      <c r="H196" s="41"/>
      <c r="I196" s="41"/>
      <c r="J196" s="41"/>
      <c r="K196" s="65" t="str">
        <f>IFERROR(VLOOKUP(D196,Sheet4!A$1:M$56,11,FALSE),"")</f>
        <v/>
      </c>
      <c r="L196" s="65" t="str">
        <f t="shared" si="3"/>
        <v/>
      </c>
      <c r="M196" s="14" t="s">
        <v>1878</v>
      </c>
      <c r="N196" s="15">
        <v>44776</v>
      </c>
      <c r="O196" t="s">
        <v>2719</v>
      </c>
      <c r="P196" t="s">
        <v>51</v>
      </c>
      <c r="Q196" t="s">
        <v>52</v>
      </c>
      <c r="R196" t="s">
        <v>53</v>
      </c>
      <c r="S196" t="s">
        <v>651</v>
      </c>
      <c r="T196" t="s">
        <v>1708</v>
      </c>
      <c r="U196" t="s">
        <v>56</v>
      </c>
      <c r="V196" s="21" t="s">
        <v>5218</v>
      </c>
      <c r="W196" s="21"/>
      <c r="X196" t="s">
        <v>5404</v>
      </c>
      <c r="Y196" t="s">
        <v>5405</v>
      </c>
      <c r="AC196" t="s">
        <v>1881</v>
      </c>
      <c r="AE196" s="15"/>
      <c r="AG196">
        <v>38.979953000000002</v>
      </c>
      <c r="AH196">
        <v>-94.808064999999999</v>
      </c>
      <c r="AI196" t="s">
        <v>5406</v>
      </c>
      <c r="AL196" t="s">
        <v>1715</v>
      </c>
      <c r="AM196" t="s">
        <v>63</v>
      </c>
      <c r="AN196" t="s">
        <v>5407</v>
      </c>
      <c r="AO196">
        <v>194506</v>
      </c>
      <c r="AQ196" t="s">
        <v>5408</v>
      </c>
      <c r="AR196" t="s">
        <v>5409</v>
      </c>
      <c r="AS196" t="s">
        <v>5410</v>
      </c>
      <c r="AT196" t="s">
        <v>68</v>
      </c>
      <c r="AV196" t="s">
        <v>5411</v>
      </c>
      <c r="AW196" t="s">
        <v>5412</v>
      </c>
      <c r="AX196" t="s">
        <v>5413</v>
      </c>
      <c r="BA196" s="14" t="s">
        <v>72</v>
      </c>
      <c r="BB196" s="14" t="s">
        <v>73</v>
      </c>
      <c r="BC196" s="14" t="s">
        <v>1723</v>
      </c>
    </row>
    <row r="197" spans="1:55" ht="15" customHeight="1" x14ac:dyDescent="0.4">
      <c r="A197" s="12">
        <v>3795</v>
      </c>
      <c r="B197" s="21" t="s">
        <v>5414</v>
      </c>
      <c r="C197" s="13" t="s">
        <v>5415</v>
      </c>
      <c r="D197" s="25" t="s">
        <v>5415</v>
      </c>
      <c r="E197" s="13"/>
      <c r="F197" s="41"/>
      <c r="G197" s="41"/>
      <c r="H197" s="41"/>
      <c r="I197" s="41"/>
      <c r="J197" s="41"/>
      <c r="K197" s="65" t="str">
        <f>IFERROR(VLOOKUP(D197,Sheet4!A$1:M$56,11,FALSE),"")</f>
        <v/>
      </c>
      <c r="L197" s="65" t="str">
        <f t="shared" si="3"/>
        <v/>
      </c>
      <c r="M197" s="14" t="s">
        <v>1878</v>
      </c>
      <c r="N197" s="15">
        <v>44776</v>
      </c>
      <c r="O197" t="s">
        <v>2719</v>
      </c>
      <c r="P197" t="s">
        <v>51</v>
      </c>
      <c r="Q197" t="s">
        <v>52</v>
      </c>
      <c r="R197" t="s">
        <v>53</v>
      </c>
      <c r="S197" t="s">
        <v>651</v>
      </c>
      <c r="T197" t="s">
        <v>1708</v>
      </c>
      <c r="U197" t="s">
        <v>56</v>
      </c>
      <c r="V197" s="21" t="s">
        <v>5218</v>
      </c>
      <c r="W197" s="21"/>
      <c r="X197" t="s">
        <v>5404</v>
      </c>
      <c r="Y197" t="s">
        <v>5416</v>
      </c>
      <c r="AC197" t="s">
        <v>1881</v>
      </c>
      <c r="AE197" s="15"/>
      <c r="AG197">
        <v>38.979570000000002</v>
      </c>
      <c r="AH197">
        <v>-94.806826999999998</v>
      </c>
      <c r="AI197" t="s">
        <v>5305</v>
      </c>
      <c r="AK197" s="60"/>
      <c r="AL197" t="s">
        <v>1715</v>
      </c>
      <c r="AM197" t="s">
        <v>63</v>
      </c>
      <c r="AN197" t="s">
        <v>5417</v>
      </c>
      <c r="AO197">
        <v>194507</v>
      </c>
      <c r="AQ197" t="s">
        <v>5418</v>
      </c>
      <c r="AR197" t="s">
        <v>5419</v>
      </c>
      <c r="AS197" t="s">
        <v>5420</v>
      </c>
      <c r="AT197" t="s">
        <v>68</v>
      </c>
      <c r="AV197" t="s">
        <v>5421</v>
      </c>
      <c r="AW197" t="s">
        <v>5422</v>
      </c>
      <c r="AX197" t="s">
        <v>5423</v>
      </c>
      <c r="BA197" s="14" t="s">
        <v>72</v>
      </c>
      <c r="BB197" s="14" t="s">
        <v>73</v>
      </c>
      <c r="BC197" s="14" t="s">
        <v>1723</v>
      </c>
    </row>
    <row r="198" spans="1:55" ht="15" customHeight="1" x14ac:dyDescent="0.4">
      <c r="A198" s="12">
        <v>3796</v>
      </c>
      <c r="B198" s="21" t="s">
        <v>5424</v>
      </c>
      <c r="C198" s="13" t="s">
        <v>5425</v>
      </c>
      <c r="D198" s="25" t="s">
        <v>5425</v>
      </c>
      <c r="E198" s="13"/>
      <c r="F198" s="41"/>
      <c r="G198" s="41"/>
      <c r="H198" s="41"/>
      <c r="I198" s="41"/>
      <c r="J198" s="41"/>
      <c r="K198" s="65" t="str">
        <f>IFERROR(VLOOKUP(D198,Sheet4!A$1:M$56,11,FALSE),"")</f>
        <v/>
      </c>
      <c r="L198" s="65" t="str">
        <f t="shared" si="3"/>
        <v/>
      </c>
      <c r="M198" s="14" t="s">
        <v>1878</v>
      </c>
      <c r="N198" s="15">
        <v>44776</v>
      </c>
      <c r="O198" t="s">
        <v>2719</v>
      </c>
      <c r="P198" t="s">
        <v>51</v>
      </c>
      <c r="Q198" t="s">
        <v>52</v>
      </c>
      <c r="R198" t="s">
        <v>53</v>
      </c>
      <c r="S198" t="s">
        <v>651</v>
      </c>
      <c r="T198" t="s">
        <v>1708</v>
      </c>
      <c r="U198" t="s">
        <v>56</v>
      </c>
      <c r="V198" s="21" t="s">
        <v>5218</v>
      </c>
      <c r="W198" s="21"/>
      <c r="X198" t="s">
        <v>5426</v>
      </c>
      <c r="Y198" t="s">
        <v>5427</v>
      </c>
      <c r="AC198" t="s">
        <v>1881</v>
      </c>
      <c r="AE198" s="15"/>
      <c r="AG198">
        <v>38.979519000000003</v>
      </c>
      <c r="AH198">
        <v>-94.808080000000004</v>
      </c>
      <c r="AI198" t="s">
        <v>5428</v>
      </c>
      <c r="AL198" t="s">
        <v>1715</v>
      </c>
      <c r="AM198" t="s">
        <v>63</v>
      </c>
      <c r="AN198" t="s">
        <v>5429</v>
      </c>
      <c r="AO198">
        <v>194508</v>
      </c>
      <c r="AQ198" t="s">
        <v>5430</v>
      </c>
      <c r="AR198" t="s">
        <v>5431</v>
      </c>
      <c r="AS198" t="s">
        <v>5432</v>
      </c>
      <c r="AT198" t="s">
        <v>68</v>
      </c>
      <c r="AV198" t="s">
        <v>5433</v>
      </c>
      <c r="AW198" t="s">
        <v>5434</v>
      </c>
      <c r="AX198" t="s">
        <v>5435</v>
      </c>
      <c r="BA198" s="14" t="s">
        <v>72</v>
      </c>
      <c r="BB198" s="14" t="s">
        <v>73</v>
      </c>
      <c r="BC198" s="14" t="s">
        <v>1723</v>
      </c>
    </row>
    <row r="199" spans="1:55" ht="15" customHeight="1" x14ac:dyDescent="0.4">
      <c r="A199" s="12">
        <v>3797</v>
      </c>
      <c r="B199" s="21" t="s">
        <v>5436</v>
      </c>
      <c r="C199" s="13" t="s">
        <v>5437</v>
      </c>
      <c r="D199" s="25" t="s">
        <v>5437</v>
      </c>
      <c r="E199" s="13"/>
      <c r="F199" s="41"/>
      <c r="G199" s="41"/>
      <c r="H199" s="41"/>
      <c r="I199" s="41"/>
      <c r="J199" s="41"/>
      <c r="K199" s="65" t="str">
        <f>IFERROR(VLOOKUP(D199,Sheet4!A$1:M$56,11,FALSE),"")</f>
        <v/>
      </c>
      <c r="L199" s="65" t="str">
        <f t="shared" si="3"/>
        <v/>
      </c>
      <c r="M199" s="14" t="s">
        <v>1878</v>
      </c>
      <c r="N199" s="15">
        <v>44776</v>
      </c>
      <c r="O199" t="s">
        <v>2719</v>
      </c>
      <c r="P199" t="s">
        <v>51</v>
      </c>
      <c r="Q199" t="s">
        <v>52</v>
      </c>
      <c r="R199" t="s">
        <v>53</v>
      </c>
      <c r="S199" t="s">
        <v>651</v>
      </c>
      <c r="T199" t="s">
        <v>1708</v>
      </c>
      <c r="U199" t="s">
        <v>56</v>
      </c>
      <c r="V199" s="21" t="s">
        <v>5218</v>
      </c>
      <c r="W199" s="21"/>
      <c r="X199" t="s">
        <v>5438</v>
      </c>
      <c r="Y199" t="s">
        <v>5439</v>
      </c>
      <c r="AC199" t="s">
        <v>1881</v>
      </c>
      <c r="AE199" s="15"/>
      <c r="AG199">
        <v>38.979835000000001</v>
      </c>
      <c r="AH199">
        <v>-94.807522000000006</v>
      </c>
      <c r="AI199" t="s">
        <v>5440</v>
      </c>
      <c r="AL199" t="s">
        <v>1715</v>
      </c>
      <c r="AM199" t="s">
        <v>63</v>
      </c>
      <c r="AN199" t="s">
        <v>5441</v>
      </c>
      <c r="AO199">
        <v>194509</v>
      </c>
      <c r="AQ199" t="s">
        <v>5442</v>
      </c>
      <c r="AR199" t="s">
        <v>5443</v>
      </c>
      <c r="AS199" t="s">
        <v>5444</v>
      </c>
      <c r="AT199" t="s">
        <v>68</v>
      </c>
      <c r="AV199" t="s">
        <v>5445</v>
      </c>
      <c r="AW199" t="s">
        <v>5446</v>
      </c>
      <c r="AX199" t="s">
        <v>5447</v>
      </c>
      <c r="BA199" s="14" t="s">
        <v>72</v>
      </c>
      <c r="BB199" s="14" t="s">
        <v>73</v>
      </c>
      <c r="BC199" s="14" t="s">
        <v>1723</v>
      </c>
    </row>
    <row r="200" spans="1:55" ht="15" customHeight="1" x14ac:dyDescent="0.4">
      <c r="A200" s="12">
        <v>3670</v>
      </c>
      <c r="B200" s="21" t="s">
        <v>3957</v>
      </c>
      <c r="C200" s="13" t="s">
        <v>3958</v>
      </c>
      <c r="D200" s="25" t="s">
        <v>3958</v>
      </c>
      <c r="E200" s="13"/>
      <c r="F200" s="41"/>
      <c r="G200" s="41"/>
      <c r="H200" s="41"/>
      <c r="I200" s="41"/>
      <c r="J200" s="41"/>
      <c r="K200" s="65" t="str">
        <f>IFERROR(VLOOKUP(D200,Sheet4!A$1:M$56,11,FALSE),"")</f>
        <v/>
      </c>
      <c r="L200" s="65" t="str">
        <f t="shared" si="3"/>
        <v/>
      </c>
      <c r="M200" s="14" t="s">
        <v>49</v>
      </c>
      <c r="N200" s="15">
        <v>44755</v>
      </c>
      <c r="O200" t="s">
        <v>3759</v>
      </c>
      <c r="P200" t="s">
        <v>51</v>
      </c>
      <c r="Q200" t="s">
        <v>52</v>
      </c>
      <c r="R200" t="s">
        <v>53</v>
      </c>
      <c r="S200" t="s">
        <v>3760</v>
      </c>
      <c r="T200" t="s">
        <v>3761</v>
      </c>
      <c r="U200" t="s">
        <v>56</v>
      </c>
      <c r="V200" s="21" t="s">
        <v>3959</v>
      </c>
      <c r="W200" s="21"/>
      <c r="X200" t="s">
        <v>3849</v>
      </c>
      <c r="Y200" t="s">
        <v>3960</v>
      </c>
      <c r="AB200" t="s">
        <v>2321</v>
      </c>
      <c r="AC200" t="s">
        <v>60</v>
      </c>
      <c r="AE200" s="15"/>
      <c r="AG200">
        <v>38.139609999999998</v>
      </c>
      <c r="AH200">
        <v>-84.759088000000006</v>
      </c>
      <c r="AI200" t="s">
        <v>3961</v>
      </c>
      <c r="AL200" t="s">
        <v>1715</v>
      </c>
      <c r="AM200" t="s">
        <v>63</v>
      </c>
      <c r="AN200" t="s">
        <v>3962</v>
      </c>
      <c r="AO200">
        <v>194405</v>
      </c>
      <c r="AQ200" t="s">
        <v>3963</v>
      </c>
      <c r="AR200" t="s">
        <v>3964</v>
      </c>
      <c r="AS200" t="s">
        <v>3965</v>
      </c>
      <c r="AT200" t="s">
        <v>68</v>
      </c>
      <c r="AV200" t="s">
        <v>3966</v>
      </c>
      <c r="AW200" t="s">
        <v>3967</v>
      </c>
      <c r="AX200" t="s">
        <v>3968</v>
      </c>
      <c r="BA200" s="14" t="s">
        <v>72</v>
      </c>
      <c r="BB200" s="14" t="s">
        <v>73</v>
      </c>
      <c r="BC200" s="14" t="s">
        <v>74</v>
      </c>
    </row>
    <row r="201" spans="1:55" ht="15" customHeight="1" x14ac:dyDescent="0.4">
      <c r="A201" s="12">
        <v>3671</v>
      </c>
      <c r="B201" s="21" t="s">
        <v>3969</v>
      </c>
      <c r="C201" s="13" t="s">
        <v>3970</v>
      </c>
      <c r="D201" s="25" t="s">
        <v>3970</v>
      </c>
      <c r="E201" s="13"/>
      <c r="F201" s="41"/>
      <c r="G201" s="41"/>
      <c r="H201" s="41"/>
      <c r="I201" s="41"/>
      <c r="J201" s="41"/>
      <c r="K201" s="65" t="str">
        <f>IFERROR(VLOOKUP(D201,Sheet4!A$1:M$56,11,FALSE),"")</f>
        <v/>
      </c>
      <c r="L201" s="65" t="str">
        <f t="shared" si="3"/>
        <v/>
      </c>
      <c r="M201" s="14" t="s">
        <v>49</v>
      </c>
      <c r="N201" s="15">
        <v>44755</v>
      </c>
      <c r="O201" t="s">
        <v>3759</v>
      </c>
      <c r="P201" t="s">
        <v>51</v>
      </c>
      <c r="Q201" t="s">
        <v>52</v>
      </c>
      <c r="R201" t="s">
        <v>53</v>
      </c>
      <c r="S201" t="s">
        <v>3760</v>
      </c>
      <c r="T201" t="s">
        <v>3761</v>
      </c>
      <c r="U201" t="s">
        <v>56</v>
      </c>
      <c r="V201" s="21" t="s">
        <v>3959</v>
      </c>
      <c r="W201" s="21"/>
      <c r="X201" t="s">
        <v>3971</v>
      </c>
      <c r="Y201" t="s">
        <v>3972</v>
      </c>
      <c r="AB201" t="s">
        <v>2440</v>
      </c>
      <c r="AC201" t="s">
        <v>60</v>
      </c>
      <c r="AE201" s="15"/>
      <c r="AG201">
        <v>38.139913</v>
      </c>
      <c r="AH201">
        <v>-84.759962999999999</v>
      </c>
      <c r="AI201" t="s">
        <v>3973</v>
      </c>
      <c r="AL201" t="s">
        <v>1715</v>
      </c>
      <c r="AM201" t="s">
        <v>63</v>
      </c>
      <c r="AN201" t="s">
        <v>3974</v>
      </c>
      <c r="AO201">
        <v>194406</v>
      </c>
      <c r="AQ201" t="s">
        <v>3975</v>
      </c>
      <c r="AR201" t="s">
        <v>3976</v>
      </c>
      <c r="AS201" t="s">
        <v>3977</v>
      </c>
      <c r="AT201" t="s">
        <v>68</v>
      </c>
      <c r="AV201" t="s">
        <v>3978</v>
      </c>
      <c r="AW201" t="s">
        <v>3979</v>
      </c>
      <c r="AX201" t="s">
        <v>3980</v>
      </c>
      <c r="BA201" s="14" t="s">
        <v>72</v>
      </c>
      <c r="BB201" s="14" t="s">
        <v>73</v>
      </c>
      <c r="BC201" s="14" t="s">
        <v>74</v>
      </c>
    </row>
    <row r="202" spans="1:55" ht="15" customHeight="1" x14ac:dyDescent="0.4">
      <c r="A202" s="12">
        <v>3672</v>
      </c>
      <c r="B202" s="21" t="s">
        <v>3981</v>
      </c>
      <c r="C202" s="13" t="s">
        <v>3982</v>
      </c>
      <c r="D202" s="25" t="s">
        <v>3982</v>
      </c>
      <c r="E202" s="13"/>
      <c r="F202" s="41"/>
      <c r="G202" s="41"/>
      <c r="H202" s="41"/>
      <c r="I202" s="41"/>
      <c r="J202" s="41"/>
      <c r="K202" s="65" t="str">
        <f>IFERROR(VLOOKUP(D202,Sheet4!A$1:M$56,11,FALSE),"")</f>
        <v/>
      </c>
      <c r="L202" s="65" t="str">
        <f t="shared" si="3"/>
        <v/>
      </c>
      <c r="M202" s="14" t="s">
        <v>49</v>
      </c>
      <c r="N202" s="15">
        <v>44755</v>
      </c>
      <c r="O202" t="s">
        <v>3759</v>
      </c>
      <c r="P202" t="s">
        <v>51</v>
      </c>
      <c r="Q202" t="s">
        <v>52</v>
      </c>
      <c r="R202" t="s">
        <v>53</v>
      </c>
      <c r="S202" t="s">
        <v>3760</v>
      </c>
      <c r="T202" t="s">
        <v>3761</v>
      </c>
      <c r="U202" t="s">
        <v>56</v>
      </c>
      <c r="V202" s="21" t="s">
        <v>3959</v>
      </c>
      <c r="W202" s="21"/>
      <c r="X202" t="s">
        <v>3971</v>
      </c>
      <c r="Y202" t="s">
        <v>3983</v>
      </c>
      <c r="AB202" t="s">
        <v>2452</v>
      </c>
      <c r="AC202" t="s">
        <v>60</v>
      </c>
      <c r="AE202" s="15"/>
      <c r="AG202">
        <v>38.139006000000002</v>
      </c>
      <c r="AH202">
        <v>-84.760327000000004</v>
      </c>
      <c r="AI202" t="s">
        <v>3984</v>
      </c>
      <c r="AL202" t="s">
        <v>1715</v>
      </c>
      <c r="AM202" t="s">
        <v>63</v>
      </c>
      <c r="AN202" t="s">
        <v>3985</v>
      </c>
      <c r="AO202">
        <v>194407</v>
      </c>
      <c r="AQ202" t="s">
        <v>3986</v>
      </c>
      <c r="AR202" t="s">
        <v>3987</v>
      </c>
      <c r="AS202" t="s">
        <v>3988</v>
      </c>
      <c r="AT202" t="s">
        <v>68</v>
      </c>
      <c r="AV202" t="s">
        <v>3989</v>
      </c>
      <c r="AW202" t="s">
        <v>3990</v>
      </c>
      <c r="AX202" t="s">
        <v>3991</v>
      </c>
      <c r="BA202" s="14" t="s">
        <v>72</v>
      </c>
      <c r="BB202" s="14" t="s">
        <v>73</v>
      </c>
      <c r="BC202" s="14" t="s">
        <v>74</v>
      </c>
    </row>
    <row r="203" spans="1:55" ht="15" customHeight="1" x14ac:dyDescent="0.4">
      <c r="A203" s="12">
        <v>3673</v>
      </c>
      <c r="B203" s="21" t="s">
        <v>3992</v>
      </c>
      <c r="C203" s="13" t="s">
        <v>3993</v>
      </c>
      <c r="D203" s="25" t="s">
        <v>3993</v>
      </c>
      <c r="E203" s="13"/>
      <c r="F203" s="41"/>
      <c r="G203" s="41"/>
      <c r="H203" s="41"/>
      <c r="I203" s="41"/>
      <c r="J203" s="41" t="s">
        <v>8177</v>
      </c>
      <c r="K203" s="65" t="str">
        <f>IFERROR(VLOOKUP(D203,Sheet4!A$1:M$56,11,FALSE),"")</f>
        <v/>
      </c>
      <c r="L203" s="65" t="str">
        <f t="shared" si="3"/>
        <v>May have genomic admixture with Q. prinoides</v>
      </c>
      <c r="M203" s="14" t="s">
        <v>1829</v>
      </c>
      <c r="N203" s="15">
        <v>44755</v>
      </c>
      <c r="O203" t="s">
        <v>3759</v>
      </c>
      <c r="P203" t="s">
        <v>51</v>
      </c>
      <c r="Q203" t="s">
        <v>52</v>
      </c>
      <c r="R203" t="s">
        <v>53</v>
      </c>
      <c r="S203" t="s">
        <v>3760</v>
      </c>
      <c r="T203" t="s">
        <v>3761</v>
      </c>
      <c r="U203" t="s">
        <v>56</v>
      </c>
      <c r="V203" s="21" t="s">
        <v>3959</v>
      </c>
      <c r="W203" s="21"/>
      <c r="X203" t="s">
        <v>3994</v>
      </c>
      <c r="Y203" t="s">
        <v>3995</v>
      </c>
      <c r="AB203" t="s">
        <v>1758</v>
      </c>
      <c r="AC203" t="s">
        <v>1832</v>
      </c>
      <c r="AE203" s="15"/>
      <c r="AG203">
        <v>38.137672000000002</v>
      </c>
      <c r="AH203">
        <v>-84.735528000000002</v>
      </c>
      <c r="AI203" t="s">
        <v>2963</v>
      </c>
      <c r="AL203" t="s">
        <v>1715</v>
      </c>
      <c r="AM203" t="s">
        <v>63</v>
      </c>
      <c r="AN203" t="s">
        <v>3996</v>
      </c>
      <c r="AO203">
        <v>194479</v>
      </c>
      <c r="AQ203" t="s">
        <v>3997</v>
      </c>
      <c r="AR203" t="s">
        <v>3998</v>
      </c>
      <c r="AS203" t="s">
        <v>3999</v>
      </c>
      <c r="AT203" t="s">
        <v>68</v>
      </c>
      <c r="AV203" t="s">
        <v>4000</v>
      </c>
      <c r="AW203" t="s">
        <v>4001</v>
      </c>
      <c r="AX203" t="s">
        <v>4002</v>
      </c>
      <c r="BA203" s="14" t="s">
        <v>72</v>
      </c>
      <c r="BB203" s="14" t="s">
        <v>73</v>
      </c>
      <c r="BC203" s="14" t="s">
        <v>74</v>
      </c>
    </row>
    <row r="204" spans="1:55" ht="15" customHeight="1" x14ac:dyDescent="0.4">
      <c r="A204" s="12">
        <v>3674</v>
      </c>
      <c r="B204" s="21" t="s">
        <v>4003</v>
      </c>
      <c r="C204" s="13" t="s">
        <v>4004</v>
      </c>
      <c r="D204" s="25" t="s">
        <v>4004</v>
      </c>
      <c r="E204" s="13"/>
      <c r="F204" s="41"/>
      <c r="G204" s="41"/>
      <c r="H204" s="41"/>
      <c r="I204" s="41"/>
      <c r="J204" s="41"/>
      <c r="K204" s="65" t="str">
        <f>IFERROR(VLOOKUP(D204,Sheet4!A$1:M$56,11,FALSE),"")</f>
        <v/>
      </c>
      <c r="L204" s="65" t="str">
        <f t="shared" si="3"/>
        <v/>
      </c>
      <c r="M204" s="14" t="s">
        <v>49</v>
      </c>
      <c r="N204" s="15">
        <v>44755</v>
      </c>
      <c r="O204" t="s">
        <v>3759</v>
      </c>
      <c r="P204" t="s">
        <v>51</v>
      </c>
      <c r="Q204" t="s">
        <v>52</v>
      </c>
      <c r="R204" t="s">
        <v>53</v>
      </c>
      <c r="S204" t="s">
        <v>3760</v>
      </c>
      <c r="T204" t="s">
        <v>3761</v>
      </c>
      <c r="U204" t="s">
        <v>56</v>
      </c>
      <c r="V204" s="21" t="s">
        <v>3959</v>
      </c>
      <c r="W204" s="21"/>
      <c r="X204" t="s">
        <v>3849</v>
      </c>
      <c r="Y204" t="s">
        <v>4005</v>
      </c>
      <c r="AC204" t="s">
        <v>60</v>
      </c>
      <c r="AE204" s="15"/>
      <c r="AG204">
        <v>38.137895</v>
      </c>
      <c r="AH204">
        <v>-84.735489999999999</v>
      </c>
      <c r="AI204" t="s">
        <v>4006</v>
      </c>
      <c r="AL204" t="s">
        <v>1715</v>
      </c>
      <c r="AM204" t="s">
        <v>63</v>
      </c>
      <c r="AN204" t="s">
        <v>4007</v>
      </c>
      <c r="AO204">
        <v>194408</v>
      </c>
      <c r="AQ204" t="s">
        <v>4008</v>
      </c>
      <c r="AR204" t="s">
        <v>4009</v>
      </c>
      <c r="AS204" t="s">
        <v>4010</v>
      </c>
      <c r="AT204" t="s">
        <v>68</v>
      </c>
      <c r="AV204" t="s">
        <v>4011</v>
      </c>
      <c r="AW204" t="s">
        <v>4012</v>
      </c>
      <c r="AX204" t="s">
        <v>4013</v>
      </c>
      <c r="BA204" s="14" t="s">
        <v>72</v>
      </c>
      <c r="BB204" s="14" t="s">
        <v>73</v>
      </c>
      <c r="BC204" s="14" t="s">
        <v>74</v>
      </c>
    </row>
    <row r="205" spans="1:55" ht="15" customHeight="1" x14ac:dyDescent="0.4">
      <c r="A205" s="12">
        <v>3675</v>
      </c>
      <c r="B205" s="21" t="s">
        <v>4014</v>
      </c>
      <c r="C205" s="13" t="s">
        <v>4015</v>
      </c>
      <c r="D205" s="25" t="s">
        <v>4015</v>
      </c>
      <c r="E205" s="13"/>
      <c r="F205" s="41"/>
      <c r="G205" s="41"/>
      <c r="H205" s="41"/>
      <c r="I205" s="41"/>
      <c r="J205" s="41"/>
      <c r="K205" s="65" t="str">
        <f>IFERROR(VLOOKUP(D205,Sheet4!A$1:M$56,11,FALSE),"")</f>
        <v/>
      </c>
      <c r="L205" s="65" t="str">
        <f t="shared" si="3"/>
        <v/>
      </c>
      <c r="M205" s="14" t="s">
        <v>49</v>
      </c>
      <c r="N205" s="15">
        <v>44755</v>
      </c>
      <c r="O205" t="s">
        <v>3759</v>
      </c>
      <c r="P205" t="s">
        <v>51</v>
      </c>
      <c r="Q205" t="s">
        <v>52</v>
      </c>
      <c r="R205" t="s">
        <v>53</v>
      </c>
      <c r="S205" t="s">
        <v>3760</v>
      </c>
      <c r="T205" t="s">
        <v>3761</v>
      </c>
      <c r="U205" t="s">
        <v>56</v>
      </c>
      <c r="V205" s="21" t="s">
        <v>3959</v>
      </c>
      <c r="W205" s="21"/>
      <c r="X205" t="s">
        <v>3849</v>
      </c>
      <c r="Y205" t="s">
        <v>4016</v>
      </c>
      <c r="Z205">
        <v>119</v>
      </c>
      <c r="AB205" t="s">
        <v>1758</v>
      </c>
      <c r="AC205" t="s">
        <v>60</v>
      </c>
      <c r="AE205" s="15"/>
      <c r="AG205">
        <v>38.138075000000001</v>
      </c>
      <c r="AH205">
        <v>-84.734804999999994</v>
      </c>
      <c r="AI205" t="s">
        <v>4017</v>
      </c>
      <c r="AL205" t="s">
        <v>1715</v>
      </c>
      <c r="AM205" t="s">
        <v>63</v>
      </c>
      <c r="AN205" t="s">
        <v>4018</v>
      </c>
      <c r="AO205">
        <v>194409</v>
      </c>
      <c r="AQ205" t="s">
        <v>4019</v>
      </c>
      <c r="AR205" t="s">
        <v>4020</v>
      </c>
      <c r="AS205" t="s">
        <v>4021</v>
      </c>
      <c r="AT205" t="s">
        <v>68</v>
      </c>
      <c r="AV205" t="s">
        <v>4022</v>
      </c>
      <c r="AW205" t="s">
        <v>4023</v>
      </c>
      <c r="AX205" t="s">
        <v>4024</v>
      </c>
      <c r="BA205" s="14" t="s">
        <v>72</v>
      </c>
      <c r="BB205" s="14" t="s">
        <v>73</v>
      </c>
      <c r="BC205" s="14" t="s">
        <v>74</v>
      </c>
    </row>
    <row r="206" spans="1:55" ht="15" customHeight="1" x14ac:dyDescent="0.4">
      <c r="A206" s="12">
        <v>3676</v>
      </c>
      <c r="B206" s="21" t="s">
        <v>4025</v>
      </c>
      <c r="C206" s="13" t="s">
        <v>4026</v>
      </c>
      <c r="D206" s="25" t="s">
        <v>4026</v>
      </c>
      <c r="E206" s="13"/>
      <c r="F206" s="41"/>
      <c r="G206" s="41"/>
      <c r="H206" s="41"/>
      <c r="I206" s="41"/>
      <c r="J206" s="41"/>
      <c r="K206" s="65" t="str">
        <f>IFERROR(VLOOKUP(D206,Sheet4!A$1:M$56,11,FALSE),"")</f>
        <v/>
      </c>
      <c r="L206" s="65" t="str">
        <f t="shared" si="3"/>
        <v/>
      </c>
      <c r="M206" s="14" t="s">
        <v>1829</v>
      </c>
      <c r="N206" s="15">
        <v>44755</v>
      </c>
      <c r="O206" t="s">
        <v>3759</v>
      </c>
      <c r="P206" t="s">
        <v>51</v>
      </c>
      <c r="Q206" t="s">
        <v>52</v>
      </c>
      <c r="R206" t="s">
        <v>53</v>
      </c>
      <c r="S206" t="s">
        <v>3760</v>
      </c>
      <c r="T206" t="s">
        <v>3761</v>
      </c>
      <c r="U206" t="s">
        <v>56</v>
      </c>
      <c r="V206" s="21" t="s">
        <v>3959</v>
      </c>
      <c r="W206" s="21"/>
      <c r="X206" t="s">
        <v>3849</v>
      </c>
      <c r="Y206" t="s">
        <v>4027</v>
      </c>
      <c r="Z206">
        <v>157</v>
      </c>
      <c r="AB206" t="s">
        <v>3765</v>
      </c>
      <c r="AC206" t="s">
        <v>1832</v>
      </c>
      <c r="AE206" s="15"/>
      <c r="AG206">
        <v>38.136884999999999</v>
      </c>
      <c r="AH206">
        <v>-84.734226000000007</v>
      </c>
      <c r="AI206" t="s">
        <v>4028</v>
      </c>
      <c r="AL206" t="s">
        <v>1715</v>
      </c>
      <c r="AM206" t="s">
        <v>63</v>
      </c>
      <c r="AN206" t="s">
        <v>4029</v>
      </c>
      <c r="AO206">
        <v>194478</v>
      </c>
      <c r="AQ206" t="s">
        <v>4030</v>
      </c>
      <c r="AR206" t="s">
        <v>4031</v>
      </c>
      <c r="AS206" t="s">
        <v>4032</v>
      </c>
      <c r="AT206" t="s">
        <v>68</v>
      </c>
      <c r="AV206" t="s">
        <v>4033</v>
      </c>
      <c r="AW206" t="s">
        <v>4034</v>
      </c>
      <c r="AX206" t="s">
        <v>4035</v>
      </c>
      <c r="BA206" s="14" t="s">
        <v>72</v>
      </c>
      <c r="BB206" s="14" t="s">
        <v>73</v>
      </c>
      <c r="BC206" s="14" t="s">
        <v>74</v>
      </c>
    </row>
    <row r="207" spans="1:55" ht="15" customHeight="1" x14ac:dyDescent="0.4">
      <c r="A207" s="12">
        <v>3677</v>
      </c>
      <c r="B207" s="21" t="s">
        <v>4036</v>
      </c>
      <c r="C207" s="13" t="s">
        <v>4037</v>
      </c>
      <c r="D207" s="25" t="s">
        <v>4037</v>
      </c>
      <c r="E207" s="13"/>
      <c r="F207" s="41"/>
      <c r="G207" s="41"/>
      <c r="H207" s="41"/>
      <c r="I207" s="41"/>
      <c r="J207" s="41" t="s">
        <v>8177</v>
      </c>
      <c r="K207" s="65" t="str">
        <f>IFERROR(VLOOKUP(D207,Sheet4!A$1:M$56,11,FALSE),"")</f>
        <v/>
      </c>
      <c r="L207" s="65" t="str">
        <f t="shared" si="3"/>
        <v>May have genomic admixture with Q. prinoides</v>
      </c>
      <c r="M207" s="14" t="s">
        <v>1829</v>
      </c>
      <c r="N207" s="15">
        <v>44755</v>
      </c>
      <c r="O207" t="s">
        <v>3759</v>
      </c>
      <c r="P207" t="s">
        <v>51</v>
      </c>
      <c r="Q207" t="s">
        <v>52</v>
      </c>
      <c r="R207" t="s">
        <v>53</v>
      </c>
      <c r="S207" t="s">
        <v>3760</v>
      </c>
      <c r="T207" t="s">
        <v>3761</v>
      </c>
      <c r="U207" t="s">
        <v>56</v>
      </c>
      <c r="V207" s="21" t="s">
        <v>3959</v>
      </c>
      <c r="W207" s="21"/>
      <c r="X207" t="s">
        <v>4038</v>
      </c>
      <c r="Y207" t="s">
        <v>4039</v>
      </c>
      <c r="AC207" t="s">
        <v>1832</v>
      </c>
      <c r="AE207" s="15"/>
      <c r="AG207">
        <v>38.135331999999998</v>
      </c>
      <c r="AH207">
        <v>-84.733104999999995</v>
      </c>
      <c r="AI207" t="s">
        <v>4017</v>
      </c>
      <c r="AL207" t="s">
        <v>1715</v>
      </c>
      <c r="AM207" t="s">
        <v>63</v>
      </c>
      <c r="AN207" t="s">
        <v>4040</v>
      </c>
      <c r="AO207">
        <v>194477</v>
      </c>
      <c r="AQ207" t="s">
        <v>4041</v>
      </c>
      <c r="AR207" t="s">
        <v>4042</v>
      </c>
      <c r="AS207" t="s">
        <v>4043</v>
      </c>
      <c r="AT207" t="s">
        <v>68</v>
      </c>
      <c r="AV207" t="s">
        <v>4044</v>
      </c>
      <c r="AW207" t="s">
        <v>4045</v>
      </c>
      <c r="AX207" t="s">
        <v>4046</v>
      </c>
      <c r="BA207" s="14" t="s">
        <v>72</v>
      </c>
      <c r="BB207" s="14" t="s">
        <v>73</v>
      </c>
      <c r="BC207" s="14" t="s">
        <v>74</v>
      </c>
    </row>
    <row r="208" spans="1:55" ht="15" customHeight="1" x14ac:dyDescent="0.4">
      <c r="A208" s="12">
        <v>3678</v>
      </c>
      <c r="B208" s="21" t="s">
        <v>4047</v>
      </c>
      <c r="C208" s="13" t="s">
        <v>4048</v>
      </c>
      <c r="D208" s="25" t="s">
        <v>4048</v>
      </c>
      <c r="E208" s="13"/>
      <c r="F208" s="41"/>
      <c r="G208" s="41"/>
      <c r="H208" s="41"/>
      <c r="I208" s="41"/>
      <c r="J208" s="41" t="s">
        <v>8177</v>
      </c>
      <c r="K208" s="65" t="str">
        <f>IFERROR(VLOOKUP(D208,Sheet4!A$1:M$56,11,FALSE),"")</f>
        <v/>
      </c>
      <c r="L208" s="65" t="str">
        <f t="shared" si="3"/>
        <v>May have genomic admixture with Q. prinoides</v>
      </c>
      <c r="M208" s="14" t="s">
        <v>1829</v>
      </c>
      <c r="N208" s="15">
        <v>44755</v>
      </c>
      <c r="O208" t="s">
        <v>3759</v>
      </c>
      <c r="P208" t="s">
        <v>51</v>
      </c>
      <c r="Q208" t="s">
        <v>52</v>
      </c>
      <c r="R208" t="s">
        <v>53</v>
      </c>
      <c r="S208" t="s">
        <v>3760</v>
      </c>
      <c r="T208" t="s">
        <v>3761</v>
      </c>
      <c r="U208" t="s">
        <v>56</v>
      </c>
      <c r="V208" s="21" t="s">
        <v>3959</v>
      </c>
      <c r="W208" s="21"/>
      <c r="X208" t="s">
        <v>4049</v>
      </c>
      <c r="Y208" t="s">
        <v>4050</v>
      </c>
      <c r="AC208" t="s">
        <v>1832</v>
      </c>
      <c r="AE208" s="15"/>
      <c r="AG208">
        <v>38.137234999999997</v>
      </c>
      <c r="AH208">
        <v>-84.733179000000007</v>
      </c>
      <c r="AI208" t="s">
        <v>4051</v>
      </c>
      <c r="AL208" t="s">
        <v>1715</v>
      </c>
      <c r="AM208" t="s">
        <v>63</v>
      </c>
      <c r="AN208" t="s">
        <v>4052</v>
      </c>
      <c r="AO208">
        <v>194476</v>
      </c>
      <c r="AQ208" t="s">
        <v>4053</v>
      </c>
      <c r="AR208" t="s">
        <v>4054</v>
      </c>
      <c r="AS208" t="s">
        <v>4055</v>
      </c>
      <c r="AT208" t="s">
        <v>68</v>
      </c>
      <c r="AV208" t="s">
        <v>4056</v>
      </c>
      <c r="AW208" t="s">
        <v>4057</v>
      </c>
      <c r="AX208" t="s">
        <v>4058</v>
      </c>
      <c r="BA208" s="14" t="s">
        <v>72</v>
      </c>
      <c r="BB208" s="14" t="s">
        <v>73</v>
      </c>
      <c r="BC208" s="14" t="s">
        <v>74</v>
      </c>
    </row>
    <row r="209" spans="1:55" ht="15" customHeight="1" x14ac:dyDescent="0.4">
      <c r="A209" s="12">
        <v>3679</v>
      </c>
      <c r="B209" s="21" t="s">
        <v>4059</v>
      </c>
      <c r="C209" s="13" t="s">
        <v>4060</v>
      </c>
      <c r="D209" s="25" t="s">
        <v>4060</v>
      </c>
      <c r="E209" s="13"/>
      <c r="F209" s="41"/>
      <c r="G209" s="41"/>
      <c r="H209" s="41"/>
      <c r="I209" s="41"/>
      <c r="J209" s="41"/>
      <c r="K209" s="65" t="str">
        <f>IFERROR(VLOOKUP(D209,Sheet4!A$1:M$56,11,FALSE),"")</f>
        <v/>
      </c>
      <c r="L209" s="65" t="str">
        <f t="shared" si="3"/>
        <v/>
      </c>
      <c r="M209" s="14" t="s">
        <v>1829</v>
      </c>
      <c r="N209" s="15">
        <v>44755</v>
      </c>
      <c r="O209" t="s">
        <v>3759</v>
      </c>
      <c r="P209" t="s">
        <v>51</v>
      </c>
      <c r="Q209" t="s">
        <v>52</v>
      </c>
      <c r="R209" t="s">
        <v>53</v>
      </c>
      <c r="S209" t="s">
        <v>3760</v>
      </c>
      <c r="T209" t="s">
        <v>3761</v>
      </c>
      <c r="U209" t="s">
        <v>56</v>
      </c>
      <c r="V209" s="21" t="s">
        <v>3959</v>
      </c>
      <c r="W209" s="21"/>
      <c r="X209" t="s">
        <v>4061</v>
      </c>
      <c r="Y209" t="s">
        <v>4062</v>
      </c>
      <c r="Z209">
        <v>21</v>
      </c>
      <c r="AC209" t="s">
        <v>1832</v>
      </c>
      <c r="AE209" s="15"/>
      <c r="AG209">
        <v>38.136532000000003</v>
      </c>
      <c r="AH209">
        <v>-84.735518999999996</v>
      </c>
      <c r="AI209" t="s">
        <v>3916</v>
      </c>
      <c r="AL209" t="s">
        <v>1715</v>
      </c>
      <c r="AM209" t="s">
        <v>63</v>
      </c>
      <c r="AN209" t="s">
        <v>4063</v>
      </c>
      <c r="AO209">
        <v>194475</v>
      </c>
      <c r="AQ209" t="s">
        <v>4064</v>
      </c>
      <c r="AR209" t="s">
        <v>4065</v>
      </c>
      <c r="AS209" t="s">
        <v>4066</v>
      </c>
      <c r="AT209" t="s">
        <v>68</v>
      </c>
      <c r="AV209" t="s">
        <v>4067</v>
      </c>
      <c r="AW209" t="s">
        <v>4068</v>
      </c>
      <c r="AX209" t="s">
        <v>4069</v>
      </c>
      <c r="BA209" s="14" t="s">
        <v>72</v>
      </c>
      <c r="BB209" s="14" t="s">
        <v>73</v>
      </c>
      <c r="BC209" s="14" t="s">
        <v>74</v>
      </c>
    </row>
    <row r="210" spans="1:55" ht="15" customHeight="1" x14ac:dyDescent="0.4">
      <c r="A210" s="12">
        <v>3660</v>
      </c>
      <c r="B210" s="21" t="s">
        <v>3846</v>
      </c>
      <c r="C210" s="13" t="s">
        <v>3847</v>
      </c>
      <c r="D210" s="25" t="s">
        <v>3847</v>
      </c>
      <c r="E210" s="13"/>
      <c r="F210" s="41"/>
      <c r="G210" s="41"/>
      <c r="H210" s="41"/>
      <c r="I210" s="41"/>
      <c r="J210" s="41"/>
      <c r="K210" s="65" t="str">
        <f>IFERROR(VLOOKUP(D210,Sheet4!A$1:M$56,11,FALSE),"")</f>
        <v/>
      </c>
      <c r="L210" s="65" t="str">
        <f t="shared" si="3"/>
        <v/>
      </c>
      <c r="M210" s="14" t="s">
        <v>49</v>
      </c>
      <c r="N210" s="15">
        <v>44755</v>
      </c>
      <c r="O210" t="s">
        <v>3759</v>
      </c>
      <c r="P210" t="s">
        <v>51</v>
      </c>
      <c r="Q210" t="s">
        <v>52</v>
      </c>
      <c r="R210" t="s">
        <v>53</v>
      </c>
      <c r="S210" t="s">
        <v>3760</v>
      </c>
      <c r="T210" t="s">
        <v>3761</v>
      </c>
      <c r="U210" t="s">
        <v>56</v>
      </c>
      <c r="V210" s="21" t="s">
        <v>3848</v>
      </c>
      <c r="W210" s="21"/>
      <c r="X210" t="s">
        <v>3849</v>
      </c>
      <c r="Y210" t="s">
        <v>3850</v>
      </c>
      <c r="AB210" t="s">
        <v>2951</v>
      </c>
      <c r="AC210" t="s">
        <v>60</v>
      </c>
      <c r="AE210" s="15"/>
      <c r="AG210">
        <v>38.278213999999998</v>
      </c>
      <c r="AH210">
        <v>-84.203992</v>
      </c>
      <c r="AI210" t="s">
        <v>3851</v>
      </c>
      <c r="AL210" t="s">
        <v>1715</v>
      </c>
      <c r="AM210" t="s">
        <v>63</v>
      </c>
      <c r="AN210" t="s">
        <v>3852</v>
      </c>
      <c r="AO210">
        <v>194420</v>
      </c>
      <c r="AQ210" t="s">
        <v>3853</v>
      </c>
      <c r="AR210" t="s">
        <v>3854</v>
      </c>
      <c r="AS210" t="s">
        <v>3855</v>
      </c>
      <c r="AT210" t="s">
        <v>68</v>
      </c>
      <c r="AV210" t="s">
        <v>3856</v>
      </c>
      <c r="AW210" t="s">
        <v>3857</v>
      </c>
      <c r="AX210" t="s">
        <v>3858</v>
      </c>
      <c r="BA210" s="14" t="s">
        <v>72</v>
      </c>
      <c r="BB210" s="14" t="s">
        <v>73</v>
      </c>
      <c r="BC210" s="14" t="s">
        <v>74</v>
      </c>
    </row>
    <row r="211" spans="1:55" ht="15" customHeight="1" x14ac:dyDescent="0.4">
      <c r="A211" s="12">
        <v>3661</v>
      </c>
      <c r="B211" s="21" t="s">
        <v>3859</v>
      </c>
      <c r="C211" s="13" t="s">
        <v>3860</v>
      </c>
      <c r="D211" s="25" t="s">
        <v>3860</v>
      </c>
      <c r="E211" s="13"/>
      <c r="F211" s="41"/>
      <c r="G211" s="41"/>
      <c r="H211" s="41"/>
      <c r="I211" s="41"/>
      <c r="J211" s="41"/>
      <c r="K211" s="65" t="str">
        <f>IFERROR(VLOOKUP(D211,Sheet4!A$1:M$56,11,FALSE),"")</f>
        <v/>
      </c>
      <c r="L211" s="65" t="str">
        <f t="shared" si="3"/>
        <v/>
      </c>
      <c r="M211" s="14" t="s">
        <v>1829</v>
      </c>
      <c r="N211" s="15">
        <v>44755</v>
      </c>
      <c r="O211" t="s">
        <v>3759</v>
      </c>
      <c r="P211" t="s">
        <v>51</v>
      </c>
      <c r="Q211" t="s">
        <v>52</v>
      </c>
      <c r="R211" t="s">
        <v>53</v>
      </c>
      <c r="S211" t="s">
        <v>3760</v>
      </c>
      <c r="T211" t="s">
        <v>3761</v>
      </c>
      <c r="U211" t="s">
        <v>56</v>
      </c>
      <c r="V211" s="21" t="s">
        <v>3848</v>
      </c>
      <c r="W211" s="21"/>
      <c r="X211" t="s">
        <v>3849</v>
      </c>
      <c r="Y211" t="s">
        <v>3861</v>
      </c>
      <c r="AB211" t="s">
        <v>2440</v>
      </c>
      <c r="AC211" t="s">
        <v>1832</v>
      </c>
      <c r="AE211" s="15"/>
      <c r="AG211">
        <v>38.218246000000001</v>
      </c>
      <c r="AH211">
        <v>-84.203367999999998</v>
      </c>
      <c r="AI211" t="s">
        <v>3862</v>
      </c>
      <c r="AL211" t="s">
        <v>1715</v>
      </c>
      <c r="AM211" t="s">
        <v>63</v>
      </c>
      <c r="AN211" t="s">
        <v>3863</v>
      </c>
      <c r="AO211">
        <v>194484</v>
      </c>
      <c r="AQ211" t="s">
        <v>3864</v>
      </c>
      <c r="AR211" t="s">
        <v>3865</v>
      </c>
      <c r="AS211" t="s">
        <v>3866</v>
      </c>
      <c r="AT211" t="s">
        <v>68</v>
      </c>
      <c r="AV211" t="s">
        <v>3867</v>
      </c>
      <c r="AW211" t="s">
        <v>3868</v>
      </c>
      <c r="AX211" t="s">
        <v>3869</v>
      </c>
      <c r="BA211" s="14" t="s">
        <v>72</v>
      </c>
      <c r="BB211" s="14" t="s">
        <v>73</v>
      </c>
      <c r="BC211" s="14" t="s">
        <v>74</v>
      </c>
    </row>
    <row r="212" spans="1:55" ht="15" customHeight="1" x14ac:dyDescent="0.4">
      <c r="A212" s="12">
        <v>3662</v>
      </c>
      <c r="B212" s="21" t="s">
        <v>3870</v>
      </c>
      <c r="C212" s="13" t="s">
        <v>3871</v>
      </c>
      <c r="D212" s="25" t="s">
        <v>3871</v>
      </c>
      <c r="E212" s="13"/>
      <c r="F212" s="41"/>
      <c r="G212" s="41"/>
      <c r="H212" s="41"/>
      <c r="I212" s="41"/>
      <c r="J212" s="41"/>
      <c r="K212" s="65" t="str">
        <f>IFERROR(VLOOKUP(D212,Sheet4!A$1:M$56,11,FALSE),"")</f>
        <v/>
      </c>
      <c r="L212" s="65" t="str">
        <f t="shared" si="3"/>
        <v/>
      </c>
      <c r="M212" s="14" t="s">
        <v>49</v>
      </c>
      <c r="N212" s="15">
        <v>44755</v>
      </c>
      <c r="O212" t="s">
        <v>3759</v>
      </c>
      <c r="P212" t="s">
        <v>51</v>
      </c>
      <c r="Q212" t="s">
        <v>52</v>
      </c>
      <c r="R212" t="s">
        <v>53</v>
      </c>
      <c r="S212" t="s">
        <v>3760</v>
      </c>
      <c r="T212" t="s">
        <v>3761</v>
      </c>
      <c r="U212" t="s">
        <v>56</v>
      </c>
      <c r="V212" s="21" t="s">
        <v>3848</v>
      </c>
      <c r="W212" s="21"/>
      <c r="X212" t="s">
        <v>3849</v>
      </c>
      <c r="Y212" t="s">
        <v>3872</v>
      </c>
      <c r="AB212" t="s">
        <v>2440</v>
      </c>
      <c r="AC212" t="s">
        <v>60</v>
      </c>
      <c r="AE212" s="15"/>
      <c r="AG212">
        <v>38.278441000000001</v>
      </c>
      <c r="AH212">
        <v>-84.203367999999998</v>
      </c>
      <c r="AI212" t="s">
        <v>3020</v>
      </c>
      <c r="AL212" t="s">
        <v>1715</v>
      </c>
      <c r="AM212" t="s">
        <v>63</v>
      </c>
      <c r="AN212" t="s">
        <v>3873</v>
      </c>
      <c r="AO212">
        <v>193370</v>
      </c>
      <c r="AQ212" t="s">
        <v>3874</v>
      </c>
      <c r="AR212" t="s">
        <v>3875</v>
      </c>
      <c r="AS212" t="s">
        <v>3876</v>
      </c>
      <c r="AT212" t="s">
        <v>68</v>
      </c>
      <c r="AV212" t="s">
        <v>3877</v>
      </c>
      <c r="AW212" t="s">
        <v>3878</v>
      </c>
      <c r="AX212" t="s">
        <v>3879</v>
      </c>
      <c r="BA212" s="14" t="s">
        <v>72</v>
      </c>
      <c r="BB212" s="14" t="s">
        <v>73</v>
      </c>
      <c r="BC212" s="14" t="s">
        <v>74</v>
      </c>
    </row>
    <row r="213" spans="1:55" ht="15" customHeight="1" x14ac:dyDescent="0.4">
      <c r="A213" s="12">
        <v>3663</v>
      </c>
      <c r="B213" s="21" t="s">
        <v>3880</v>
      </c>
      <c r="C213" s="13" t="s">
        <v>3881</v>
      </c>
      <c r="D213" s="25" t="s">
        <v>3881</v>
      </c>
      <c r="E213" s="13"/>
      <c r="F213" s="41"/>
      <c r="G213" s="41"/>
      <c r="H213" s="41"/>
      <c r="I213" s="41"/>
      <c r="J213" s="41" t="s">
        <v>8177</v>
      </c>
      <c r="K213" s="65" t="str">
        <f>IFERROR(VLOOKUP(D213,Sheet4!A$1:M$56,11,FALSE),"")</f>
        <v/>
      </c>
      <c r="L213" s="65" t="str">
        <f t="shared" si="3"/>
        <v>May have genomic admixture with Q. prinoides</v>
      </c>
      <c r="M213" s="14" t="s">
        <v>1829</v>
      </c>
      <c r="N213" s="15">
        <v>44755</v>
      </c>
      <c r="O213" t="s">
        <v>3759</v>
      </c>
      <c r="P213" t="s">
        <v>51</v>
      </c>
      <c r="Q213" t="s">
        <v>52</v>
      </c>
      <c r="R213" t="s">
        <v>53</v>
      </c>
      <c r="S213" t="s">
        <v>3760</v>
      </c>
      <c r="T213" t="s">
        <v>3761</v>
      </c>
      <c r="U213" t="s">
        <v>56</v>
      </c>
      <c r="V213" s="21" t="s">
        <v>3848</v>
      </c>
      <c r="W213" s="21"/>
      <c r="X213" t="s">
        <v>3849</v>
      </c>
      <c r="Y213" t="s">
        <v>3882</v>
      </c>
      <c r="AB213" t="s">
        <v>3765</v>
      </c>
      <c r="AC213" t="s">
        <v>1832</v>
      </c>
      <c r="AE213" s="15"/>
      <c r="AG213">
        <v>38.277377999999999</v>
      </c>
      <c r="AH213">
        <v>-84.201969000000005</v>
      </c>
      <c r="AI213" t="s">
        <v>3883</v>
      </c>
      <c r="AL213" t="s">
        <v>1715</v>
      </c>
      <c r="AM213" t="s">
        <v>63</v>
      </c>
      <c r="AN213" t="s">
        <v>3884</v>
      </c>
      <c r="AO213">
        <v>194483</v>
      </c>
      <c r="AQ213" t="s">
        <v>3885</v>
      </c>
      <c r="AR213" t="s">
        <v>3886</v>
      </c>
      <c r="AS213" t="s">
        <v>3887</v>
      </c>
      <c r="AT213" t="s">
        <v>68</v>
      </c>
      <c r="AV213" t="s">
        <v>3888</v>
      </c>
      <c r="AW213" t="s">
        <v>3889</v>
      </c>
      <c r="AX213" t="s">
        <v>3890</v>
      </c>
      <c r="BA213" s="14" t="s">
        <v>72</v>
      </c>
      <c r="BB213" s="14" t="s">
        <v>73</v>
      </c>
      <c r="BC213" s="14" t="s">
        <v>74</v>
      </c>
    </row>
    <row r="214" spans="1:55" ht="15" customHeight="1" x14ac:dyDescent="0.4">
      <c r="A214" s="12">
        <v>3664</v>
      </c>
      <c r="B214" s="21" t="s">
        <v>3891</v>
      </c>
      <c r="C214" s="13" t="s">
        <v>3892</v>
      </c>
      <c r="D214" s="25" t="s">
        <v>3892</v>
      </c>
      <c r="E214" s="13"/>
      <c r="F214" s="41"/>
      <c r="G214" s="41"/>
      <c r="H214" s="41"/>
      <c r="I214" s="41"/>
      <c r="J214" s="41"/>
      <c r="K214" s="65" t="str">
        <f>IFERROR(VLOOKUP(D214,Sheet4!A$1:M$56,11,FALSE),"")</f>
        <v/>
      </c>
      <c r="L214" s="65" t="str">
        <f t="shared" si="3"/>
        <v/>
      </c>
      <c r="M214" s="14" t="s">
        <v>1829</v>
      </c>
      <c r="N214" s="15">
        <v>44755</v>
      </c>
      <c r="O214" t="s">
        <v>3759</v>
      </c>
      <c r="P214" t="s">
        <v>51</v>
      </c>
      <c r="Q214" t="s">
        <v>52</v>
      </c>
      <c r="R214" t="s">
        <v>53</v>
      </c>
      <c r="S214" t="s">
        <v>3760</v>
      </c>
      <c r="T214" t="s">
        <v>3761</v>
      </c>
      <c r="U214" t="s">
        <v>56</v>
      </c>
      <c r="V214" s="21" t="s">
        <v>3848</v>
      </c>
      <c r="W214" s="21"/>
      <c r="X214" t="s">
        <v>3849</v>
      </c>
      <c r="Y214" t="s">
        <v>3893</v>
      </c>
      <c r="AB214" t="s">
        <v>1758</v>
      </c>
      <c r="AC214" t="s">
        <v>1832</v>
      </c>
      <c r="AE214" s="15"/>
      <c r="AG214">
        <v>38.271569999999997</v>
      </c>
      <c r="AH214">
        <v>-84.207532</v>
      </c>
      <c r="AI214" t="s">
        <v>3894</v>
      </c>
      <c r="AL214" t="s">
        <v>1715</v>
      </c>
      <c r="AM214" t="s">
        <v>63</v>
      </c>
      <c r="AN214" t="s">
        <v>3895</v>
      </c>
      <c r="AO214">
        <v>194482</v>
      </c>
      <c r="AQ214" t="s">
        <v>3896</v>
      </c>
      <c r="AR214" t="s">
        <v>3897</v>
      </c>
      <c r="AS214" t="s">
        <v>3898</v>
      </c>
      <c r="AT214" t="s">
        <v>68</v>
      </c>
      <c r="AV214" t="s">
        <v>3899</v>
      </c>
      <c r="AW214" t="s">
        <v>3900</v>
      </c>
      <c r="AX214" t="s">
        <v>3901</v>
      </c>
      <c r="BA214" s="14" t="s">
        <v>72</v>
      </c>
      <c r="BB214" s="14" t="s">
        <v>73</v>
      </c>
      <c r="BC214" s="14" t="s">
        <v>74</v>
      </c>
    </row>
    <row r="215" spans="1:55" ht="15" customHeight="1" x14ac:dyDescent="0.4">
      <c r="A215" s="12">
        <v>3665</v>
      </c>
      <c r="B215" s="21" t="s">
        <v>3902</v>
      </c>
      <c r="C215" s="13" t="s">
        <v>3903</v>
      </c>
      <c r="D215" s="25" t="s">
        <v>3903</v>
      </c>
      <c r="E215" s="13"/>
      <c r="F215" s="41"/>
      <c r="G215" s="41"/>
      <c r="H215" s="41"/>
      <c r="I215" s="41"/>
      <c r="J215" s="41"/>
      <c r="K215" s="65" t="str">
        <f>IFERROR(VLOOKUP(D215,Sheet4!A$1:M$56,11,FALSE),"")</f>
        <v/>
      </c>
      <c r="L215" s="65" t="str">
        <f t="shared" si="3"/>
        <v/>
      </c>
      <c r="M215" s="14" t="s">
        <v>1829</v>
      </c>
      <c r="N215" s="15">
        <v>44755</v>
      </c>
      <c r="O215" t="s">
        <v>3759</v>
      </c>
      <c r="P215" t="s">
        <v>51</v>
      </c>
      <c r="Q215" t="s">
        <v>52</v>
      </c>
      <c r="R215" t="s">
        <v>53</v>
      </c>
      <c r="S215" t="s">
        <v>3760</v>
      </c>
      <c r="T215" t="s">
        <v>3761</v>
      </c>
      <c r="U215" t="s">
        <v>56</v>
      </c>
      <c r="V215" s="21" t="s">
        <v>3848</v>
      </c>
      <c r="W215" s="21"/>
      <c r="X215" t="s">
        <v>3849</v>
      </c>
      <c r="Y215" t="s">
        <v>3904</v>
      </c>
      <c r="AB215" t="s">
        <v>1758</v>
      </c>
      <c r="AC215" t="s">
        <v>1832</v>
      </c>
      <c r="AE215" s="15"/>
      <c r="AG215">
        <v>38.272506999999997</v>
      </c>
      <c r="AH215">
        <v>-84.208583000000004</v>
      </c>
      <c r="AI215" t="s">
        <v>3905</v>
      </c>
      <c r="AL215" t="s">
        <v>1715</v>
      </c>
      <c r="AM215" t="s">
        <v>63</v>
      </c>
      <c r="AN215" t="s">
        <v>3906</v>
      </c>
      <c r="AO215">
        <v>194481</v>
      </c>
      <c r="AQ215" t="s">
        <v>3907</v>
      </c>
      <c r="AR215" t="s">
        <v>3908</v>
      </c>
      <c r="AS215" t="s">
        <v>3909</v>
      </c>
      <c r="AT215" t="s">
        <v>68</v>
      </c>
      <c r="AV215" t="s">
        <v>3910</v>
      </c>
      <c r="AW215" t="s">
        <v>3911</v>
      </c>
      <c r="AX215" t="s">
        <v>3912</v>
      </c>
      <c r="BA215" s="14" t="s">
        <v>72</v>
      </c>
      <c r="BB215" s="14" t="s">
        <v>73</v>
      </c>
      <c r="BC215" s="14" t="s">
        <v>74</v>
      </c>
    </row>
    <row r="216" spans="1:55" ht="15" customHeight="1" x14ac:dyDescent="0.4">
      <c r="A216" s="12">
        <v>3666</v>
      </c>
      <c r="B216" s="21" t="s">
        <v>3913</v>
      </c>
      <c r="C216" s="13" t="s">
        <v>3914</v>
      </c>
      <c r="D216" s="25" t="s">
        <v>3914</v>
      </c>
      <c r="E216" s="13"/>
      <c r="F216" s="41"/>
      <c r="G216" s="41"/>
      <c r="H216" s="41"/>
      <c r="I216" s="41"/>
      <c r="J216" s="41"/>
      <c r="K216" s="65" t="str">
        <f>IFERROR(VLOOKUP(D216,Sheet4!A$1:M$56,11,FALSE),"")</f>
        <v/>
      </c>
      <c r="L216" s="65" t="str">
        <f t="shared" si="3"/>
        <v/>
      </c>
      <c r="M216" s="14" t="s">
        <v>49</v>
      </c>
      <c r="N216" s="15">
        <v>44755</v>
      </c>
      <c r="O216" t="s">
        <v>3759</v>
      </c>
      <c r="P216" t="s">
        <v>51</v>
      </c>
      <c r="Q216" t="s">
        <v>52</v>
      </c>
      <c r="R216" t="s">
        <v>53</v>
      </c>
      <c r="S216" t="s">
        <v>3760</v>
      </c>
      <c r="T216" t="s">
        <v>3761</v>
      </c>
      <c r="U216" t="s">
        <v>56</v>
      </c>
      <c r="V216" s="21" t="s">
        <v>3848</v>
      </c>
      <c r="W216" s="21"/>
      <c r="X216" t="s">
        <v>3849</v>
      </c>
      <c r="Y216" t="s">
        <v>3915</v>
      </c>
      <c r="AB216" t="s">
        <v>2452</v>
      </c>
      <c r="AC216" t="s">
        <v>60</v>
      </c>
      <c r="AE216" s="15"/>
      <c r="AG216">
        <v>38.272666999999998</v>
      </c>
      <c r="AH216">
        <v>-84.209079000000003</v>
      </c>
      <c r="AI216" t="s">
        <v>3916</v>
      </c>
      <c r="AL216" t="s">
        <v>1715</v>
      </c>
      <c r="AM216" t="s">
        <v>63</v>
      </c>
      <c r="AN216" t="s">
        <v>3917</v>
      </c>
      <c r="AO216">
        <v>194421</v>
      </c>
      <c r="AQ216" t="s">
        <v>3918</v>
      </c>
      <c r="AR216" t="s">
        <v>3919</v>
      </c>
      <c r="AS216" t="s">
        <v>3920</v>
      </c>
      <c r="AT216" t="s">
        <v>68</v>
      </c>
      <c r="AV216" t="s">
        <v>3921</v>
      </c>
      <c r="AW216" t="s">
        <v>3922</v>
      </c>
      <c r="AX216" t="s">
        <v>3923</v>
      </c>
      <c r="BA216" s="14" t="s">
        <v>72</v>
      </c>
      <c r="BB216" s="14" t="s">
        <v>73</v>
      </c>
      <c r="BC216" s="14" t="s">
        <v>74</v>
      </c>
    </row>
    <row r="217" spans="1:55" ht="15" customHeight="1" x14ac:dyDescent="0.4">
      <c r="A217" s="12">
        <v>3667</v>
      </c>
      <c r="B217" s="21" t="s">
        <v>3924</v>
      </c>
      <c r="C217" s="13" t="s">
        <v>3925</v>
      </c>
      <c r="D217" s="25" t="s">
        <v>3925</v>
      </c>
      <c r="E217" s="13"/>
      <c r="F217" s="41"/>
      <c r="G217" s="41"/>
      <c r="H217" s="41"/>
      <c r="I217" s="41"/>
      <c r="J217" s="41"/>
      <c r="K217" s="65" t="str">
        <f>IFERROR(VLOOKUP(D217,Sheet4!A$1:M$56,11,FALSE),"")</f>
        <v/>
      </c>
      <c r="L217" s="65" t="str">
        <f t="shared" si="3"/>
        <v/>
      </c>
      <c r="M217" s="14" t="s">
        <v>49</v>
      </c>
      <c r="N217" s="15">
        <v>44755</v>
      </c>
      <c r="O217" t="s">
        <v>3759</v>
      </c>
      <c r="P217" t="s">
        <v>51</v>
      </c>
      <c r="Q217" t="s">
        <v>52</v>
      </c>
      <c r="R217" t="s">
        <v>53</v>
      </c>
      <c r="S217" t="s">
        <v>3760</v>
      </c>
      <c r="T217" t="s">
        <v>3761</v>
      </c>
      <c r="U217" t="s">
        <v>56</v>
      </c>
      <c r="V217" s="21" t="s">
        <v>3848</v>
      </c>
      <c r="W217" s="21"/>
      <c r="X217" t="s">
        <v>3849</v>
      </c>
      <c r="Y217" t="s">
        <v>3926</v>
      </c>
      <c r="AB217" t="s">
        <v>2452</v>
      </c>
      <c r="AC217" t="s">
        <v>60</v>
      </c>
      <c r="AE217" s="15"/>
      <c r="AG217">
        <v>38.273397000000003</v>
      </c>
      <c r="AH217">
        <v>-84.208157999999997</v>
      </c>
      <c r="AI217" t="s">
        <v>3927</v>
      </c>
      <c r="AL217" t="s">
        <v>1715</v>
      </c>
      <c r="AM217" t="s">
        <v>63</v>
      </c>
      <c r="AN217" t="s">
        <v>3928</v>
      </c>
      <c r="AO217">
        <v>194422</v>
      </c>
      <c r="AQ217" t="s">
        <v>3929</v>
      </c>
      <c r="AR217" t="s">
        <v>3930</v>
      </c>
      <c r="AS217" t="s">
        <v>3931</v>
      </c>
      <c r="AT217" t="s">
        <v>68</v>
      </c>
      <c r="AV217" t="s">
        <v>3932</v>
      </c>
      <c r="AW217" t="s">
        <v>3933</v>
      </c>
      <c r="AX217" t="s">
        <v>3934</v>
      </c>
      <c r="BA217" s="14" t="s">
        <v>72</v>
      </c>
      <c r="BB217" s="14" t="s">
        <v>73</v>
      </c>
      <c r="BC217" s="14" t="s">
        <v>74</v>
      </c>
    </row>
    <row r="218" spans="1:55" ht="15" customHeight="1" x14ac:dyDescent="0.4">
      <c r="A218" s="12">
        <v>3668</v>
      </c>
      <c r="B218" s="21" t="s">
        <v>3935</v>
      </c>
      <c r="C218" s="13" t="s">
        <v>3936</v>
      </c>
      <c r="D218" s="25" t="s">
        <v>3936</v>
      </c>
      <c r="E218" s="13"/>
      <c r="F218" s="41"/>
      <c r="G218" s="41"/>
      <c r="H218" s="41"/>
      <c r="I218" s="41"/>
      <c r="J218" s="41" t="s">
        <v>8177</v>
      </c>
      <c r="K218" s="65" t="str">
        <f>IFERROR(VLOOKUP(D218,Sheet4!A$1:M$56,11,FALSE),"")</f>
        <v/>
      </c>
      <c r="L218" s="65" t="str">
        <f t="shared" si="3"/>
        <v>May have genomic admixture with Q. prinoides</v>
      </c>
      <c r="M218" s="14" t="s">
        <v>1829</v>
      </c>
      <c r="N218" s="15">
        <v>44755</v>
      </c>
      <c r="O218" t="s">
        <v>3759</v>
      </c>
      <c r="P218" t="s">
        <v>51</v>
      </c>
      <c r="Q218" t="s">
        <v>52</v>
      </c>
      <c r="R218" t="s">
        <v>53</v>
      </c>
      <c r="S218" t="s">
        <v>3760</v>
      </c>
      <c r="T218" t="s">
        <v>3761</v>
      </c>
      <c r="U218" t="s">
        <v>56</v>
      </c>
      <c r="V218" s="21" t="s">
        <v>3848</v>
      </c>
      <c r="W218" s="21"/>
      <c r="X218" t="s">
        <v>3849</v>
      </c>
      <c r="Y218" t="s">
        <v>3937</v>
      </c>
      <c r="AB218" t="s">
        <v>1758</v>
      </c>
      <c r="AC218" t="s">
        <v>1832</v>
      </c>
      <c r="AE218" s="15"/>
      <c r="AG218">
        <v>38.273643</v>
      </c>
      <c r="AH218">
        <v>-84.208108999999993</v>
      </c>
      <c r="AI218" t="s">
        <v>3938</v>
      </c>
      <c r="AL218" t="s">
        <v>1715</v>
      </c>
      <c r="AM218" t="s">
        <v>63</v>
      </c>
      <c r="AN218" t="s">
        <v>3939</v>
      </c>
      <c r="AO218">
        <v>194480</v>
      </c>
      <c r="AQ218" t="s">
        <v>3940</v>
      </c>
      <c r="AR218" t="s">
        <v>3941</v>
      </c>
      <c r="AS218" t="s">
        <v>3942</v>
      </c>
      <c r="AT218" t="s">
        <v>68</v>
      </c>
      <c r="AV218" t="s">
        <v>3943</v>
      </c>
      <c r="AW218" t="s">
        <v>3944</v>
      </c>
      <c r="AX218" t="s">
        <v>3945</v>
      </c>
      <c r="BA218" s="14" t="s">
        <v>72</v>
      </c>
      <c r="BB218" s="14" t="s">
        <v>73</v>
      </c>
      <c r="BC218" s="14" t="s">
        <v>74</v>
      </c>
    </row>
    <row r="219" spans="1:55" ht="15" customHeight="1" x14ac:dyDescent="0.4">
      <c r="A219" s="12">
        <v>3669</v>
      </c>
      <c r="B219" s="21" t="s">
        <v>3946</v>
      </c>
      <c r="C219" s="13" t="s">
        <v>3947</v>
      </c>
      <c r="D219" s="25" t="s">
        <v>3947</v>
      </c>
      <c r="E219" s="13"/>
      <c r="F219" s="41"/>
      <c r="G219" s="41"/>
      <c r="H219" s="41"/>
      <c r="I219" s="41"/>
      <c r="J219" s="41"/>
      <c r="K219" s="65" t="str">
        <f>IFERROR(VLOOKUP(D219,Sheet4!A$1:M$56,11,FALSE),"")</f>
        <v/>
      </c>
      <c r="L219" s="65" t="str">
        <f t="shared" si="3"/>
        <v/>
      </c>
      <c r="M219" s="14" t="s">
        <v>49</v>
      </c>
      <c r="N219" s="15">
        <v>44755</v>
      </c>
      <c r="O219" t="s">
        <v>3759</v>
      </c>
      <c r="P219" t="s">
        <v>51</v>
      </c>
      <c r="Q219" t="s">
        <v>52</v>
      </c>
      <c r="R219" t="s">
        <v>53</v>
      </c>
      <c r="S219" t="s">
        <v>3760</v>
      </c>
      <c r="T219" t="s">
        <v>3761</v>
      </c>
      <c r="U219" t="s">
        <v>56</v>
      </c>
      <c r="V219" s="21" t="s">
        <v>3848</v>
      </c>
      <c r="W219" s="21"/>
      <c r="X219" t="s">
        <v>3849</v>
      </c>
      <c r="Y219" t="s">
        <v>3948</v>
      </c>
      <c r="AB219" t="s">
        <v>1758</v>
      </c>
      <c r="AC219" t="s">
        <v>60</v>
      </c>
      <c r="AE219" s="15"/>
      <c r="AG219">
        <v>38.274020999999998</v>
      </c>
      <c r="AH219">
        <v>-84.209338000000002</v>
      </c>
      <c r="AI219" t="s">
        <v>3949</v>
      </c>
      <c r="AL219" t="s">
        <v>1715</v>
      </c>
      <c r="AM219" t="s">
        <v>63</v>
      </c>
      <c r="AN219" t="s">
        <v>3950</v>
      </c>
      <c r="AO219">
        <v>194404</v>
      </c>
      <c r="AQ219" t="s">
        <v>3951</v>
      </c>
      <c r="AR219" t="s">
        <v>3952</v>
      </c>
      <c r="AS219" t="s">
        <v>3953</v>
      </c>
      <c r="AT219" t="s">
        <v>68</v>
      </c>
      <c r="AV219" t="s">
        <v>3954</v>
      </c>
      <c r="AW219" t="s">
        <v>3955</v>
      </c>
      <c r="AX219" t="s">
        <v>3956</v>
      </c>
      <c r="BA219" s="14" t="s">
        <v>72</v>
      </c>
      <c r="BB219" s="14" t="s">
        <v>73</v>
      </c>
      <c r="BC219" s="14" t="s">
        <v>74</v>
      </c>
    </row>
    <row r="220" spans="1:55" ht="15" customHeight="1" x14ac:dyDescent="0.4">
      <c r="A220" s="12">
        <v>3657</v>
      </c>
      <c r="B220" s="21" t="s">
        <v>3811</v>
      </c>
      <c r="C220" s="13" t="s">
        <v>3812</v>
      </c>
      <c r="D220" s="25" t="s">
        <v>3812</v>
      </c>
      <c r="E220" s="13"/>
      <c r="F220" s="41"/>
      <c r="G220" s="41"/>
      <c r="H220" s="41"/>
      <c r="I220" s="41"/>
      <c r="J220" s="41"/>
      <c r="K220" s="65" t="str">
        <f>IFERROR(VLOOKUP(D220,Sheet4!A$1:M$56,11,FALSE),"")</f>
        <v/>
      </c>
      <c r="L220" s="65" t="str">
        <f t="shared" si="3"/>
        <v/>
      </c>
      <c r="M220" s="14" t="s">
        <v>49</v>
      </c>
      <c r="N220" s="15">
        <v>44754</v>
      </c>
      <c r="O220" t="s">
        <v>3759</v>
      </c>
      <c r="P220" t="s">
        <v>51</v>
      </c>
      <c r="Q220" t="s">
        <v>52</v>
      </c>
      <c r="R220" t="s">
        <v>53</v>
      </c>
      <c r="S220" t="s">
        <v>3760</v>
      </c>
      <c r="T220" t="s">
        <v>3761</v>
      </c>
      <c r="U220" t="s">
        <v>56</v>
      </c>
      <c r="V220" s="21" t="s">
        <v>2721</v>
      </c>
      <c r="W220" s="21"/>
      <c r="X220" t="s">
        <v>3813</v>
      </c>
      <c r="Y220" t="s">
        <v>3814</v>
      </c>
      <c r="AB220" t="s">
        <v>3815</v>
      </c>
      <c r="AC220" t="s">
        <v>60</v>
      </c>
      <c r="AE220" s="15"/>
      <c r="AG220">
        <v>38.055833999999997</v>
      </c>
      <c r="AH220">
        <v>-84.476246000000003</v>
      </c>
      <c r="AI220" t="s">
        <v>3816</v>
      </c>
      <c r="AL220" t="s">
        <v>1715</v>
      </c>
      <c r="AM220" t="s">
        <v>63</v>
      </c>
      <c r="AN220" t="s">
        <v>3817</v>
      </c>
      <c r="AO220">
        <v>194419</v>
      </c>
      <c r="AQ220" t="s">
        <v>3818</v>
      </c>
      <c r="AR220" t="s">
        <v>3819</v>
      </c>
      <c r="AS220" t="s">
        <v>3820</v>
      </c>
      <c r="AT220" t="s">
        <v>68</v>
      </c>
      <c r="AV220" t="s">
        <v>3821</v>
      </c>
      <c r="AW220" t="s">
        <v>3822</v>
      </c>
      <c r="AX220" t="s">
        <v>3823</v>
      </c>
      <c r="BA220" s="14" t="s">
        <v>72</v>
      </c>
      <c r="BB220" s="14" t="s">
        <v>73</v>
      </c>
      <c r="BC220" s="14" t="s">
        <v>74</v>
      </c>
    </row>
    <row r="221" spans="1:55" ht="15" customHeight="1" x14ac:dyDescent="0.4">
      <c r="A221" s="12">
        <v>3658</v>
      </c>
      <c r="B221" s="21" t="s">
        <v>3824</v>
      </c>
      <c r="C221" s="13" t="s">
        <v>3825</v>
      </c>
      <c r="D221" s="25" t="s">
        <v>3825</v>
      </c>
      <c r="E221" s="13"/>
      <c r="F221" s="41"/>
      <c r="G221" s="41"/>
      <c r="H221" s="41"/>
      <c r="I221" s="41"/>
      <c r="J221" s="41"/>
      <c r="K221" s="65" t="str">
        <f>IFERROR(VLOOKUP(D221,Sheet4!A$1:M$56,11,FALSE),"")</f>
        <v/>
      </c>
      <c r="L221" s="65" t="str">
        <f t="shared" si="3"/>
        <v/>
      </c>
      <c r="M221" s="14" t="s">
        <v>1829</v>
      </c>
      <c r="N221" s="15">
        <v>44754</v>
      </c>
      <c r="O221" t="s">
        <v>3759</v>
      </c>
      <c r="P221" t="s">
        <v>51</v>
      </c>
      <c r="Q221" t="s">
        <v>52</v>
      </c>
      <c r="R221" t="s">
        <v>53</v>
      </c>
      <c r="S221" t="s">
        <v>3760</v>
      </c>
      <c r="T221" t="s">
        <v>3761</v>
      </c>
      <c r="U221" t="s">
        <v>56</v>
      </c>
      <c r="V221" s="21" t="s">
        <v>2721</v>
      </c>
      <c r="W221" s="21"/>
      <c r="X221" t="s">
        <v>3826</v>
      </c>
      <c r="Y221" t="s">
        <v>3827</v>
      </c>
      <c r="AB221" t="s">
        <v>1758</v>
      </c>
      <c r="AC221" t="s">
        <v>1832</v>
      </c>
      <c r="AE221" s="15"/>
      <c r="AG221">
        <v>38.055771999999997</v>
      </c>
      <c r="AH221">
        <v>-84.476893000000004</v>
      </c>
      <c r="AI221" t="s">
        <v>3828</v>
      </c>
      <c r="AL221" t="s">
        <v>1715</v>
      </c>
      <c r="AM221" t="s">
        <v>63</v>
      </c>
      <c r="AN221" t="s">
        <v>3829</v>
      </c>
      <c r="AO221">
        <v>194486</v>
      </c>
      <c r="AQ221" t="s">
        <v>3830</v>
      </c>
      <c r="AR221" t="s">
        <v>3831</v>
      </c>
      <c r="AS221" t="s">
        <v>3832</v>
      </c>
      <c r="AT221" t="s">
        <v>68</v>
      </c>
      <c r="AV221" t="s">
        <v>3833</v>
      </c>
      <c r="AW221" t="s">
        <v>3834</v>
      </c>
      <c r="AX221" t="s">
        <v>3835</v>
      </c>
      <c r="BA221" s="14" t="s">
        <v>72</v>
      </c>
      <c r="BB221" s="14" t="s">
        <v>73</v>
      </c>
      <c r="BC221" s="14" t="s">
        <v>74</v>
      </c>
    </row>
    <row r="222" spans="1:55" ht="15" customHeight="1" x14ac:dyDescent="0.4">
      <c r="A222" s="12">
        <v>3659</v>
      </c>
      <c r="B222" s="21" t="s">
        <v>3836</v>
      </c>
      <c r="C222" s="13" t="s">
        <v>3837</v>
      </c>
      <c r="D222" s="25" t="s">
        <v>3837</v>
      </c>
      <c r="E222" s="13"/>
      <c r="F222" s="41"/>
      <c r="G222" s="41"/>
      <c r="H222" s="41"/>
      <c r="I222" s="41"/>
      <c r="J222" s="41" t="s">
        <v>8177</v>
      </c>
      <c r="K222" s="65" t="str">
        <f>IFERROR(VLOOKUP(D222,Sheet4!A$1:M$56,11,FALSE),"")</f>
        <v/>
      </c>
      <c r="L222" s="65" t="str">
        <f t="shared" si="3"/>
        <v>May have genomic admixture with Q. prinoides</v>
      </c>
      <c r="M222" s="14" t="s">
        <v>1829</v>
      </c>
      <c r="N222" s="15">
        <v>44754</v>
      </c>
      <c r="O222" t="s">
        <v>3759</v>
      </c>
      <c r="P222" t="s">
        <v>51</v>
      </c>
      <c r="Q222" t="s">
        <v>52</v>
      </c>
      <c r="R222" t="s">
        <v>53</v>
      </c>
      <c r="S222" t="s">
        <v>3760</v>
      </c>
      <c r="T222" t="s">
        <v>3761</v>
      </c>
      <c r="U222" t="s">
        <v>56</v>
      </c>
      <c r="V222" s="21" t="s">
        <v>2721</v>
      </c>
      <c r="W222" s="21"/>
      <c r="X222" t="s">
        <v>3826</v>
      </c>
      <c r="Y222" t="s">
        <v>3838</v>
      </c>
      <c r="AB222" t="s">
        <v>1758</v>
      </c>
      <c r="AC222" t="s">
        <v>1832</v>
      </c>
      <c r="AE222" s="15"/>
      <c r="AG222">
        <v>38.054630000000003</v>
      </c>
      <c r="AH222">
        <v>-84.475660000000005</v>
      </c>
      <c r="AI222" t="s">
        <v>3816</v>
      </c>
      <c r="AL222" t="s">
        <v>1715</v>
      </c>
      <c r="AM222" t="s">
        <v>63</v>
      </c>
      <c r="AN222" t="s">
        <v>3839</v>
      </c>
      <c r="AO222">
        <v>194485</v>
      </c>
      <c r="AQ222" t="s">
        <v>3840</v>
      </c>
      <c r="AR222" t="s">
        <v>3841</v>
      </c>
      <c r="AS222" t="s">
        <v>3842</v>
      </c>
      <c r="AT222" t="s">
        <v>68</v>
      </c>
      <c r="AV222" t="s">
        <v>3843</v>
      </c>
      <c r="AW222" t="s">
        <v>3844</v>
      </c>
      <c r="AX222" t="s">
        <v>3845</v>
      </c>
      <c r="BA222" s="14" t="s">
        <v>72</v>
      </c>
      <c r="BB222" s="14" t="s">
        <v>73</v>
      </c>
      <c r="BC222" s="14" t="s">
        <v>74</v>
      </c>
    </row>
    <row r="223" spans="1:55" ht="15" customHeight="1" x14ac:dyDescent="0.4">
      <c r="A223" s="12">
        <v>3695</v>
      </c>
      <c r="B223" s="21" t="s">
        <v>4241</v>
      </c>
      <c r="C223" s="13" t="s">
        <v>4242</v>
      </c>
      <c r="D223" s="25" t="s">
        <v>4242</v>
      </c>
      <c r="E223" s="13"/>
      <c r="F223" s="41"/>
      <c r="G223" s="41"/>
      <c r="H223" s="41"/>
      <c r="I223" s="41"/>
      <c r="J223" s="41"/>
      <c r="K223" s="65" t="str">
        <f>IFERROR(VLOOKUP(D223,Sheet4!A$1:M$56,11,FALSE),"")</f>
        <v/>
      </c>
      <c r="L223" s="65" t="str">
        <f t="shared" si="3"/>
        <v/>
      </c>
      <c r="M223" s="14" t="s">
        <v>49</v>
      </c>
      <c r="N223" s="15">
        <v>44756</v>
      </c>
      <c r="O223" t="s">
        <v>3700</v>
      </c>
      <c r="P223" t="s">
        <v>51</v>
      </c>
      <c r="Q223" t="s">
        <v>52</v>
      </c>
      <c r="R223" t="s">
        <v>53</v>
      </c>
      <c r="S223" t="s">
        <v>3760</v>
      </c>
      <c r="T223" t="s">
        <v>4072</v>
      </c>
      <c r="U223" t="s">
        <v>56</v>
      </c>
      <c r="V223" s="21" t="s">
        <v>4243</v>
      </c>
      <c r="W223" s="21"/>
      <c r="X223" t="s">
        <v>4244</v>
      </c>
      <c r="Y223" t="s">
        <v>4245</v>
      </c>
      <c r="AC223" t="s">
        <v>60</v>
      </c>
      <c r="AE223" s="15"/>
      <c r="AG223">
        <v>37.899307</v>
      </c>
      <c r="AH223">
        <v>-87.506533000000005</v>
      </c>
      <c r="AI223" t="s">
        <v>4246</v>
      </c>
      <c r="AL223" t="s">
        <v>1715</v>
      </c>
      <c r="AM223" t="s">
        <v>63</v>
      </c>
      <c r="AN223" t="s">
        <v>4247</v>
      </c>
      <c r="AO223">
        <v>194410</v>
      </c>
      <c r="AQ223" t="s">
        <v>4248</v>
      </c>
      <c r="AR223" t="s">
        <v>4249</v>
      </c>
      <c r="AS223" t="s">
        <v>4250</v>
      </c>
      <c r="AT223" t="s">
        <v>68</v>
      </c>
      <c r="AV223" t="s">
        <v>4251</v>
      </c>
      <c r="AW223" t="s">
        <v>4252</v>
      </c>
      <c r="AX223" t="s">
        <v>4253</v>
      </c>
      <c r="BA223" s="14" t="s">
        <v>72</v>
      </c>
      <c r="BB223" s="14" t="s">
        <v>73</v>
      </c>
      <c r="BC223" s="14" t="s">
        <v>74</v>
      </c>
    </row>
    <row r="224" spans="1:55" ht="15" customHeight="1" x14ac:dyDescent="0.4">
      <c r="A224" s="12">
        <v>3696</v>
      </c>
      <c r="B224" s="21" t="s">
        <v>4254</v>
      </c>
      <c r="C224" s="13" t="s">
        <v>4255</v>
      </c>
      <c r="D224" s="25" t="s">
        <v>4255</v>
      </c>
      <c r="E224" s="13"/>
      <c r="F224" s="41"/>
      <c r="G224" s="41"/>
      <c r="H224" s="41"/>
      <c r="I224" s="41"/>
      <c r="J224" s="41"/>
      <c r="K224" s="65" t="str">
        <f>IFERROR(VLOOKUP(D224,Sheet4!A$1:M$56,11,FALSE),"")</f>
        <v/>
      </c>
      <c r="L224" s="65" t="str">
        <f t="shared" si="3"/>
        <v/>
      </c>
      <c r="M224" s="14" t="s">
        <v>49</v>
      </c>
      <c r="N224" s="15">
        <v>44756</v>
      </c>
      <c r="O224" t="s">
        <v>3700</v>
      </c>
      <c r="P224" t="s">
        <v>51</v>
      </c>
      <c r="Q224" t="s">
        <v>52</v>
      </c>
      <c r="R224" t="s">
        <v>53</v>
      </c>
      <c r="S224" t="s">
        <v>3760</v>
      </c>
      <c r="T224" t="s">
        <v>4072</v>
      </c>
      <c r="U224" t="s">
        <v>56</v>
      </c>
      <c r="V224" s="21" t="s">
        <v>4243</v>
      </c>
      <c r="W224" s="21"/>
      <c r="X224" t="s">
        <v>4256</v>
      </c>
      <c r="Y224" t="s">
        <v>4257</v>
      </c>
      <c r="AB224" t="s">
        <v>2336</v>
      </c>
      <c r="AC224" t="s">
        <v>60</v>
      </c>
      <c r="AE224" s="15"/>
      <c r="AG224">
        <v>37.898916</v>
      </c>
      <c r="AH224">
        <v>-87.504164000000003</v>
      </c>
      <c r="AI224" t="s">
        <v>4258</v>
      </c>
      <c r="AL224" t="s">
        <v>1715</v>
      </c>
      <c r="AM224" t="s">
        <v>63</v>
      </c>
      <c r="AN224" t="s">
        <v>4259</v>
      </c>
      <c r="AO224">
        <v>194411</v>
      </c>
      <c r="AQ224" t="s">
        <v>4260</v>
      </c>
      <c r="AR224" t="s">
        <v>4261</v>
      </c>
      <c r="AS224" t="s">
        <v>4262</v>
      </c>
      <c r="AT224" t="s">
        <v>68</v>
      </c>
      <c r="AV224" t="s">
        <v>4263</v>
      </c>
      <c r="AW224" t="s">
        <v>4264</v>
      </c>
      <c r="AX224" t="s">
        <v>4265</v>
      </c>
      <c r="BA224" s="14" t="s">
        <v>72</v>
      </c>
      <c r="BB224" s="14" t="s">
        <v>73</v>
      </c>
      <c r="BC224" s="14" t="s">
        <v>74</v>
      </c>
    </row>
    <row r="225" spans="1:55" ht="15" customHeight="1" x14ac:dyDescent="0.4">
      <c r="A225" s="12">
        <v>3697</v>
      </c>
      <c r="B225" s="21" t="s">
        <v>4266</v>
      </c>
      <c r="C225" s="13" t="s">
        <v>4267</v>
      </c>
      <c r="D225" s="25" t="s">
        <v>4267</v>
      </c>
      <c r="E225" s="13"/>
      <c r="F225" s="41"/>
      <c r="G225" s="41"/>
      <c r="H225" s="41"/>
      <c r="I225" s="41"/>
      <c r="J225" s="41"/>
      <c r="K225" s="65" t="str">
        <f>IFERROR(VLOOKUP(D225,Sheet4!A$1:M$56,11,FALSE),"")</f>
        <v/>
      </c>
      <c r="L225" s="65" t="str">
        <f t="shared" si="3"/>
        <v/>
      </c>
      <c r="M225" s="14" t="s">
        <v>49</v>
      </c>
      <c r="N225" s="15">
        <v>44756</v>
      </c>
      <c r="O225" t="s">
        <v>3700</v>
      </c>
      <c r="P225" t="s">
        <v>51</v>
      </c>
      <c r="Q225" t="s">
        <v>52</v>
      </c>
      <c r="R225" t="s">
        <v>53</v>
      </c>
      <c r="S225" t="s">
        <v>3760</v>
      </c>
      <c r="T225" t="s">
        <v>4072</v>
      </c>
      <c r="U225" t="s">
        <v>56</v>
      </c>
      <c r="V225" s="21" t="s">
        <v>4243</v>
      </c>
      <c r="W225" s="21"/>
      <c r="X225" t="s">
        <v>4256</v>
      </c>
      <c r="Y225" t="s">
        <v>4268</v>
      </c>
      <c r="AB225" t="s">
        <v>2440</v>
      </c>
      <c r="AC225" t="s">
        <v>60</v>
      </c>
      <c r="AE225" s="15"/>
      <c r="AG225">
        <v>37.898797999999999</v>
      </c>
      <c r="AH225">
        <v>-87.502920000000003</v>
      </c>
      <c r="AI225" t="s">
        <v>4258</v>
      </c>
      <c r="AL225" t="s">
        <v>1715</v>
      </c>
      <c r="AM225" t="s">
        <v>63</v>
      </c>
      <c r="AN225" t="s">
        <v>4269</v>
      </c>
      <c r="AO225">
        <v>194412</v>
      </c>
      <c r="AQ225" t="s">
        <v>4270</v>
      </c>
      <c r="AR225" t="s">
        <v>4271</v>
      </c>
      <c r="AS225" t="s">
        <v>4272</v>
      </c>
      <c r="AT225" t="s">
        <v>68</v>
      </c>
      <c r="AV225" t="s">
        <v>4273</v>
      </c>
      <c r="AW225" t="s">
        <v>4274</v>
      </c>
      <c r="AX225" t="s">
        <v>4275</v>
      </c>
      <c r="BA225" s="14" t="s">
        <v>72</v>
      </c>
      <c r="BB225" s="14" t="s">
        <v>73</v>
      </c>
      <c r="BC225" s="14" t="s">
        <v>74</v>
      </c>
    </row>
    <row r="226" spans="1:55" ht="15" customHeight="1" x14ac:dyDescent="0.4">
      <c r="A226" s="12">
        <v>3698</v>
      </c>
      <c r="B226" s="21" t="s">
        <v>4276</v>
      </c>
      <c r="C226" s="13" t="s">
        <v>4277</v>
      </c>
      <c r="D226" s="25" t="s">
        <v>4277</v>
      </c>
      <c r="E226" s="13"/>
      <c r="F226" s="41"/>
      <c r="G226" s="41"/>
      <c r="H226" s="41"/>
      <c r="I226" s="41"/>
      <c r="J226" s="41"/>
      <c r="K226" s="65" t="str">
        <f>IFERROR(VLOOKUP(D226,Sheet4!A$1:M$56,11,FALSE),"")</f>
        <v/>
      </c>
      <c r="L226" s="65" t="str">
        <f t="shared" si="3"/>
        <v/>
      </c>
      <c r="M226" s="14" t="s">
        <v>49</v>
      </c>
      <c r="N226" s="15">
        <v>44756</v>
      </c>
      <c r="O226" t="s">
        <v>3700</v>
      </c>
      <c r="P226" t="s">
        <v>51</v>
      </c>
      <c r="Q226" t="s">
        <v>52</v>
      </c>
      <c r="R226" t="s">
        <v>53</v>
      </c>
      <c r="S226" t="s">
        <v>3760</v>
      </c>
      <c r="T226" t="s">
        <v>4072</v>
      </c>
      <c r="U226" t="s">
        <v>56</v>
      </c>
      <c r="V226" s="21" t="s">
        <v>4243</v>
      </c>
      <c r="W226" s="21"/>
      <c r="X226" t="s">
        <v>4256</v>
      </c>
      <c r="Y226" t="s">
        <v>4278</v>
      </c>
      <c r="Z226" t="s">
        <v>4279</v>
      </c>
      <c r="AB226" t="s">
        <v>2440</v>
      </c>
      <c r="AC226" t="s">
        <v>60</v>
      </c>
      <c r="AE226" s="15"/>
      <c r="AG226">
        <v>37.502158000000001</v>
      </c>
      <c r="AH226">
        <v>-87.502157999999994</v>
      </c>
      <c r="AI226" t="s">
        <v>4280</v>
      </c>
      <c r="AL226" t="s">
        <v>1715</v>
      </c>
      <c r="AM226" t="s">
        <v>63</v>
      </c>
      <c r="AN226" t="s">
        <v>4281</v>
      </c>
      <c r="AO226">
        <v>194413</v>
      </c>
      <c r="AQ226" t="s">
        <v>4282</v>
      </c>
      <c r="AR226" t="s">
        <v>4283</v>
      </c>
      <c r="AS226" t="s">
        <v>4284</v>
      </c>
      <c r="AT226" t="s">
        <v>68</v>
      </c>
      <c r="AV226" t="s">
        <v>4285</v>
      </c>
      <c r="AW226" t="s">
        <v>4286</v>
      </c>
      <c r="AX226" t="s">
        <v>4287</v>
      </c>
      <c r="BA226" s="14" t="s">
        <v>72</v>
      </c>
      <c r="BB226" s="14" t="s">
        <v>73</v>
      </c>
      <c r="BC226" s="14" t="s">
        <v>74</v>
      </c>
    </row>
    <row r="227" spans="1:55" ht="15" customHeight="1" x14ac:dyDescent="0.4">
      <c r="A227" s="12">
        <v>3699</v>
      </c>
      <c r="B227" s="21" t="s">
        <v>4288</v>
      </c>
      <c r="C227" s="13" t="s">
        <v>4289</v>
      </c>
      <c r="D227" s="25" t="s">
        <v>4289</v>
      </c>
      <c r="E227" s="13"/>
      <c r="F227" s="41"/>
      <c r="G227" s="41"/>
      <c r="H227" s="41"/>
      <c r="I227" s="41"/>
      <c r="J227" s="41"/>
      <c r="K227" s="65" t="str">
        <f>IFERROR(VLOOKUP(D227,Sheet4!A$1:M$56,11,FALSE),"")</f>
        <v/>
      </c>
      <c r="L227" s="65" t="str">
        <f t="shared" si="3"/>
        <v/>
      </c>
      <c r="M227" s="14" t="s">
        <v>49</v>
      </c>
      <c r="N227" s="15">
        <v>44756</v>
      </c>
      <c r="O227" t="s">
        <v>3700</v>
      </c>
      <c r="P227" t="s">
        <v>51</v>
      </c>
      <c r="Q227" t="s">
        <v>52</v>
      </c>
      <c r="R227" t="s">
        <v>53</v>
      </c>
      <c r="S227" t="s">
        <v>3760</v>
      </c>
      <c r="T227" t="s">
        <v>4072</v>
      </c>
      <c r="U227" t="s">
        <v>56</v>
      </c>
      <c r="V227" s="21" t="s">
        <v>4243</v>
      </c>
      <c r="W227" s="21"/>
      <c r="X227" t="s">
        <v>4256</v>
      </c>
      <c r="Y227" t="s">
        <v>4290</v>
      </c>
      <c r="AC227" t="s">
        <v>60</v>
      </c>
      <c r="AE227" s="15"/>
      <c r="AG227">
        <v>37.898645000000002</v>
      </c>
      <c r="AH227">
        <v>-87.501429000000002</v>
      </c>
      <c r="AI227" t="s">
        <v>4291</v>
      </c>
      <c r="AL227" t="s">
        <v>1715</v>
      </c>
      <c r="AM227" t="s">
        <v>63</v>
      </c>
      <c r="AN227" t="s">
        <v>4292</v>
      </c>
      <c r="AO227">
        <v>194414</v>
      </c>
      <c r="AQ227" t="s">
        <v>4293</v>
      </c>
      <c r="AR227" t="s">
        <v>4294</v>
      </c>
      <c r="AS227" t="s">
        <v>4295</v>
      </c>
      <c r="AT227" t="s">
        <v>68</v>
      </c>
      <c r="AV227" t="s">
        <v>4296</v>
      </c>
      <c r="AW227" t="s">
        <v>4297</v>
      </c>
      <c r="AX227" t="s">
        <v>4298</v>
      </c>
      <c r="BA227" s="14" t="s">
        <v>72</v>
      </c>
      <c r="BB227" s="14" t="s">
        <v>73</v>
      </c>
      <c r="BC227" s="14" t="s">
        <v>74</v>
      </c>
    </row>
    <row r="228" spans="1:55" ht="15" customHeight="1" x14ac:dyDescent="0.4">
      <c r="A228" s="12">
        <v>3680</v>
      </c>
      <c r="B228" s="21" t="s">
        <v>4070</v>
      </c>
      <c r="C228" s="13" t="s">
        <v>4071</v>
      </c>
      <c r="D228" s="25" t="s">
        <v>4071</v>
      </c>
      <c r="E228" s="13"/>
      <c r="F228" s="41"/>
      <c r="G228" s="41"/>
      <c r="H228" s="41"/>
      <c r="I228" s="41"/>
      <c r="J228" s="41"/>
      <c r="K228" s="65" t="str">
        <f>IFERROR(VLOOKUP(D228,Sheet4!A$1:M$56,11,FALSE),"")</f>
        <v/>
      </c>
      <c r="L228" s="65" t="str">
        <f t="shared" si="3"/>
        <v/>
      </c>
      <c r="M228" s="14" t="s">
        <v>1703</v>
      </c>
      <c r="N228" s="15">
        <v>44756</v>
      </c>
      <c r="O228" t="s">
        <v>3700</v>
      </c>
      <c r="P228" t="s">
        <v>51</v>
      </c>
      <c r="Q228" t="s">
        <v>52</v>
      </c>
      <c r="R228" t="s">
        <v>53</v>
      </c>
      <c r="S228" t="s">
        <v>3760</v>
      </c>
      <c r="T228" t="s">
        <v>4072</v>
      </c>
      <c r="U228" t="s">
        <v>56</v>
      </c>
      <c r="V228" s="21" t="s">
        <v>4073</v>
      </c>
      <c r="W228" s="21"/>
      <c r="X228" t="s">
        <v>4074</v>
      </c>
      <c r="Y228" t="s">
        <v>4075</v>
      </c>
      <c r="AB228" t="s">
        <v>1758</v>
      </c>
      <c r="AC228" t="s">
        <v>1713</v>
      </c>
      <c r="AE228" s="15"/>
      <c r="AG228">
        <v>37.890421000000003</v>
      </c>
      <c r="AH228">
        <v>-87.539696000000006</v>
      </c>
      <c r="AI228" t="s">
        <v>4076</v>
      </c>
      <c r="AL228" t="s">
        <v>1715</v>
      </c>
      <c r="AM228" t="s">
        <v>63</v>
      </c>
      <c r="AN228" t="s">
        <v>4077</v>
      </c>
      <c r="AO228">
        <v>193765</v>
      </c>
      <c r="AQ228" t="s">
        <v>4078</v>
      </c>
      <c r="AR228" t="s">
        <v>4079</v>
      </c>
      <c r="AS228" t="s">
        <v>4080</v>
      </c>
      <c r="AT228" t="s">
        <v>68</v>
      </c>
      <c r="AV228" t="s">
        <v>4081</v>
      </c>
      <c r="AW228" t="s">
        <v>4082</v>
      </c>
      <c r="AX228" t="s">
        <v>4083</v>
      </c>
      <c r="BA228" s="14" t="s">
        <v>72</v>
      </c>
      <c r="BB228" s="14" t="s">
        <v>73</v>
      </c>
      <c r="BC228" s="14" t="s">
        <v>1723</v>
      </c>
    </row>
    <row r="229" spans="1:55" ht="15" customHeight="1" x14ac:dyDescent="0.4">
      <c r="A229" s="12">
        <v>3681</v>
      </c>
      <c r="B229" s="21" t="s">
        <v>4084</v>
      </c>
      <c r="C229" s="13" t="s">
        <v>4085</v>
      </c>
      <c r="D229" s="25" t="s">
        <v>4085</v>
      </c>
      <c r="E229" s="13"/>
      <c r="F229" s="43" t="s">
        <v>2006</v>
      </c>
      <c r="G229" s="43" t="s">
        <v>8132</v>
      </c>
      <c r="H229" s="43" t="s">
        <v>8101</v>
      </c>
      <c r="I229" s="43"/>
      <c r="J229" s="54" t="s">
        <v>8175</v>
      </c>
      <c r="K229" s="65" t="str">
        <f>IFERROR(VLOOKUP(D229,Sheet4!A$1:M$56,11,FALSE),"")</f>
        <v/>
      </c>
      <c r="L229" s="65" t="str">
        <f t="shared" si="3"/>
        <v>Genomically may have admixture with Q. bicolor</v>
      </c>
      <c r="M229" s="14" t="s">
        <v>2006</v>
      </c>
      <c r="N229" s="15">
        <v>44756</v>
      </c>
      <c r="O229" t="s">
        <v>3700</v>
      </c>
      <c r="P229" t="s">
        <v>51</v>
      </c>
      <c r="Q229" t="s">
        <v>52</v>
      </c>
      <c r="R229" t="s">
        <v>53</v>
      </c>
      <c r="S229" t="s">
        <v>3760</v>
      </c>
      <c r="T229" t="s">
        <v>4072</v>
      </c>
      <c r="U229" t="s">
        <v>56</v>
      </c>
      <c r="V229" s="21" t="s">
        <v>4073</v>
      </c>
      <c r="W229" s="21"/>
      <c r="X229" t="s">
        <v>4074</v>
      </c>
      <c r="Y229" t="s">
        <v>4086</v>
      </c>
      <c r="AC229" t="s">
        <v>2009</v>
      </c>
      <c r="AE229" s="15"/>
      <c r="AG229">
        <v>37.892356999999997</v>
      </c>
      <c r="AH229">
        <v>-87.539500000000004</v>
      </c>
      <c r="AI229" t="s">
        <v>1714</v>
      </c>
      <c r="AL229" t="s">
        <v>1715</v>
      </c>
      <c r="AM229" t="s">
        <v>63</v>
      </c>
      <c r="AN229" t="s">
        <v>4087</v>
      </c>
      <c r="AO229">
        <v>194230</v>
      </c>
      <c r="AQ229" t="s">
        <v>4088</v>
      </c>
      <c r="AR229" t="s">
        <v>4089</v>
      </c>
      <c r="AS229" t="s">
        <v>4090</v>
      </c>
      <c r="AT229" t="s">
        <v>68</v>
      </c>
      <c r="AV229" t="s">
        <v>4091</v>
      </c>
      <c r="AW229" t="s">
        <v>4092</v>
      </c>
      <c r="AX229" t="s">
        <v>4093</v>
      </c>
      <c r="BA229" s="14" t="s">
        <v>72</v>
      </c>
      <c r="BB229" s="14" t="s">
        <v>73</v>
      </c>
      <c r="BC229" s="14" t="s">
        <v>74</v>
      </c>
    </row>
    <row r="230" spans="1:55" ht="15" customHeight="1" x14ac:dyDescent="0.4">
      <c r="A230" s="12">
        <v>3682</v>
      </c>
      <c r="B230" s="21" t="s">
        <v>4094</v>
      </c>
      <c r="C230" s="13" t="s">
        <v>4095</v>
      </c>
      <c r="D230" s="25" t="s">
        <v>4095</v>
      </c>
      <c r="E230" s="13"/>
      <c r="F230" s="41" t="s">
        <v>8131</v>
      </c>
      <c r="G230" s="41"/>
      <c r="H230" s="41"/>
      <c r="I230" s="41"/>
      <c r="J230" s="41"/>
      <c r="K230" s="65" t="str">
        <f>IFERROR(VLOOKUP(D230,Sheet4!A$1:M$56,11,FALSE),"")</f>
        <v/>
      </c>
      <c r="L230" s="65" t="str">
        <f t="shared" si="3"/>
        <v/>
      </c>
      <c r="M230" s="14" t="s">
        <v>1703</v>
      </c>
      <c r="N230" s="15">
        <v>44756</v>
      </c>
      <c r="O230" t="s">
        <v>3700</v>
      </c>
      <c r="P230" t="s">
        <v>51</v>
      </c>
      <c r="Q230" t="s">
        <v>52</v>
      </c>
      <c r="R230" t="s">
        <v>53</v>
      </c>
      <c r="S230" t="s">
        <v>3760</v>
      </c>
      <c r="T230" t="s">
        <v>4072</v>
      </c>
      <c r="U230" t="s">
        <v>56</v>
      </c>
      <c r="V230" s="21" t="s">
        <v>4073</v>
      </c>
      <c r="W230" s="21"/>
      <c r="X230" t="s">
        <v>4096</v>
      </c>
      <c r="Y230" t="s">
        <v>4097</v>
      </c>
      <c r="AB230" t="s">
        <v>2440</v>
      </c>
      <c r="AC230" t="s">
        <v>1713</v>
      </c>
      <c r="AE230" s="15"/>
      <c r="AG230">
        <v>37.894174999999997</v>
      </c>
      <c r="AH230">
        <v>-87.538855999999996</v>
      </c>
      <c r="AI230" t="s">
        <v>4098</v>
      </c>
      <c r="AL230" t="s">
        <v>1715</v>
      </c>
      <c r="AM230" t="s">
        <v>63</v>
      </c>
      <c r="AN230" t="s">
        <v>4099</v>
      </c>
      <c r="AO230">
        <v>194563</v>
      </c>
      <c r="AQ230" t="s">
        <v>4100</v>
      </c>
      <c r="AR230" t="s">
        <v>4101</v>
      </c>
      <c r="AS230" t="s">
        <v>4102</v>
      </c>
      <c r="AT230" t="s">
        <v>68</v>
      </c>
      <c r="AV230" t="s">
        <v>4103</v>
      </c>
      <c r="AW230" t="s">
        <v>4104</v>
      </c>
      <c r="AX230" t="s">
        <v>4105</v>
      </c>
      <c r="BA230" s="14" t="s">
        <v>72</v>
      </c>
      <c r="BB230" s="14" t="s">
        <v>73</v>
      </c>
      <c r="BC230" s="14" t="s">
        <v>1723</v>
      </c>
    </row>
    <row r="231" spans="1:55" ht="15" customHeight="1" x14ac:dyDescent="0.4">
      <c r="A231" s="12">
        <v>3683</v>
      </c>
      <c r="B231" s="21" t="s">
        <v>4106</v>
      </c>
      <c r="C231" s="13" t="s">
        <v>4107</v>
      </c>
      <c r="D231" s="25" t="s">
        <v>4107</v>
      </c>
      <c r="E231" s="13"/>
      <c r="F231" s="41"/>
      <c r="G231" s="41"/>
      <c r="H231" s="41"/>
      <c r="I231" s="41"/>
      <c r="J231" s="41"/>
      <c r="K231" s="65" t="str">
        <f>IFERROR(VLOOKUP(D231,Sheet4!A$1:M$56,11,FALSE),"")</f>
        <v/>
      </c>
      <c r="L231" s="65" t="str">
        <f t="shared" si="3"/>
        <v/>
      </c>
      <c r="M231" s="14" t="s">
        <v>1703</v>
      </c>
      <c r="N231" s="15">
        <v>44756</v>
      </c>
      <c r="O231" t="s">
        <v>3700</v>
      </c>
      <c r="P231" t="s">
        <v>51</v>
      </c>
      <c r="Q231" t="s">
        <v>52</v>
      </c>
      <c r="R231" t="s">
        <v>53</v>
      </c>
      <c r="S231" t="s">
        <v>3760</v>
      </c>
      <c r="T231" t="s">
        <v>4072</v>
      </c>
      <c r="U231" t="s">
        <v>56</v>
      </c>
      <c r="V231" s="21" t="s">
        <v>4073</v>
      </c>
      <c r="W231" s="21"/>
      <c r="X231" t="s">
        <v>4074</v>
      </c>
      <c r="Y231" t="s">
        <v>4108</v>
      </c>
      <c r="AC231" t="s">
        <v>1713</v>
      </c>
      <c r="AE231" s="15"/>
      <c r="AG231">
        <v>37.894157999999997</v>
      </c>
      <c r="AH231">
        <v>-87.538287999999994</v>
      </c>
      <c r="AI231" t="s">
        <v>4109</v>
      </c>
      <c r="AL231" t="s">
        <v>1715</v>
      </c>
      <c r="AM231" t="s">
        <v>63</v>
      </c>
      <c r="AN231" t="s">
        <v>4110</v>
      </c>
      <c r="AO231">
        <v>193766</v>
      </c>
      <c r="AQ231" t="s">
        <v>4111</v>
      </c>
      <c r="AR231" t="s">
        <v>4112</v>
      </c>
      <c r="AS231" t="s">
        <v>4113</v>
      </c>
      <c r="AT231" t="s">
        <v>68</v>
      </c>
      <c r="AV231" t="s">
        <v>4114</v>
      </c>
      <c r="AW231" t="s">
        <v>4115</v>
      </c>
      <c r="AX231" t="s">
        <v>4116</v>
      </c>
      <c r="BA231" s="14" t="s">
        <v>72</v>
      </c>
      <c r="BB231" s="14" t="s">
        <v>73</v>
      </c>
      <c r="BC231" s="14" t="s">
        <v>1723</v>
      </c>
    </row>
    <row r="232" spans="1:55" ht="15" customHeight="1" x14ac:dyDescent="0.4">
      <c r="A232" s="12">
        <v>3684</v>
      </c>
      <c r="B232" s="21" t="s">
        <v>4117</v>
      </c>
      <c r="C232" s="13" t="s">
        <v>4118</v>
      </c>
      <c r="D232" s="25" t="s">
        <v>4118</v>
      </c>
      <c r="E232" s="13"/>
      <c r="F232" s="41"/>
      <c r="G232" s="41"/>
      <c r="H232" s="41"/>
      <c r="I232" s="41"/>
      <c r="J232" s="41"/>
      <c r="K232" s="65" t="str">
        <f>IFERROR(VLOOKUP(D232,Sheet4!A$1:M$56,11,FALSE),"")</f>
        <v/>
      </c>
      <c r="L232" s="65" t="str">
        <f t="shared" si="3"/>
        <v/>
      </c>
      <c r="M232" s="14" t="s">
        <v>2006</v>
      </c>
      <c r="N232" s="15">
        <v>44756</v>
      </c>
      <c r="O232" t="s">
        <v>3700</v>
      </c>
      <c r="P232" t="s">
        <v>51</v>
      </c>
      <c r="Q232" t="s">
        <v>52</v>
      </c>
      <c r="R232" t="s">
        <v>53</v>
      </c>
      <c r="S232" t="s">
        <v>3760</v>
      </c>
      <c r="T232" t="s">
        <v>4072</v>
      </c>
      <c r="U232" t="s">
        <v>56</v>
      </c>
      <c r="V232" s="21" t="s">
        <v>4073</v>
      </c>
      <c r="W232" s="21"/>
      <c r="X232" t="s">
        <v>4074</v>
      </c>
      <c r="Y232" t="s">
        <v>4119</v>
      </c>
      <c r="AB232" t="s">
        <v>2440</v>
      </c>
      <c r="AC232" t="s">
        <v>2009</v>
      </c>
      <c r="AE232" s="15"/>
      <c r="AG232">
        <v>37.894136000000003</v>
      </c>
      <c r="AH232">
        <v>-87.538228000000004</v>
      </c>
      <c r="AI232" t="s">
        <v>4109</v>
      </c>
      <c r="AL232" t="s">
        <v>1715</v>
      </c>
      <c r="AM232" t="s">
        <v>63</v>
      </c>
      <c r="AN232" t="s">
        <v>4120</v>
      </c>
      <c r="AO232">
        <v>194231</v>
      </c>
      <c r="AQ232" t="s">
        <v>4121</v>
      </c>
      <c r="AR232" t="s">
        <v>4122</v>
      </c>
      <c r="AS232" t="s">
        <v>4123</v>
      </c>
      <c r="AT232" t="s">
        <v>68</v>
      </c>
      <c r="AV232" t="s">
        <v>4124</v>
      </c>
      <c r="AW232" t="s">
        <v>4125</v>
      </c>
      <c r="AX232" t="s">
        <v>4126</v>
      </c>
      <c r="BA232" s="14" t="s">
        <v>72</v>
      </c>
      <c r="BB232" s="14" t="s">
        <v>73</v>
      </c>
      <c r="BC232" s="14" t="s">
        <v>74</v>
      </c>
    </row>
    <row r="233" spans="1:55" ht="15" customHeight="1" x14ac:dyDescent="0.4">
      <c r="A233" s="12">
        <v>3685</v>
      </c>
      <c r="B233" s="21" t="s">
        <v>4127</v>
      </c>
      <c r="C233" s="13" t="s">
        <v>4128</v>
      </c>
      <c r="D233" s="25" t="s">
        <v>4128</v>
      </c>
      <c r="E233" s="13"/>
      <c r="F233" s="41"/>
      <c r="G233" s="41"/>
      <c r="H233" s="41"/>
      <c r="I233" s="41"/>
      <c r="J233" s="41"/>
      <c r="K233" s="65" t="str">
        <f>IFERROR(VLOOKUP(D233,Sheet4!A$1:M$56,11,FALSE),"")</f>
        <v/>
      </c>
      <c r="L233" s="65" t="str">
        <f t="shared" si="3"/>
        <v/>
      </c>
      <c r="M233" s="14" t="s">
        <v>1878</v>
      </c>
      <c r="N233" s="15">
        <v>44756</v>
      </c>
      <c r="O233" t="s">
        <v>3700</v>
      </c>
      <c r="P233" t="s">
        <v>51</v>
      </c>
      <c r="Q233" t="s">
        <v>52</v>
      </c>
      <c r="R233" t="s">
        <v>53</v>
      </c>
      <c r="S233" t="s">
        <v>3760</v>
      </c>
      <c r="T233" t="s">
        <v>4072</v>
      </c>
      <c r="U233" t="s">
        <v>56</v>
      </c>
      <c r="V233" s="21" t="s">
        <v>4073</v>
      </c>
      <c r="W233" s="21"/>
      <c r="X233" t="s">
        <v>4074</v>
      </c>
      <c r="Y233" t="s">
        <v>4129</v>
      </c>
      <c r="AB233" t="s">
        <v>2440</v>
      </c>
      <c r="AC233" t="s">
        <v>1881</v>
      </c>
      <c r="AE233" s="15"/>
      <c r="AG233">
        <v>37.894244999999998</v>
      </c>
      <c r="AH233">
        <v>-87.537823000000003</v>
      </c>
      <c r="AI233" t="s">
        <v>4130</v>
      </c>
      <c r="AL233" t="s">
        <v>1715</v>
      </c>
      <c r="AM233" t="s">
        <v>63</v>
      </c>
      <c r="AN233" t="s">
        <v>4131</v>
      </c>
      <c r="AO233">
        <v>194176</v>
      </c>
      <c r="AQ233" t="s">
        <v>4132</v>
      </c>
      <c r="AR233" t="s">
        <v>4133</v>
      </c>
      <c r="AS233" t="s">
        <v>4134</v>
      </c>
      <c r="AT233" t="s">
        <v>68</v>
      </c>
      <c r="AV233" t="s">
        <v>4135</v>
      </c>
      <c r="AW233" t="s">
        <v>4136</v>
      </c>
      <c r="AX233" t="s">
        <v>4137</v>
      </c>
      <c r="BA233" s="14" t="s">
        <v>72</v>
      </c>
      <c r="BB233" s="14" t="s">
        <v>73</v>
      </c>
      <c r="BC233" s="14" t="s">
        <v>1723</v>
      </c>
    </row>
    <row r="234" spans="1:55" ht="15" customHeight="1" x14ac:dyDescent="0.4">
      <c r="A234" s="12">
        <v>3686</v>
      </c>
      <c r="B234" s="21" t="s">
        <v>4138</v>
      </c>
      <c r="C234" s="13" t="s">
        <v>4139</v>
      </c>
      <c r="D234" s="25" t="s">
        <v>4139</v>
      </c>
      <c r="E234" s="13"/>
      <c r="F234" s="57" t="s">
        <v>8147</v>
      </c>
      <c r="G234" s="41"/>
      <c r="H234" s="41"/>
      <c r="I234" s="41"/>
      <c r="J234" s="41"/>
      <c r="K234" s="65" t="str">
        <f>IFERROR(VLOOKUP(D234,Sheet4!A$1:M$56,11,FALSE),"")</f>
        <v/>
      </c>
      <c r="L234" s="65" t="str">
        <f t="shared" si="3"/>
        <v/>
      </c>
      <c r="M234" s="14" t="s">
        <v>4140</v>
      </c>
      <c r="N234" s="15">
        <v>44756</v>
      </c>
      <c r="O234" t="s">
        <v>3700</v>
      </c>
      <c r="P234" t="s">
        <v>51</v>
      </c>
      <c r="Q234" t="s">
        <v>52</v>
      </c>
      <c r="R234" t="s">
        <v>53</v>
      </c>
      <c r="S234" t="s">
        <v>3760</v>
      </c>
      <c r="T234" t="s">
        <v>4072</v>
      </c>
      <c r="U234" t="s">
        <v>56</v>
      </c>
      <c r="V234" s="21" t="s">
        <v>4073</v>
      </c>
      <c r="W234" s="21"/>
      <c r="X234" t="s">
        <v>4141</v>
      </c>
      <c r="Y234" t="s">
        <v>4142</v>
      </c>
      <c r="AC234" t="s">
        <v>4143</v>
      </c>
      <c r="AE234" s="15"/>
      <c r="AG234">
        <v>37.894219</v>
      </c>
      <c r="AH234">
        <v>-87.537845000000004</v>
      </c>
      <c r="AI234" t="s">
        <v>4130</v>
      </c>
      <c r="AL234" t="s">
        <v>1715</v>
      </c>
      <c r="AM234" t="s">
        <v>63</v>
      </c>
      <c r="AN234" t="s">
        <v>4144</v>
      </c>
      <c r="AO234">
        <v>194564</v>
      </c>
      <c r="AQ234" t="s">
        <v>4145</v>
      </c>
      <c r="AR234" t="s">
        <v>4146</v>
      </c>
      <c r="AS234" t="s">
        <v>4147</v>
      </c>
      <c r="AT234" t="s">
        <v>68</v>
      </c>
      <c r="AV234" t="s">
        <v>4148</v>
      </c>
      <c r="AW234" t="s">
        <v>4149</v>
      </c>
      <c r="AX234" t="s">
        <v>4150</v>
      </c>
      <c r="BA234" s="14" t="e">
        <v>#N/A</v>
      </c>
      <c r="BB234" s="14" t="e">
        <v>#N/A</v>
      </c>
      <c r="BC234" s="14" t="e">
        <v>#N/A</v>
      </c>
    </row>
    <row r="235" spans="1:55" ht="15" customHeight="1" x14ac:dyDescent="0.4">
      <c r="A235" s="12">
        <v>3687</v>
      </c>
      <c r="B235" s="21" t="s">
        <v>4151</v>
      </c>
      <c r="C235" s="13" t="s">
        <v>4152</v>
      </c>
      <c r="D235" s="25" t="s">
        <v>4152</v>
      </c>
      <c r="E235" s="13"/>
      <c r="F235" s="41"/>
      <c r="G235" s="41"/>
      <c r="H235" s="41"/>
      <c r="I235" s="41"/>
      <c r="J235" s="41"/>
      <c r="K235" s="65" t="str">
        <f>IFERROR(VLOOKUP(D235,Sheet4!A$1:M$56,11,FALSE),"")</f>
        <v/>
      </c>
      <c r="L235" s="65" t="str">
        <f t="shared" si="3"/>
        <v/>
      </c>
      <c r="M235" s="14" t="s">
        <v>1703</v>
      </c>
      <c r="N235" s="15">
        <v>44756</v>
      </c>
      <c r="O235" t="s">
        <v>3700</v>
      </c>
      <c r="P235" t="s">
        <v>51</v>
      </c>
      <c r="Q235" t="s">
        <v>52</v>
      </c>
      <c r="R235" t="s">
        <v>53</v>
      </c>
      <c r="S235" t="s">
        <v>3760</v>
      </c>
      <c r="T235" t="s">
        <v>4072</v>
      </c>
      <c r="U235" t="s">
        <v>56</v>
      </c>
      <c r="V235" s="21" t="s">
        <v>4073</v>
      </c>
      <c r="W235" s="21"/>
      <c r="X235" t="s">
        <v>4074</v>
      </c>
      <c r="Y235" t="s">
        <v>4153</v>
      </c>
      <c r="AB235" t="s">
        <v>2440</v>
      </c>
      <c r="AC235" t="s">
        <v>1713</v>
      </c>
      <c r="AE235" s="15"/>
      <c r="AG235">
        <v>37.894291000000003</v>
      </c>
      <c r="AH235">
        <v>-87.537802999999997</v>
      </c>
      <c r="AI235" t="s">
        <v>4109</v>
      </c>
      <c r="AL235" t="s">
        <v>1715</v>
      </c>
      <c r="AM235" t="s">
        <v>63</v>
      </c>
      <c r="AN235" t="s">
        <v>4154</v>
      </c>
      <c r="AO235">
        <v>193748</v>
      </c>
      <c r="AQ235" t="s">
        <v>4155</v>
      </c>
      <c r="AR235" t="s">
        <v>4156</v>
      </c>
      <c r="AS235" t="s">
        <v>4157</v>
      </c>
      <c r="AT235" t="s">
        <v>68</v>
      </c>
      <c r="AV235" t="s">
        <v>4158</v>
      </c>
      <c r="AW235" t="s">
        <v>4159</v>
      </c>
      <c r="AX235" t="s">
        <v>4160</v>
      </c>
      <c r="BA235" s="14" t="s">
        <v>72</v>
      </c>
      <c r="BB235" s="14" t="s">
        <v>73</v>
      </c>
      <c r="BC235" s="14" t="s">
        <v>1723</v>
      </c>
    </row>
    <row r="236" spans="1:55" ht="15" customHeight="1" x14ac:dyDescent="0.4">
      <c r="A236" s="12">
        <v>3688</v>
      </c>
      <c r="B236" s="21" t="s">
        <v>4161</v>
      </c>
      <c r="C236" s="13" t="s">
        <v>4162</v>
      </c>
      <c r="D236" s="25" t="s">
        <v>4162</v>
      </c>
      <c r="E236" s="13"/>
      <c r="F236" s="41"/>
      <c r="G236" s="41"/>
      <c r="H236" s="41"/>
      <c r="I236" s="41"/>
      <c r="J236" s="41"/>
      <c r="K236" s="65" t="str">
        <f>IFERROR(VLOOKUP(D236,Sheet4!A$1:M$56,11,FALSE),"")</f>
        <v/>
      </c>
      <c r="L236" s="65" t="str">
        <f t="shared" si="3"/>
        <v/>
      </c>
      <c r="M236" s="14" t="s">
        <v>2006</v>
      </c>
      <c r="N236" s="15">
        <v>44756</v>
      </c>
      <c r="O236" t="s">
        <v>3700</v>
      </c>
      <c r="P236" t="s">
        <v>51</v>
      </c>
      <c r="Q236" t="s">
        <v>52</v>
      </c>
      <c r="R236" t="s">
        <v>53</v>
      </c>
      <c r="S236" t="s">
        <v>3760</v>
      </c>
      <c r="T236" t="s">
        <v>4072</v>
      </c>
      <c r="U236" t="s">
        <v>56</v>
      </c>
      <c r="V236" s="21" t="s">
        <v>4073</v>
      </c>
      <c r="W236" s="21"/>
      <c r="X236" t="s">
        <v>4141</v>
      </c>
      <c r="Y236" t="s">
        <v>4163</v>
      </c>
      <c r="AC236" t="s">
        <v>2009</v>
      </c>
      <c r="AE236" s="15"/>
      <c r="AG236">
        <v>37.894409000000003</v>
      </c>
      <c r="AH236">
        <v>-87.537690999999995</v>
      </c>
      <c r="AI236" t="s">
        <v>4164</v>
      </c>
      <c r="AL236" t="s">
        <v>1715</v>
      </c>
      <c r="AM236" t="s">
        <v>63</v>
      </c>
      <c r="AN236" t="s">
        <v>4165</v>
      </c>
      <c r="AO236">
        <v>194232</v>
      </c>
      <c r="AQ236" t="s">
        <v>4166</v>
      </c>
      <c r="AR236" t="s">
        <v>4167</v>
      </c>
      <c r="AS236" t="s">
        <v>4168</v>
      </c>
      <c r="AT236" t="s">
        <v>68</v>
      </c>
      <c r="AV236" t="s">
        <v>4169</v>
      </c>
      <c r="AW236" t="s">
        <v>4170</v>
      </c>
      <c r="AX236" t="s">
        <v>4171</v>
      </c>
      <c r="BA236" s="14" t="s">
        <v>72</v>
      </c>
      <c r="BB236" s="14" t="s">
        <v>73</v>
      </c>
      <c r="BC236" s="14" t="s">
        <v>74</v>
      </c>
    </row>
    <row r="237" spans="1:55" ht="15" customHeight="1" x14ac:dyDescent="0.4">
      <c r="A237" s="12">
        <v>3689</v>
      </c>
      <c r="B237" s="21" t="s">
        <v>4172</v>
      </c>
      <c r="C237" s="13" t="s">
        <v>4173</v>
      </c>
      <c r="D237" s="25" t="s">
        <v>4173</v>
      </c>
      <c r="E237" s="13"/>
      <c r="F237" s="41"/>
      <c r="G237" s="41"/>
      <c r="H237" s="41"/>
      <c r="I237" s="41"/>
      <c r="J237" s="41"/>
      <c r="K237" s="65" t="str">
        <f>IFERROR(VLOOKUP(D237,Sheet4!A$1:M$56,11,FALSE),"")</f>
        <v/>
      </c>
      <c r="L237" s="65" t="str">
        <f t="shared" si="3"/>
        <v/>
      </c>
      <c r="M237" s="14" t="s">
        <v>1878</v>
      </c>
      <c r="N237" s="15">
        <v>44756</v>
      </c>
      <c r="O237" t="s">
        <v>3700</v>
      </c>
      <c r="P237" t="s">
        <v>51</v>
      </c>
      <c r="Q237" t="s">
        <v>52</v>
      </c>
      <c r="R237" t="s">
        <v>53</v>
      </c>
      <c r="S237" t="s">
        <v>3760</v>
      </c>
      <c r="T237" t="s">
        <v>4072</v>
      </c>
      <c r="U237" t="s">
        <v>56</v>
      </c>
      <c r="V237" s="21" t="s">
        <v>4073</v>
      </c>
      <c r="W237" s="21"/>
      <c r="X237" t="s">
        <v>4141</v>
      </c>
      <c r="Y237" t="s">
        <v>4174</v>
      </c>
      <c r="AC237" t="s">
        <v>1881</v>
      </c>
      <c r="AE237" s="15"/>
      <c r="AG237">
        <v>37.894531000000001</v>
      </c>
      <c r="AH237">
        <v>-87.537704000000005</v>
      </c>
      <c r="AI237" t="s">
        <v>4175</v>
      </c>
      <c r="AL237" t="s">
        <v>1715</v>
      </c>
      <c r="AM237" t="s">
        <v>63</v>
      </c>
      <c r="AN237" t="s">
        <v>4176</v>
      </c>
      <c r="AO237">
        <v>194177</v>
      </c>
      <c r="AQ237" t="s">
        <v>4177</v>
      </c>
      <c r="AR237" t="s">
        <v>4178</v>
      </c>
      <c r="AS237" t="s">
        <v>4179</v>
      </c>
      <c r="AT237" t="s">
        <v>68</v>
      </c>
      <c r="AV237" t="s">
        <v>4180</v>
      </c>
      <c r="AW237" t="s">
        <v>4181</v>
      </c>
      <c r="AX237" t="s">
        <v>4182</v>
      </c>
      <c r="BA237" s="14" t="s">
        <v>72</v>
      </c>
      <c r="BB237" s="14" t="s">
        <v>73</v>
      </c>
      <c r="BC237" s="14" t="s">
        <v>1723</v>
      </c>
    </row>
    <row r="238" spans="1:55" ht="15" customHeight="1" x14ac:dyDescent="0.4">
      <c r="A238" s="12">
        <v>3690</v>
      </c>
      <c r="B238" s="21" t="s">
        <v>4183</v>
      </c>
      <c r="C238" s="13" t="s">
        <v>4184</v>
      </c>
      <c r="D238" s="25" t="s">
        <v>4184</v>
      </c>
      <c r="E238" s="13"/>
      <c r="F238" s="45" t="s">
        <v>2006</v>
      </c>
      <c r="G238" s="45" t="s">
        <v>8130</v>
      </c>
      <c r="H238" s="45"/>
      <c r="I238" s="45"/>
      <c r="J238" s="54" t="s">
        <v>8176</v>
      </c>
      <c r="K238" s="65" t="str">
        <f>IFERROR(VLOOKUP(D238,Sheet4!A$1:M$56,11,FALSE),"")</f>
        <v/>
      </c>
      <c r="L238" s="65" t="str">
        <f t="shared" si="3"/>
        <v>Genomically admixture with Q. bicolor</v>
      </c>
      <c r="M238" s="14" t="s">
        <v>2006</v>
      </c>
      <c r="N238" s="15">
        <v>44756</v>
      </c>
      <c r="O238" t="s">
        <v>3700</v>
      </c>
      <c r="P238" t="s">
        <v>51</v>
      </c>
      <c r="Q238" t="s">
        <v>52</v>
      </c>
      <c r="R238" t="s">
        <v>53</v>
      </c>
      <c r="S238" t="s">
        <v>3760</v>
      </c>
      <c r="T238" t="s">
        <v>4072</v>
      </c>
      <c r="U238" t="s">
        <v>56</v>
      </c>
      <c r="V238" s="21" t="s">
        <v>4073</v>
      </c>
      <c r="W238" s="21"/>
      <c r="X238" t="s">
        <v>4185</v>
      </c>
      <c r="Y238" t="s">
        <v>4186</v>
      </c>
      <c r="AB238" t="s">
        <v>2440</v>
      </c>
      <c r="AC238" t="s">
        <v>2009</v>
      </c>
      <c r="AE238" s="15"/>
      <c r="AG238">
        <v>37.894907000000003</v>
      </c>
      <c r="AH238">
        <v>-87.540391</v>
      </c>
      <c r="AI238" t="s">
        <v>4187</v>
      </c>
      <c r="AL238" t="s">
        <v>1715</v>
      </c>
      <c r="AM238" t="s">
        <v>63</v>
      </c>
      <c r="AN238" t="s">
        <v>4188</v>
      </c>
      <c r="AO238">
        <v>194233</v>
      </c>
      <c r="AQ238" t="s">
        <v>4189</v>
      </c>
      <c r="AR238" t="s">
        <v>4190</v>
      </c>
      <c r="AS238" t="s">
        <v>4191</v>
      </c>
      <c r="AT238" t="s">
        <v>68</v>
      </c>
      <c r="AV238" t="s">
        <v>4192</v>
      </c>
      <c r="AW238" t="s">
        <v>4193</v>
      </c>
      <c r="AX238" t="s">
        <v>4194</v>
      </c>
      <c r="BA238" s="14" t="s">
        <v>72</v>
      </c>
      <c r="BB238" s="14" t="s">
        <v>73</v>
      </c>
      <c r="BC238" s="14" t="s">
        <v>74</v>
      </c>
    </row>
    <row r="239" spans="1:55" ht="15" customHeight="1" x14ac:dyDescent="0.4">
      <c r="A239" s="12">
        <v>3691</v>
      </c>
      <c r="B239" s="21" t="s">
        <v>4195</v>
      </c>
      <c r="C239" s="13" t="s">
        <v>4196</v>
      </c>
      <c r="D239" s="25" t="s">
        <v>4196</v>
      </c>
      <c r="E239" s="13"/>
      <c r="F239" s="41"/>
      <c r="G239" s="41"/>
      <c r="H239" s="41"/>
      <c r="I239" s="41"/>
      <c r="J239" s="41"/>
      <c r="K239" s="65" t="str">
        <f>IFERROR(VLOOKUP(D239,Sheet4!A$1:M$56,11,FALSE),"")</f>
        <v/>
      </c>
      <c r="L239" s="65" t="str">
        <f t="shared" si="3"/>
        <v/>
      </c>
      <c r="M239" s="14" t="s">
        <v>1878</v>
      </c>
      <c r="N239" s="15">
        <v>44756</v>
      </c>
      <c r="O239" t="s">
        <v>3700</v>
      </c>
      <c r="P239" t="s">
        <v>51</v>
      </c>
      <c r="Q239" t="s">
        <v>52</v>
      </c>
      <c r="R239" t="s">
        <v>53</v>
      </c>
      <c r="S239" t="s">
        <v>3760</v>
      </c>
      <c r="T239" t="s">
        <v>4072</v>
      </c>
      <c r="U239" t="s">
        <v>56</v>
      </c>
      <c r="V239" s="21" t="s">
        <v>4073</v>
      </c>
      <c r="W239" s="21"/>
      <c r="X239" t="s">
        <v>4074</v>
      </c>
      <c r="Y239" t="s">
        <v>4197</v>
      </c>
      <c r="AC239" t="s">
        <v>1881</v>
      </c>
      <c r="AE239" s="15"/>
      <c r="AG239">
        <v>37.894607000000001</v>
      </c>
      <c r="AH239">
        <v>-87.543357</v>
      </c>
      <c r="AI239" t="s">
        <v>4198</v>
      </c>
      <c r="AL239" t="s">
        <v>1715</v>
      </c>
      <c r="AM239" t="s">
        <v>63</v>
      </c>
      <c r="AN239" t="s">
        <v>4199</v>
      </c>
      <c r="AO239">
        <v>194178</v>
      </c>
      <c r="AQ239" t="s">
        <v>4200</v>
      </c>
      <c r="AR239" t="s">
        <v>4201</v>
      </c>
      <c r="AS239" t="s">
        <v>4202</v>
      </c>
      <c r="AT239" t="s">
        <v>68</v>
      </c>
      <c r="AV239" t="s">
        <v>4203</v>
      </c>
      <c r="AW239" t="s">
        <v>4204</v>
      </c>
      <c r="AX239" t="s">
        <v>4205</v>
      </c>
      <c r="BA239" s="14" t="s">
        <v>72</v>
      </c>
      <c r="BB239" s="14" t="s">
        <v>73</v>
      </c>
      <c r="BC239" s="14" t="s">
        <v>1723</v>
      </c>
    </row>
    <row r="240" spans="1:55" ht="15" customHeight="1" x14ac:dyDescent="0.4">
      <c r="A240" s="12">
        <v>3692</v>
      </c>
      <c r="B240" s="21" t="s">
        <v>4206</v>
      </c>
      <c r="C240" s="13" t="s">
        <v>4207</v>
      </c>
      <c r="D240" s="25" t="s">
        <v>4207</v>
      </c>
      <c r="E240" s="13"/>
      <c r="F240" s="41"/>
      <c r="G240" s="41"/>
      <c r="H240" s="41"/>
      <c r="I240" s="41"/>
      <c r="J240" s="41"/>
      <c r="K240" s="65" t="str">
        <f>IFERROR(VLOOKUP(D240,Sheet4!A$1:M$56,11,FALSE),"")</f>
        <v/>
      </c>
      <c r="L240" s="65" t="str">
        <f t="shared" si="3"/>
        <v/>
      </c>
      <c r="M240" s="14" t="s">
        <v>1829</v>
      </c>
      <c r="N240" s="15">
        <v>44756</v>
      </c>
      <c r="O240" t="s">
        <v>3700</v>
      </c>
      <c r="P240" t="s">
        <v>51</v>
      </c>
      <c r="Q240" t="s">
        <v>52</v>
      </c>
      <c r="R240" t="s">
        <v>53</v>
      </c>
      <c r="S240" t="s">
        <v>3760</v>
      </c>
      <c r="T240" t="s">
        <v>4072</v>
      </c>
      <c r="U240" t="s">
        <v>56</v>
      </c>
      <c r="V240" s="21" t="s">
        <v>4073</v>
      </c>
      <c r="W240" s="21"/>
      <c r="X240" t="s">
        <v>4208</v>
      </c>
      <c r="Y240" t="s">
        <v>4209</v>
      </c>
      <c r="AB240" t="s">
        <v>2440</v>
      </c>
      <c r="AC240" t="s">
        <v>1832</v>
      </c>
      <c r="AE240" s="15"/>
      <c r="AG240">
        <v>37.883276000000002</v>
      </c>
      <c r="AH240">
        <v>-87.553537000000006</v>
      </c>
      <c r="AI240" t="s">
        <v>4210</v>
      </c>
      <c r="AL240" t="s">
        <v>1715</v>
      </c>
      <c r="AM240" t="s">
        <v>63</v>
      </c>
      <c r="AN240" t="s">
        <v>4211</v>
      </c>
      <c r="AO240">
        <v>194473</v>
      </c>
      <c r="AQ240" t="s">
        <v>4212</v>
      </c>
      <c r="AR240" t="s">
        <v>4213</v>
      </c>
      <c r="AS240" t="s">
        <v>4214</v>
      </c>
      <c r="AT240" t="s">
        <v>68</v>
      </c>
      <c r="AV240" t="s">
        <v>4215</v>
      </c>
      <c r="AW240" t="s">
        <v>4216</v>
      </c>
      <c r="AX240" t="s">
        <v>4217</v>
      </c>
      <c r="BA240" s="14" t="s">
        <v>72</v>
      </c>
      <c r="BB240" s="14" t="s">
        <v>73</v>
      </c>
      <c r="BC240" s="14" t="s">
        <v>74</v>
      </c>
    </row>
    <row r="241" spans="1:55" ht="15" customHeight="1" x14ac:dyDescent="0.4">
      <c r="A241" s="12">
        <v>3693</v>
      </c>
      <c r="B241" s="21" t="s">
        <v>4218</v>
      </c>
      <c r="C241" s="13" t="s">
        <v>4219</v>
      </c>
      <c r="D241" s="25" t="s">
        <v>4219</v>
      </c>
      <c r="E241" s="13"/>
      <c r="F241" s="41"/>
      <c r="G241" s="41"/>
      <c r="H241" s="41"/>
      <c r="I241" s="41"/>
      <c r="J241" s="41"/>
      <c r="K241" s="65" t="str">
        <f>IFERROR(VLOOKUP(D241,Sheet4!A$1:M$56,11,FALSE),"")</f>
        <v/>
      </c>
      <c r="L241" s="65" t="str">
        <f t="shared" si="3"/>
        <v/>
      </c>
      <c r="M241" s="14" t="s">
        <v>1829</v>
      </c>
      <c r="N241" s="15">
        <v>44756</v>
      </c>
      <c r="O241" t="s">
        <v>3700</v>
      </c>
      <c r="P241" t="s">
        <v>51</v>
      </c>
      <c r="Q241" t="s">
        <v>52</v>
      </c>
      <c r="R241" t="s">
        <v>53</v>
      </c>
      <c r="S241" t="s">
        <v>3760</v>
      </c>
      <c r="T241" t="s">
        <v>4072</v>
      </c>
      <c r="U241" t="s">
        <v>56</v>
      </c>
      <c r="V241" s="21" t="s">
        <v>4073</v>
      </c>
      <c r="W241" s="21"/>
      <c r="X241" t="s">
        <v>4220</v>
      </c>
      <c r="Y241" t="s">
        <v>4221</v>
      </c>
      <c r="AB241" t="s">
        <v>2336</v>
      </c>
      <c r="AC241" t="s">
        <v>1832</v>
      </c>
      <c r="AE241" s="15"/>
      <c r="AG241">
        <v>37.885952000000003</v>
      </c>
      <c r="AH241">
        <v>-87.553352000000004</v>
      </c>
      <c r="AI241" t="s">
        <v>4222</v>
      </c>
      <c r="AL241" t="s">
        <v>1715</v>
      </c>
      <c r="AM241" t="s">
        <v>63</v>
      </c>
      <c r="AN241" t="s">
        <v>4223</v>
      </c>
      <c r="AO241">
        <v>194474</v>
      </c>
      <c r="AQ241" t="s">
        <v>4224</v>
      </c>
      <c r="AR241" t="s">
        <v>4225</v>
      </c>
      <c r="AS241" t="s">
        <v>4226</v>
      </c>
      <c r="AT241" t="s">
        <v>68</v>
      </c>
      <c r="AV241" t="s">
        <v>4227</v>
      </c>
      <c r="AW241" t="s">
        <v>4228</v>
      </c>
      <c r="AX241" t="s">
        <v>4229</v>
      </c>
      <c r="BA241" s="14" t="s">
        <v>72</v>
      </c>
      <c r="BB241" s="14" t="s">
        <v>73</v>
      </c>
      <c r="BC241" s="14" t="s">
        <v>74</v>
      </c>
    </row>
    <row r="242" spans="1:55" ht="15" customHeight="1" x14ac:dyDescent="0.4">
      <c r="A242" s="12">
        <v>3694</v>
      </c>
      <c r="B242" s="21" t="s">
        <v>4230</v>
      </c>
      <c r="C242" s="13" t="s">
        <v>4231</v>
      </c>
      <c r="D242" s="25" t="s">
        <v>4231</v>
      </c>
      <c r="E242" s="13"/>
      <c r="F242" s="41"/>
      <c r="G242" s="41"/>
      <c r="H242" s="41"/>
      <c r="I242" s="41"/>
      <c r="J242" s="41"/>
      <c r="K242" s="65" t="str">
        <f>IFERROR(VLOOKUP(D242,Sheet4!A$1:M$56,11,FALSE),"")</f>
        <v/>
      </c>
      <c r="L242" s="65" t="str">
        <f t="shared" si="3"/>
        <v/>
      </c>
      <c r="M242" s="14" t="s">
        <v>1829</v>
      </c>
      <c r="N242" s="15">
        <v>44756</v>
      </c>
      <c r="O242" t="s">
        <v>3700</v>
      </c>
      <c r="P242" t="s">
        <v>51</v>
      </c>
      <c r="Q242" t="s">
        <v>52</v>
      </c>
      <c r="R242" t="s">
        <v>53</v>
      </c>
      <c r="S242" t="s">
        <v>3760</v>
      </c>
      <c r="T242" t="s">
        <v>4072</v>
      </c>
      <c r="U242" t="s">
        <v>56</v>
      </c>
      <c r="V242" s="21" t="s">
        <v>4073</v>
      </c>
      <c r="W242" s="21"/>
      <c r="X242" t="s">
        <v>4232</v>
      </c>
      <c r="Y242" t="s">
        <v>4233</v>
      </c>
      <c r="AC242" t="s">
        <v>1832</v>
      </c>
      <c r="AE242" s="15"/>
      <c r="AG242">
        <v>37.881841000000001</v>
      </c>
      <c r="AH242">
        <v>-87.557665999999998</v>
      </c>
      <c r="AI242" t="s">
        <v>4222</v>
      </c>
      <c r="AL242" t="s">
        <v>1715</v>
      </c>
      <c r="AM242" t="s">
        <v>63</v>
      </c>
      <c r="AN242" t="s">
        <v>4234</v>
      </c>
      <c r="AO242">
        <v>194529</v>
      </c>
      <c r="AQ242" t="s">
        <v>4235</v>
      </c>
      <c r="AR242" t="s">
        <v>4236</v>
      </c>
      <c r="AS242" t="s">
        <v>4237</v>
      </c>
      <c r="AT242" t="s">
        <v>68</v>
      </c>
      <c r="AV242" t="s">
        <v>4238</v>
      </c>
      <c r="AW242" t="s">
        <v>4239</v>
      </c>
      <c r="AX242" t="s">
        <v>4240</v>
      </c>
      <c r="BA242" s="14" t="s">
        <v>72</v>
      </c>
      <c r="BB242" s="14" t="s">
        <v>73</v>
      </c>
      <c r="BC242" s="14" t="s">
        <v>74</v>
      </c>
    </row>
    <row r="243" spans="1:55" ht="15" customHeight="1" x14ac:dyDescent="0.4">
      <c r="A243" s="12">
        <v>3653</v>
      </c>
      <c r="B243" s="21" t="s">
        <v>3757</v>
      </c>
      <c r="C243" s="13" t="s">
        <v>3758</v>
      </c>
      <c r="D243" s="25" t="s">
        <v>3758</v>
      </c>
      <c r="E243" s="13"/>
      <c r="F243" s="41"/>
      <c r="G243" s="41"/>
      <c r="H243" s="41"/>
      <c r="I243" s="41"/>
      <c r="J243" s="41"/>
      <c r="K243" s="65" t="str">
        <f>IFERROR(VLOOKUP(D243,Sheet4!A$1:M$56,11,FALSE),"")</f>
        <v/>
      </c>
      <c r="L243" s="65" t="str">
        <f t="shared" si="3"/>
        <v/>
      </c>
      <c r="M243" s="14" t="s">
        <v>49</v>
      </c>
      <c r="N243" s="15">
        <v>44754</v>
      </c>
      <c r="O243" t="s">
        <v>3759</v>
      </c>
      <c r="P243" t="s">
        <v>51</v>
      </c>
      <c r="Q243" t="s">
        <v>52</v>
      </c>
      <c r="R243" t="s">
        <v>53</v>
      </c>
      <c r="S243" t="s">
        <v>3760</v>
      </c>
      <c r="T243" t="s">
        <v>3761</v>
      </c>
      <c r="U243" t="s">
        <v>56</v>
      </c>
      <c r="V243" s="21" t="s">
        <v>3762</v>
      </c>
      <c r="W243" s="21"/>
      <c r="X243" t="s">
        <v>3763</v>
      </c>
      <c r="Y243" t="s">
        <v>3764</v>
      </c>
      <c r="AB243" t="s">
        <v>3765</v>
      </c>
      <c r="AC243" t="s">
        <v>60</v>
      </c>
      <c r="AE243" s="15"/>
      <c r="AG243">
        <v>38.059359000000001</v>
      </c>
      <c r="AH243">
        <v>-86.513459999999995</v>
      </c>
      <c r="AI243" t="s">
        <v>3766</v>
      </c>
      <c r="AL243" t="s">
        <v>1715</v>
      </c>
      <c r="AM243" t="s">
        <v>63</v>
      </c>
      <c r="AN243" t="s">
        <v>3767</v>
      </c>
      <c r="AO243">
        <v>194416</v>
      </c>
      <c r="AQ243" t="s">
        <v>3768</v>
      </c>
      <c r="AR243" t="s">
        <v>3769</v>
      </c>
      <c r="AS243" t="s">
        <v>3770</v>
      </c>
      <c r="AT243" t="s">
        <v>68</v>
      </c>
      <c r="AV243" t="s">
        <v>3771</v>
      </c>
      <c r="AW243" t="s">
        <v>3772</v>
      </c>
      <c r="AX243" t="s">
        <v>3773</v>
      </c>
      <c r="BA243" s="14" t="s">
        <v>72</v>
      </c>
      <c r="BB243" s="14" t="s">
        <v>73</v>
      </c>
      <c r="BC243" s="14" t="s">
        <v>74</v>
      </c>
    </row>
    <row r="244" spans="1:55" ht="15" customHeight="1" x14ac:dyDescent="0.4">
      <c r="A244" s="12">
        <v>3654</v>
      </c>
      <c r="B244" s="21" t="s">
        <v>3774</v>
      </c>
      <c r="C244" s="13" t="s">
        <v>3775</v>
      </c>
      <c r="D244" s="25" t="s">
        <v>3775</v>
      </c>
      <c r="E244" s="13"/>
      <c r="F244" s="41"/>
      <c r="G244" s="41"/>
      <c r="H244" s="41"/>
      <c r="I244" s="41"/>
      <c r="J244" s="41"/>
      <c r="K244" s="65" t="str">
        <f>IFERROR(VLOOKUP(D244,Sheet4!A$1:M$56,11,FALSE),"")</f>
        <v/>
      </c>
      <c r="L244" s="65" t="str">
        <f t="shared" si="3"/>
        <v/>
      </c>
      <c r="M244" s="14" t="s">
        <v>49</v>
      </c>
      <c r="N244" s="15">
        <v>44754</v>
      </c>
      <c r="O244" t="s">
        <v>3759</v>
      </c>
      <c r="P244" t="s">
        <v>51</v>
      </c>
      <c r="Q244" t="s">
        <v>52</v>
      </c>
      <c r="R244" t="s">
        <v>53</v>
      </c>
      <c r="S244" t="s">
        <v>3760</v>
      </c>
      <c r="T244" t="s">
        <v>3761</v>
      </c>
      <c r="U244" t="s">
        <v>56</v>
      </c>
      <c r="V244" s="21" t="s">
        <v>3762</v>
      </c>
      <c r="W244" s="21"/>
      <c r="X244" t="s">
        <v>3776</v>
      </c>
      <c r="Y244" t="s">
        <v>3777</v>
      </c>
      <c r="AB244" t="s">
        <v>2820</v>
      </c>
      <c r="AC244" t="s">
        <v>60</v>
      </c>
      <c r="AE244" s="15"/>
      <c r="AG244">
        <v>38.061765000000001</v>
      </c>
      <c r="AH244">
        <v>-84.506476000000006</v>
      </c>
      <c r="AI244" t="s">
        <v>3778</v>
      </c>
      <c r="AL244" t="s">
        <v>1715</v>
      </c>
      <c r="AM244" t="s">
        <v>63</v>
      </c>
      <c r="AN244" t="s">
        <v>3779</v>
      </c>
      <c r="AO244">
        <v>194417</v>
      </c>
      <c r="AQ244" t="s">
        <v>3780</v>
      </c>
      <c r="AR244" t="s">
        <v>3781</v>
      </c>
      <c r="AS244" t="s">
        <v>3782</v>
      </c>
      <c r="AT244" t="s">
        <v>68</v>
      </c>
      <c r="AV244" t="s">
        <v>3783</v>
      </c>
      <c r="AW244" t="s">
        <v>3784</v>
      </c>
      <c r="AX244" t="s">
        <v>3785</v>
      </c>
      <c r="BA244" s="14" t="s">
        <v>72</v>
      </c>
      <c r="BB244" s="14" t="s">
        <v>73</v>
      </c>
      <c r="BC244" s="14" t="s">
        <v>74</v>
      </c>
    </row>
    <row r="245" spans="1:55" ht="15" customHeight="1" x14ac:dyDescent="0.4">
      <c r="A245" s="12">
        <v>3655</v>
      </c>
      <c r="B245" s="21" t="s">
        <v>3786</v>
      </c>
      <c r="C245" s="13" t="s">
        <v>3787</v>
      </c>
      <c r="D245" s="25" t="s">
        <v>3787</v>
      </c>
      <c r="E245" s="13"/>
      <c r="F245" s="41"/>
      <c r="G245" s="41"/>
      <c r="H245" s="41"/>
      <c r="I245" s="41"/>
      <c r="J245" s="41"/>
      <c r="K245" s="65" t="str">
        <f>IFERROR(VLOOKUP(D245,Sheet4!A$1:M$56,11,FALSE),"")</f>
        <v/>
      </c>
      <c r="L245" s="65" t="str">
        <f t="shared" si="3"/>
        <v/>
      </c>
      <c r="M245" s="14" t="s">
        <v>49</v>
      </c>
      <c r="N245" s="15">
        <v>44754</v>
      </c>
      <c r="O245" t="s">
        <v>3759</v>
      </c>
      <c r="P245" t="s">
        <v>51</v>
      </c>
      <c r="Q245" t="s">
        <v>52</v>
      </c>
      <c r="R245" t="s">
        <v>53</v>
      </c>
      <c r="S245" t="s">
        <v>3760</v>
      </c>
      <c r="T245" t="s">
        <v>3761</v>
      </c>
      <c r="U245" t="s">
        <v>56</v>
      </c>
      <c r="V245" s="21" t="s">
        <v>3762</v>
      </c>
      <c r="W245" s="21"/>
      <c r="X245" t="s">
        <v>3788</v>
      </c>
      <c r="Y245" t="s">
        <v>3789</v>
      </c>
      <c r="AB245" t="s">
        <v>2820</v>
      </c>
      <c r="AC245" t="s">
        <v>60</v>
      </c>
      <c r="AE245" s="15"/>
      <c r="AG245">
        <v>38.061055000000003</v>
      </c>
      <c r="AH245">
        <v>-84.507112000000006</v>
      </c>
      <c r="AI245" t="s">
        <v>3790</v>
      </c>
      <c r="AL245" t="s">
        <v>1715</v>
      </c>
      <c r="AM245" t="s">
        <v>63</v>
      </c>
      <c r="AN245" t="s">
        <v>3791</v>
      </c>
      <c r="AO245">
        <v>193371</v>
      </c>
      <c r="AQ245" t="s">
        <v>3792</v>
      </c>
      <c r="AR245" t="s">
        <v>3793</v>
      </c>
      <c r="AS245" t="s">
        <v>3794</v>
      </c>
      <c r="AT245" t="s">
        <v>68</v>
      </c>
      <c r="AV245" t="s">
        <v>3795</v>
      </c>
      <c r="AW245" t="s">
        <v>3796</v>
      </c>
      <c r="AX245" t="s">
        <v>3797</v>
      </c>
      <c r="BA245" s="14" t="s">
        <v>72</v>
      </c>
      <c r="BB245" s="14" t="s">
        <v>73</v>
      </c>
      <c r="BC245" s="14" t="s">
        <v>74</v>
      </c>
    </row>
    <row r="246" spans="1:55" ht="15" customHeight="1" x14ac:dyDescent="0.4">
      <c r="A246" s="12">
        <v>3656</v>
      </c>
      <c r="B246" s="21" t="s">
        <v>3798</v>
      </c>
      <c r="C246" s="13" t="s">
        <v>3799</v>
      </c>
      <c r="D246" s="25" t="s">
        <v>3799</v>
      </c>
      <c r="E246" s="13"/>
      <c r="F246" s="41"/>
      <c r="G246" s="41"/>
      <c r="H246" s="41"/>
      <c r="I246" s="41"/>
      <c r="J246" s="41"/>
      <c r="K246" s="65" t="str">
        <f>IFERROR(VLOOKUP(D246,Sheet4!A$1:M$56,11,FALSE),"")</f>
        <v/>
      </c>
      <c r="L246" s="65" t="str">
        <f t="shared" si="3"/>
        <v/>
      </c>
      <c r="M246" s="14" t="s">
        <v>49</v>
      </c>
      <c r="N246" s="15">
        <v>44754</v>
      </c>
      <c r="O246" t="s">
        <v>3759</v>
      </c>
      <c r="P246" t="s">
        <v>51</v>
      </c>
      <c r="Q246" t="s">
        <v>52</v>
      </c>
      <c r="R246" t="s">
        <v>53</v>
      </c>
      <c r="S246" t="s">
        <v>3760</v>
      </c>
      <c r="T246" t="s">
        <v>3761</v>
      </c>
      <c r="U246" t="s">
        <v>56</v>
      </c>
      <c r="V246" s="21" t="s">
        <v>3762</v>
      </c>
      <c r="W246" s="21"/>
      <c r="X246" t="s">
        <v>3800</v>
      </c>
      <c r="Y246" t="s">
        <v>3801</v>
      </c>
      <c r="AB246" t="s">
        <v>3802</v>
      </c>
      <c r="AC246" t="s">
        <v>60</v>
      </c>
      <c r="AE246" s="15"/>
      <c r="AG246">
        <v>38.058273999999997</v>
      </c>
      <c r="AH246">
        <v>-84.508550999999997</v>
      </c>
      <c r="AI246" t="s">
        <v>3803</v>
      </c>
      <c r="AL246" t="s">
        <v>1715</v>
      </c>
      <c r="AM246" t="s">
        <v>63</v>
      </c>
      <c r="AN246" t="s">
        <v>3804</v>
      </c>
      <c r="AO246">
        <v>194418</v>
      </c>
      <c r="AQ246" t="s">
        <v>3805</v>
      </c>
      <c r="AR246" t="s">
        <v>3806</v>
      </c>
      <c r="AS246" t="s">
        <v>3807</v>
      </c>
      <c r="AT246" t="s">
        <v>68</v>
      </c>
      <c r="AV246" t="s">
        <v>3808</v>
      </c>
      <c r="AW246" t="s">
        <v>3809</v>
      </c>
      <c r="AX246" t="s">
        <v>3810</v>
      </c>
      <c r="BA246" s="14" t="s">
        <v>72</v>
      </c>
      <c r="BB246" s="14" t="s">
        <v>73</v>
      </c>
      <c r="BC246" s="14" t="s">
        <v>74</v>
      </c>
    </row>
    <row r="247" spans="1:55" ht="15" customHeight="1" x14ac:dyDescent="0.4">
      <c r="A247" s="12">
        <v>3869</v>
      </c>
      <c r="B247" s="21" t="s">
        <v>6294</v>
      </c>
      <c r="C247" s="13" t="s">
        <v>6295</v>
      </c>
      <c r="D247" s="25" t="s">
        <v>6295</v>
      </c>
      <c r="E247" s="13"/>
      <c r="F247" s="41" t="s">
        <v>3090</v>
      </c>
      <c r="G247" s="41" t="s">
        <v>8145</v>
      </c>
      <c r="H247" s="41"/>
      <c r="I247" s="41"/>
      <c r="J247" s="41" t="s">
        <v>8145</v>
      </c>
      <c r="K247" s="65" t="str">
        <f>IFERROR(VLOOKUP(D247,Sheet4!A$1:M$56,11,FALSE),"")</f>
        <v/>
      </c>
      <c r="L247" s="65" t="str">
        <f t="shared" si="3"/>
        <v>genomically</v>
      </c>
      <c r="M247" s="14" t="s">
        <v>1829</v>
      </c>
      <c r="N247" s="15">
        <v>44794</v>
      </c>
      <c r="O247" t="s">
        <v>2719</v>
      </c>
      <c r="P247" t="s">
        <v>51</v>
      </c>
      <c r="Q247" t="s">
        <v>52</v>
      </c>
      <c r="R247" t="s">
        <v>53</v>
      </c>
      <c r="S247" t="s">
        <v>6296</v>
      </c>
      <c r="T247" t="s">
        <v>6297</v>
      </c>
      <c r="U247" t="s">
        <v>56</v>
      </c>
      <c r="V247" s="21" t="s">
        <v>6298</v>
      </c>
      <c r="W247" s="21"/>
      <c r="X247" t="s">
        <v>6299</v>
      </c>
      <c r="Y247" t="s">
        <v>6300</v>
      </c>
      <c r="AC247" t="s">
        <v>1832</v>
      </c>
      <c r="AE247" s="15"/>
      <c r="AG247">
        <v>42.056111999999999</v>
      </c>
      <c r="AH247">
        <v>-73.350116</v>
      </c>
      <c r="AL247" t="s">
        <v>1715</v>
      </c>
      <c r="AM247" t="s">
        <v>63</v>
      </c>
      <c r="AN247" t="s">
        <v>6301</v>
      </c>
      <c r="AO247">
        <v>194493</v>
      </c>
      <c r="AQ247" t="s">
        <v>6302</v>
      </c>
      <c r="AR247" t="s">
        <v>6303</v>
      </c>
      <c r="AS247" t="s">
        <v>6304</v>
      </c>
      <c r="AT247" t="s">
        <v>68</v>
      </c>
      <c r="AV247" t="s">
        <v>6305</v>
      </c>
      <c r="AW247" t="s">
        <v>6306</v>
      </c>
      <c r="AX247" t="s">
        <v>6307</v>
      </c>
      <c r="BA247" s="14" t="s">
        <v>72</v>
      </c>
      <c r="BB247" s="14" t="s">
        <v>73</v>
      </c>
      <c r="BC247" s="14" t="s">
        <v>74</v>
      </c>
    </row>
    <row r="248" spans="1:55" ht="15" customHeight="1" x14ac:dyDescent="0.4">
      <c r="A248" s="12">
        <v>3870</v>
      </c>
      <c r="B248" s="21" t="s">
        <v>6308</v>
      </c>
      <c r="C248" s="13" t="s">
        <v>6309</v>
      </c>
      <c r="D248" s="25" t="s">
        <v>6309</v>
      </c>
      <c r="E248" s="13"/>
      <c r="F248" s="41"/>
      <c r="G248" s="41"/>
      <c r="H248" s="41"/>
      <c r="I248" s="41"/>
      <c r="J248" s="41" t="s">
        <v>8177</v>
      </c>
      <c r="K248" s="65" t="str">
        <f>IFERROR(VLOOKUP(D248,Sheet4!A$1:M$56,11,FALSE),"")</f>
        <v/>
      </c>
      <c r="L248" s="65" t="str">
        <f t="shared" si="3"/>
        <v>May have genomic admixture with Q. prinoides</v>
      </c>
      <c r="M248" s="14" t="s">
        <v>1829</v>
      </c>
      <c r="N248" s="15">
        <v>44794</v>
      </c>
      <c r="O248" t="s">
        <v>2719</v>
      </c>
      <c r="P248" t="s">
        <v>51</v>
      </c>
      <c r="Q248" t="s">
        <v>52</v>
      </c>
      <c r="R248" t="s">
        <v>53</v>
      </c>
      <c r="S248" t="s">
        <v>6296</v>
      </c>
      <c r="T248" t="s">
        <v>6297</v>
      </c>
      <c r="U248" t="s">
        <v>56</v>
      </c>
      <c r="V248" s="21" t="s">
        <v>6298</v>
      </c>
      <c r="W248" s="21"/>
      <c r="X248" t="s">
        <v>6310</v>
      </c>
      <c r="Y248" t="s">
        <v>6311</v>
      </c>
      <c r="AC248" t="s">
        <v>1832</v>
      </c>
      <c r="AE248" s="15"/>
      <c r="AG248">
        <v>42.056035000000001</v>
      </c>
      <c r="AH248">
        <v>-73.350217000000001</v>
      </c>
      <c r="AL248" t="s">
        <v>1715</v>
      </c>
      <c r="AM248" t="s">
        <v>63</v>
      </c>
      <c r="AN248" t="s">
        <v>6312</v>
      </c>
      <c r="AO248">
        <v>194494</v>
      </c>
      <c r="AQ248" t="s">
        <v>6313</v>
      </c>
      <c r="AR248" t="s">
        <v>6314</v>
      </c>
      <c r="AS248" t="s">
        <v>6315</v>
      </c>
      <c r="AT248" t="s">
        <v>68</v>
      </c>
      <c r="AV248" t="s">
        <v>6316</v>
      </c>
      <c r="AW248" t="s">
        <v>6317</v>
      </c>
      <c r="AX248" t="s">
        <v>6318</v>
      </c>
      <c r="BA248" s="14" t="s">
        <v>72</v>
      </c>
      <c r="BB248" s="14" t="s">
        <v>73</v>
      </c>
      <c r="BC248" s="14" t="s">
        <v>74</v>
      </c>
    </row>
    <row r="249" spans="1:55" ht="15" customHeight="1" x14ac:dyDescent="0.4">
      <c r="A249" s="12">
        <v>3871</v>
      </c>
      <c r="B249" s="21" t="s">
        <v>6319</v>
      </c>
      <c r="C249" s="13" t="s">
        <v>6320</v>
      </c>
      <c r="D249" s="25" t="s">
        <v>6320</v>
      </c>
      <c r="E249" s="13"/>
      <c r="F249" s="41"/>
      <c r="G249" s="41"/>
      <c r="H249" s="41"/>
      <c r="I249" s="41"/>
      <c r="J249" s="41" t="s">
        <v>8177</v>
      </c>
      <c r="K249" s="65" t="str">
        <f>IFERROR(VLOOKUP(D249,Sheet4!A$1:M$56,11,FALSE),"")</f>
        <v/>
      </c>
      <c r="L249" s="65" t="str">
        <f t="shared" si="3"/>
        <v>May have genomic admixture with Q. prinoides</v>
      </c>
      <c r="M249" s="14" t="s">
        <v>1829</v>
      </c>
      <c r="N249" s="15">
        <v>44794</v>
      </c>
      <c r="O249" t="s">
        <v>2719</v>
      </c>
      <c r="P249" t="s">
        <v>51</v>
      </c>
      <c r="Q249" t="s">
        <v>52</v>
      </c>
      <c r="R249" t="s">
        <v>53</v>
      </c>
      <c r="S249" t="s">
        <v>6296</v>
      </c>
      <c r="T249" t="s">
        <v>6297</v>
      </c>
      <c r="U249" t="s">
        <v>56</v>
      </c>
      <c r="V249" s="21" t="s">
        <v>6298</v>
      </c>
      <c r="W249" s="21"/>
      <c r="X249" t="s">
        <v>6321</v>
      </c>
      <c r="Y249" t="s">
        <v>6322</v>
      </c>
      <c r="AC249" t="s">
        <v>1832</v>
      </c>
      <c r="AE249" s="15"/>
      <c r="AG249">
        <v>42.055942999999999</v>
      </c>
      <c r="AH249">
        <v>-73.350234</v>
      </c>
      <c r="AL249" t="s">
        <v>1715</v>
      </c>
      <c r="AM249" t="s">
        <v>63</v>
      </c>
      <c r="AN249" t="s">
        <v>6323</v>
      </c>
      <c r="AO249">
        <v>194495</v>
      </c>
      <c r="AQ249" t="s">
        <v>6324</v>
      </c>
      <c r="AR249" t="s">
        <v>6325</v>
      </c>
      <c r="AS249" t="s">
        <v>6326</v>
      </c>
      <c r="AT249" t="s">
        <v>68</v>
      </c>
      <c r="AV249" t="s">
        <v>6327</v>
      </c>
      <c r="AW249" t="s">
        <v>6328</v>
      </c>
      <c r="AX249" t="s">
        <v>6329</v>
      </c>
      <c r="BA249" s="14" t="s">
        <v>72</v>
      </c>
      <c r="BB249" s="14" t="s">
        <v>73</v>
      </c>
      <c r="BC249" s="14" t="s">
        <v>74</v>
      </c>
    </row>
    <row r="250" spans="1:55" ht="15" customHeight="1" x14ac:dyDescent="0.4">
      <c r="A250" s="12">
        <v>3872</v>
      </c>
      <c r="B250" s="21" t="s">
        <v>6330</v>
      </c>
      <c r="C250" s="13" t="s">
        <v>6331</v>
      </c>
      <c r="D250" s="25" t="s">
        <v>6331</v>
      </c>
      <c r="E250" s="13"/>
      <c r="F250" s="41"/>
      <c r="G250" s="41"/>
      <c r="H250" s="41"/>
      <c r="I250" s="41"/>
      <c r="J250" s="41"/>
      <c r="K250" s="65" t="str">
        <f>IFERROR(VLOOKUP(D250,Sheet4!A$1:M$56,11,FALSE),"")</f>
        <v/>
      </c>
      <c r="L250" s="65" t="str">
        <f t="shared" si="3"/>
        <v/>
      </c>
      <c r="M250" s="14" t="s">
        <v>1878</v>
      </c>
      <c r="N250" s="15">
        <v>44794</v>
      </c>
      <c r="O250" t="s">
        <v>2719</v>
      </c>
      <c r="P250" t="s">
        <v>51</v>
      </c>
      <c r="Q250" t="s">
        <v>52</v>
      </c>
      <c r="R250" t="s">
        <v>53</v>
      </c>
      <c r="S250" t="s">
        <v>6296</v>
      </c>
      <c r="T250" t="s">
        <v>6297</v>
      </c>
      <c r="U250" t="s">
        <v>56</v>
      </c>
      <c r="V250" s="21" t="s">
        <v>6298</v>
      </c>
      <c r="W250" s="21"/>
      <c r="X250" t="s">
        <v>6332</v>
      </c>
      <c r="Y250" t="s">
        <v>6333</v>
      </c>
      <c r="AC250" t="s">
        <v>1881</v>
      </c>
      <c r="AE250" s="15"/>
      <c r="AG250">
        <v>42.055847</v>
      </c>
      <c r="AH250">
        <v>-73.350441000000004</v>
      </c>
      <c r="AL250" t="s">
        <v>1715</v>
      </c>
      <c r="AM250" t="s">
        <v>63</v>
      </c>
      <c r="AN250" t="s">
        <v>6334</v>
      </c>
      <c r="AO250">
        <v>194160</v>
      </c>
      <c r="AQ250" t="s">
        <v>6335</v>
      </c>
      <c r="AR250" t="s">
        <v>6336</v>
      </c>
      <c r="AS250" t="s">
        <v>6337</v>
      </c>
      <c r="AT250" t="s">
        <v>68</v>
      </c>
      <c r="AV250" t="s">
        <v>6338</v>
      </c>
      <c r="AW250" t="s">
        <v>6339</v>
      </c>
      <c r="AX250" t="s">
        <v>6340</v>
      </c>
      <c r="BA250" s="14" t="s">
        <v>72</v>
      </c>
      <c r="BB250" s="14" t="s">
        <v>73</v>
      </c>
      <c r="BC250" s="14" t="s">
        <v>1723</v>
      </c>
    </row>
    <row r="251" spans="1:55" ht="15" customHeight="1" x14ac:dyDescent="0.4">
      <c r="A251" s="12">
        <v>3873</v>
      </c>
      <c r="B251" s="21" t="s">
        <v>6341</v>
      </c>
      <c r="C251" s="13" t="s">
        <v>6342</v>
      </c>
      <c r="D251" s="25" t="s">
        <v>6342</v>
      </c>
      <c r="E251" s="13"/>
      <c r="F251" s="41"/>
      <c r="G251" s="41"/>
      <c r="H251" s="41"/>
      <c r="I251" s="41"/>
      <c r="J251" s="41" t="s">
        <v>8177</v>
      </c>
      <c r="K251" s="65" t="str">
        <f>IFERROR(VLOOKUP(D251,Sheet4!A$1:M$56,11,FALSE),"")</f>
        <v/>
      </c>
      <c r="L251" s="65" t="str">
        <f t="shared" si="3"/>
        <v>May have genomic admixture with Q. prinoides</v>
      </c>
      <c r="M251" s="14" t="s">
        <v>1829</v>
      </c>
      <c r="N251" s="15">
        <v>44794</v>
      </c>
      <c r="O251" t="s">
        <v>2719</v>
      </c>
      <c r="P251" t="s">
        <v>51</v>
      </c>
      <c r="Q251" t="s">
        <v>52</v>
      </c>
      <c r="R251" t="s">
        <v>53</v>
      </c>
      <c r="S251" t="s">
        <v>6296</v>
      </c>
      <c r="T251" t="s">
        <v>6297</v>
      </c>
      <c r="U251" t="s">
        <v>56</v>
      </c>
      <c r="V251" s="21" t="s">
        <v>6298</v>
      </c>
      <c r="W251" s="21"/>
      <c r="X251" t="s">
        <v>6343</v>
      </c>
      <c r="Y251" t="s">
        <v>6344</v>
      </c>
      <c r="AC251" t="s">
        <v>1832</v>
      </c>
      <c r="AE251" s="15"/>
      <c r="AG251">
        <v>42.055816999999998</v>
      </c>
      <c r="AH251">
        <v>-73.350211000000002</v>
      </c>
      <c r="AL251" t="s">
        <v>1715</v>
      </c>
      <c r="AM251" t="s">
        <v>63</v>
      </c>
      <c r="AN251" t="s">
        <v>6345</v>
      </c>
      <c r="AO251">
        <v>194496</v>
      </c>
      <c r="AQ251" t="s">
        <v>6346</v>
      </c>
      <c r="AR251" t="s">
        <v>6347</v>
      </c>
      <c r="AS251" t="s">
        <v>6348</v>
      </c>
      <c r="AT251" t="s">
        <v>68</v>
      </c>
      <c r="AV251" t="s">
        <v>6349</v>
      </c>
      <c r="AW251" t="s">
        <v>6350</v>
      </c>
      <c r="AX251" t="s">
        <v>6351</v>
      </c>
      <c r="BA251" s="14" t="s">
        <v>72</v>
      </c>
      <c r="BB251" s="14" t="s">
        <v>73</v>
      </c>
      <c r="BC251" s="14" t="s">
        <v>74</v>
      </c>
    </row>
    <row r="252" spans="1:55" s="34" customFormat="1" ht="15" customHeight="1" x14ac:dyDescent="0.4">
      <c r="A252" s="33">
        <v>3874</v>
      </c>
      <c r="B252" s="37" t="s">
        <v>6352</v>
      </c>
      <c r="C252" s="35" t="s">
        <v>6353</v>
      </c>
      <c r="D252" s="55" t="s">
        <v>6353</v>
      </c>
      <c r="E252" s="35"/>
      <c r="F252" s="56"/>
      <c r="G252" s="56"/>
      <c r="H252" s="56"/>
      <c r="I252" s="56"/>
      <c r="J252" s="42" t="s">
        <v>8177</v>
      </c>
      <c r="K252" s="65" t="str">
        <f>IFERROR(VLOOKUP(D252,Sheet4!A$1:M$56,11,FALSE),"")</f>
        <v/>
      </c>
      <c r="L252" s="65" t="str">
        <f t="shared" si="3"/>
        <v>May have genomic admixture with Q. prinoides</v>
      </c>
      <c r="M252" s="34" t="s">
        <v>1829</v>
      </c>
      <c r="N252" s="36">
        <v>44794</v>
      </c>
      <c r="O252" s="34" t="s">
        <v>2719</v>
      </c>
      <c r="P252" s="34" t="s">
        <v>51</v>
      </c>
      <c r="Q252" s="34" t="s">
        <v>52</v>
      </c>
      <c r="R252" s="34" t="s">
        <v>53</v>
      </c>
      <c r="S252" s="34" t="s">
        <v>6296</v>
      </c>
      <c r="T252" s="34" t="s">
        <v>6297</v>
      </c>
      <c r="U252" s="34" t="s">
        <v>56</v>
      </c>
      <c r="V252" s="37" t="s">
        <v>6298</v>
      </c>
      <c r="W252" s="37"/>
      <c r="X252" s="34" t="s">
        <v>6299</v>
      </c>
      <c r="Y252" s="34" t="s">
        <v>6354</v>
      </c>
      <c r="AC252" s="34" t="s">
        <v>1832</v>
      </c>
      <c r="AE252" s="36"/>
      <c r="AG252" s="34">
        <v>42.056041999999998</v>
      </c>
      <c r="AH252" s="34">
        <v>-73.350956999999994</v>
      </c>
      <c r="AL252" s="34" t="s">
        <v>1715</v>
      </c>
      <c r="AM252" s="34" t="s">
        <v>63</v>
      </c>
      <c r="AN252" s="34" t="s">
        <v>6355</v>
      </c>
      <c r="AO252" s="34">
        <v>194497</v>
      </c>
      <c r="AQ252" s="34" t="s">
        <v>6356</v>
      </c>
      <c r="AR252" s="34" t="s">
        <v>6357</v>
      </c>
      <c r="AS252" s="34" t="s">
        <v>6358</v>
      </c>
      <c r="AT252" s="34" t="s">
        <v>68</v>
      </c>
      <c r="AV252" s="34" t="s">
        <v>6359</v>
      </c>
      <c r="AW252" s="34" t="s">
        <v>6360</v>
      </c>
      <c r="AX252" s="34" t="s">
        <v>6361</v>
      </c>
      <c r="BA252" s="34" t="s">
        <v>72</v>
      </c>
      <c r="BB252" s="34" t="s">
        <v>73</v>
      </c>
      <c r="BC252" s="34" t="s">
        <v>74</v>
      </c>
    </row>
    <row r="253" spans="1:55" ht="15" customHeight="1" x14ac:dyDescent="0.4">
      <c r="A253" s="12">
        <v>3875</v>
      </c>
      <c r="B253" s="21" t="s">
        <v>6362</v>
      </c>
      <c r="C253" s="13" t="s">
        <v>6363</v>
      </c>
      <c r="D253" s="25" t="s">
        <v>6363</v>
      </c>
      <c r="E253" s="13"/>
      <c r="F253" s="41"/>
      <c r="G253" s="65"/>
      <c r="H253" s="41"/>
      <c r="I253" s="41"/>
      <c r="J253" s="41"/>
      <c r="K253" s="65" t="str">
        <f>IFERROR(VLOOKUP(D253,Sheet4!A$1:M$56,11,FALSE),"")</f>
        <v>Based on ADMIXTURE results of 78,187 SNPs, trace admixed (Q&lt;0.10) with Quercus bicolor</v>
      </c>
      <c r="L253" s="65" t="str">
        <f t="shared" si="3"/>
        <v>Based on ADMIXTURE results of 78,187 SNPs, trace admixed (Q&lt;0.10) with Quercus bicolor</v>
      </c>
      <c r="M253" s="14" t="s">
        <v>49</v>
      </c>
      <c r="N253" s="15">
        <v>44794</v>
      </c>
      <c r="O253" t="s">
        <v>2719</v>
      </c>
      <c r="P253" t="s">
        <v>51</v>
      </c>
      <c r="Q253" t="s">
        <v>52</v>
      </c>
      <c r="R253" t="s">
        <v>53</v>
      </c>
      <c r="S253" t="s">
        <v>6296</v>
      </c>
      <c r="T253" t="s">
        <v>6297</v>
      </c>
      <c r="U253" t="s">
        <v>56</v>
      </c>
      <c r="V253" s="21" t="s">
        <v>6298</v>
      </c>
      <c r="W253" s="21"/>
      <c r="X253" t="s">
        <v>6364</v>
      </c>
      <c r="Y253" t="s">
        <v>6365</v>
      </c>
      <c r="AC253" t="s">
        <v>60</v>
      </c>
      <c r="AE253" s="15"/>
      <c r="AG253">
        <v>42.057929999999999</v>
      </c>
      <c r="AH253">
        <v>-73.350320999999994</v>
      </c>
      <c r="AL253" t="s">
        <v>1715</v>
      </c>
      <c r="AM253" t="s">
        <v>63</v>
      </c>
      <c r="AN253" t="s">
        <v>6366</v>
      </c>
      <c r="AO253">
        <v>194450</v>
      </c>
      <c r="AQ253" t="s">
        <v>6367</v>
      </c>
      <c r="AR253" t="s">
        <v>6368</v>
      </c>
      <c r="AS253" t="s">
        <v>6369</v>
      </c>
      <c r="AT253" t="s">
        <v>68</v>
      </c>
      <c r="AV253" t="s">
        <v>6370</v>
      </c>
      <c r="AW253" t="s">
        <v>6371</v>
      </c>
      <c r="AX253" t="s">
        <v>6372</v>
      </c>
      <c r="BA253" s="14" t="s">
        <v>72</v>
      </c>
      <c r="BB253" s="14" t="s">
        <v>73</v>
      </c>
      <c r="BC253" s="14" t="s">
        <v>74</v>
      </c>
    </row>
    <row r="254" spans="1:55" ht="15" customHeight="1" x14ac:dyDescent="0.4">
      <c r="A254" s="12">
        <v>3876</v>
      </c>
      <c r="B254" s="21" t="s">
        <v>6373</v>
      </c>
      <c r="C254" s="13" t="s">
        <v>6374</v>
      </c>
      <c r="D254" s="25" t="s">
        <v>6374</v>
      </c>
      <c r="E254" s="13"/>
      <c r="F254" s="41"/>
      <c r="G254" s="41"/>
      <c r="H254" s="41"/>
      <c r="I254" s="41"/>
      <c r="J254" s="41"/>
      <c r="K254" s="65" t="str">
        <f>IFERROR(VLOOKUP(D254,Sheet4!A$1:M$56,11,FALSE),"")</f>
        <v/>
      </c>
      <c r="L254" s="65" t="str">
        <f t="shared" si="3"/>
        <v/>
      </c>
      <c r="M254" s="14" t="s">
        <v>1878</v>
      </c>
      <c r="N254" s="15">
        <v>44794</v>
      </c>
      <c r="O254" t="s">
        <v>2719</v>
      </c>
      <c r="P254" t="s">
        <v>51</v>
      </c>
      <c r="Q254" t="s">
        <v>52</v>
      </c>
      <c r="R254" t="s">
        <v>53</v>
      </c>
      <c r="S254" t="s">
        <v>6296</v>
      </c>
      <c r="T254" t="s">
        <v>6297</v>
      </c>
      <c r="U254" t="s">
        <v>56</v>
      </c>
      <c r="V254" s="21" t="s">
        <v>6298</v>
      </c>
      <c r="W254" s="21"/>
      <c r="X254" t="s">
        <v>6375</v>
      </c>
      <c r="Y254" t="s">
        <v>6376</v>
      </c>
      <c r="AC254" t="s">
        <v>1881</v>
      </c>
      <c r="AE254" s="15"/>
      <c r="AG254">
        <v>42.057557000000003</v>
      </c>
      <c r="AH254">
        <v>-73.350425999999999</v>
      </c>
      <c r="AL254" t="s">
        <v>1715</v>
      </c>
      <c r="AM254" t="s">
        <v>63</v>
      </c>
      <c r="AN254" t="s">
        <v>6377</v>
      </c>
      <c r="AO254">
        <v>194161</v>
      </c>
      <c r="AQ254" t="s">
        <v>6378</v>
      </c>
      <c r="AR254" t="s">
        <v>6379</v>
      </c>
      <c r="AS254" t="s">
        <v>6380</v>
      </c>
      <c r="AT254" t="s">
        <v>68</v>
      </c>
      <c r="AV254" t="s">
        <v>6381</v>
      </c>
      <c r="AW254" t="s">
        <v>6382</v>
      </c>
      <c r="AX254" t="s">
        <v>6383</v>
      </c>
      <c r="BA254" s="14" t="s">
        <v>72</v>
      </c>
      <c r="BB254" s="14" t="s">
        <v>73</v>
      </c>
      <c r="BC254" s="14" t="s">
        <v>1723</v>
      </c>
    </row>
    <row r="255" spans="1:55" ht="15" customHeight="1" x14ac:dyDescent="0.4">
      <c r="A255" s="12">
        <v>3882</v>
      </c>
      <c r="B255" s="21" t="s">
        <v>6439</v>
      </c>
      <c r="C255" s="13" t="s">
        <v>6440</v>
      </c>
      <c r="D255" s="25" t="s">
        <v>6440</v>
      </c>
      <c r="E255" s="13"/>
      <c r="F255" s="43" t="s">
        <v>49</v>
      </c>
      <c r="G255" s="43" t="s">
        <v>8095</v>
      </c>
      <c r="H255" s="43"/>
      <c r="I255" s="43"/>
      <c r="J255" s="43"/>
      <c r="K255" s="65" t="str">
        <f>IFERROR(VLOOKUP(D255,Sheet4!A$1:M$56,11,FALSE),"")</f>
        <v>Based on ADMIXTURE results of 78,187 SNPs, admixed with Quercus bicolor</v>
      </c>
      <c r="L255" s="65" t="str">
        <f t="shared" si="3"/>
        <v>Based on ADMIXTURE results of 78,187 SNPs, admixed with Quercus bicolor</v>
      </c>
      <c r="M255" s="14" t="s">
        <v>49</v>
      </c>
      <c r="N255" s="15">
        <v>44794</v>
      </c>
      <c r="O255" t="s">
        <v>2719</v>
      </c>
      <c r="P255" t="s">
        <v>51</v>
      </c>
      <c r="Q255" t="s">
        <v>52</v>
      </c>
      <c r="R255" t="s">
        <v>53</v>
      </c>
      <c r="S255" t="s">
        <v>6296</v>
      </c>
      <c r="T255" t="s">
        <v>6297</v>
      </c>
      <c r="U255" t="s">
        <v>56</v>
      </c>
      <c r="V255" s="21" t="s">
        <v>6441</v>
      </c>
      <c r="W255" s="21"/>
      <c r="X255" t="s">
        <v>6442</v>
      </c>
      <c r="Y255" t="s">
        <v>6443</v>
      </c>
      <c r="AC255" t="s">
        <v>60</v>
      </c>
      <c r="AE255" s="15"/>
      <c r="AG255">
        <v>42.084119999999999</v>
      </c>
      <c r="AH255">
        <v>-73.367427000000006</v>
      </c>
      <c r="AI255" t="s">
        <v>6444</v>
      </c>
      <c r="AL255" t="s">
        <v>1715</v>
      </c>
      <c r="AM255" t="s">
        <v>63</v>
      </c>
      <c r="AN255" t="s">
        <v>6445</v>
      </c>
      <c r="AO255">
        <v>192611</v>
      </c>
      <c r="AQ255" t="s">
        <v>6446</v>
      </c>
      <c r="AR255" t="s">
        <v>6447</v>
      </c>
      <c r="AS255" t="s">
        <v>6448</v>
      </c>
      <c r="AT255" t="s">
        <v>68</v>
      </c>
      <c r="AV255" t="s">
        <v>6449</v>
      </c>
      <c r="AW255" t="s">
        <v>6450</v>
      </c>
      <c r="AX255" t="s">
        <v>6451</v>
      </c>
      <c r="BA255" s="14" t="s">
        <v>72</v>
      </c>
      <c r="BB255" s="14" t="s">
        <v>73</v>
      </c>
      <c r="BC255" s="14" t="s">
        <v>74</v>
      </c>
    </row>
    <row r="256" spans="1:55" ht="15" customHeight="1" x14ac:dyDescent="0.4">
      <c r="A256" s="12">
        <v>3883</v>
      </c>
      <c r="B256" s="21" t="s">
        <v>6452</v>
      </c>
      <c r="C256" s="13" t="s">
        <v>6453</v>
      </c>
      <c r="D256" s="25" t="s">
        <v>6453</v>
      </c>
      <c r="E256" s="13"/>
      <c r="F256" s="41"/>
      <c r="G256" s="41"/>
      <c r="H256" s="41"/>
      <c r="I256" s="41"/>
      <c r="J256" s="41"/>
      <c r="K256" s="65" t="str">
        <f>IFERROR(VLOOKUP(D256,Sheet4!A$1:M$56,11,FALSE),"")</f>
        <v/>
      </c>
      <c r="L256" s="65" t="str">
        <f t="shared" si="3"/>
        <v/>
      </c>
      <c r="M256" s="14" t="s">
        <v>1878</v>
      </c>
      <c r="N256" s="15">
        <v>44794</v>
      </c>
      <c r="O256" t="s">
        <v>2719</v>
      </c>
      <c r="P256" t="s">
        <v>51</v>
      </c>
      <c r="Q256" t="s">
        <v>52</v>
      </c>
      <c r="R256" t="s">
        <v>53</v>
      </c>
      <c r="S256" t="s">
        <v>6296</v>
      </c>
      <c r="T256" t="s">
        <v>6297</v>
      </c>
      <c r="U256" t="s">
        <v>56</v>
      </c>
      <c r="V256" s="21" t="s">
        <v>6441</v>
      </c>
      <c r="W256" s="21"/>
      <c r="X256" t="s">
        <v>5900</v>
      </c>
      <c r="Y256" t="s">
        <v>6454</v>
      </c>
      <c r="AC256" t="s">
        <v>1881</v>
      </c>
      <c r="AE256" s="15"/>
      <c r="AG256">
        <v>42.083770999999999</v>
      </c>
      <c r="AH256">
        <v>-73.368753999999996</v>
      </c>
      <c r="AI256" t="s">
        <v>6455</v>
      </c>
      <c r="AL256" t="s">
        <v>1715</v>
      </c>
      <c r="AM256" t="s">
        <v>63</v>
      </c>
      <c r="AN256" t="s">
        <v>6456</v>
      </c>
      <c r="AO256">
        <v>194162</v>
      </c>
      <c r="AQ256" t="s">
        <v>6457</v>
      </c>
      <c r="AR256" t="s">
        <v>6458</v>
      </c>
      <c r="AS256" t="s">
        <v>6459</v>
      </c>
      <c r="AT256" t="s">
        <v>68</v>
      </c>
      <c r="AV256" t="s">
        <v>6460</v>
      </c>
      <c r="AW256" t="s">
        <v>6461</v>
      </c>
      <c r="AX256" t="s">
        <v>6462</v>
      </c>
      <c r="BA256" s="14" t="s">
        <v>72</v>
      </c>
      <c r="BB256" s="14" t="s">
        <v>73</v>
      </c>
      <c r="BC256" s="14" t="s">
        <v>1723</v>
      </c>
    </row>
    <row r="257" spans="1:55" ht="15" customHeight="1" x14ac:dyDescent="0.4">
      <c r="A257" s="12">
        <v>3884</v>
      </c>
      <c r="B257" s="21" t="s">
        <v>6463</v>
      </c>
      <c r="C257" s="13" t="s">
        <v>6464</v>
      </c>
      <c r="D257" s="25" t="s">
        <v>6464</v>
      </c>
      <c r="E257" s="13"/>
      <c r="F257" s="41"/>
      <c r="G257" s="41"/>
      <c r="H257" s="41"/>
      <c r="I257" s="41"/>
      <c r="J257" s="41"/>
      <c r="K257" s="65" t="str">
        <f>IFERROR(VLOOKUP(D257,Sheet4!A$1:M$56,11,FALSE),"")</f>
        <v/>
      </c>
      <c r="L257" s="65" t="str">
        <f t="shared" si="3"/>
        <v/>
      </c>
      <c r="M257" s="14" t="s">
        <v>1878</v>
      </c>
      <c r="N257" s="15">
        <v>44794</v>
      </c>
      <c r="O257" t="s">
        <v>2719</v>
      </c>
      <c r="P257" t="s">
        <v>51</v>
      </c>
      <c r="Q257" t="s">
        <v>52</v>
      </c>
      <c r="R257" t="s">
        <v>53</v>
      </c>
      <c r="S257" t="s">
        <v>6296</v>
      </c>
      <c r="T257" t="s">
        <v>6297</v>
      </c>
      <c r="U257" t="s">
        <v>56</v>
      </c>
      <c r="V257" s="21" t="s">
        <v>6441</v>
      </c>
      <c r="W257" s="21"/>
      <c r="X257" t="s">
        <v>5900</v>
      </c>
      <c r="Y257" t="s">
        <v>6465</v>
      </c>
      <c r="AC257" t="s">
        <v>1881</v>
      </c>
      <c r="AE257" s="15"/>
      <c r="AG257">
        <v>42.080843999999999</v>
      </c>
      <c r="AH257">
        <v>-73.370311999999998</v>
      </c>
      <c r="AI257" t="s">
        <v>3984</v>
      </c>
      <c r="AL257" t="s">
        <v>1715</v>
      </c>
      <c r="AM257" t="s">
        <v>63</v>
      </c>
      <c r="AN257" t="s">
        <v>6466</v>
      </c>
      <c r="AO257">
        <v>194163</v>
      </c>
      <c r="AQ257" t="s">
        <v>6467</v>
      </c>
      <c r="AR257" t="s">
        <v>6468</v>
      </c>
      <c r="AS257" t="s">
        <v>6469</v>
      </c>
      <c r="AT257" t="s">
        <v>68</v>
      </c>
      <c r="AV257" t="s">
        <v>6470</v>
      </c>
      <c r="AW257" t="s">
        <v>6471</v>
      </c>
      <c r="AX257" t="s">
        <v>6472</v>
      </c>
      <c r="BA257" s="14" t="s">
        <v>72</v>
      </c>
      <c r="BB257" s="14" t="s">
        <v>73</v>
      </c>
      <c r="BC257" s="14" t="s">
        <v>1723</v>
      </c>
    </row>
    <row r="258" spans="1:55" ht="15" customHeight="1" x14ac:dyDescent="0.4">
      <c r="A258" s="12">
        <v>3885</v>
      </c>
      <c r="B258" s="21" t="s">
        <v>6473</v>
      </c>
      <c r="C258" s="13" t="s">
        <v>6474</v>
      </c>
      <c r="D258" s="25" t="s">
        <v>6474</v>
      </c>
      <c r="E258" s="13"/>
      <c r="F258" s="41"/>
      <c r="G258" s="41"/>
      <c r="H258" s="41"/>
      <c r="I258" s="41"/>
      <c r="J258" s="41"/>
      <c r="K258" s="65" t="str">
        <f>IFERROR(VLOOKUP(D258,Sheet4!A$1:M$56,11,FALSE),"")</f>
        <v/>
      </c>
      <c r="L258" s="65" t="str">
        <f t="shared" si="3"/>
        <v/>
      </c>
      <c r="M258" s="14" t="s">
        <v>1878</v>
      </c>
      <c r="N258" s="15">
        <v>44794</v>
      </c>
      <c r="O258" t="s">
        <v>2719</v>
      </c>
      <c r="P258" t="s">
        <v>51</v>
      </c>
      <c r="Q258" t="s">
        <v>52</v>
      </c>
      <c r="R258" t="s">
        <v>53</v>
      </c>
      <c r="S258" t="s">
        <v>6296</v>
      </c>
      <c r="T258" t="s">
        <v>6297</v>
      </c>
      <c r="U258" t="s">
        <v>56</v>
      </c>
      <c r="V258" s="21" t="s">
        <v>6441</v>
      </c>
      <c r="W258" s="21"/>
      <c r="X258" t="s">
        <v>6475</v>
      </c>
      <c r="Y258" t="s">
        <v>6476</v>
      </c>
      <c r="AC258" t="s">
        <v>1881</v>
      </c>
      <c r="AE258" s="15"/>
      <c r="AG258">
        <v>42.079132000000001</v>
      </c>
      <c r="AH258">
        <v>-73.371131000000005</v>
      </c>
      <c r="AI258" t="s">
        <v>5185</v>
      </c>
      <c r="AL258" t="s">
        <v>1715</v>
      </c>
      <c r="AM258" t="s">
        <v>63</v>
      </c>
      <c r="AN258" t="s">
        <v>6477</v>
      </c>
      <c r="AO258">
        <v>192581</v>
      </c>
      <c r="AQ258" t="s">
        <v>6478</v>
      </c>
      <c r="AR258" t="s">
        <v>6479</v>
      </c>
      <c r="AS258" t="s">
        <v>6480</v>
      </c>
      <c r="AT258" t="s">
        <v>68</v>
      </c>
      <c r="AV258" t="s">
        <v>6481</v>
      </c>
      <c r="AW258" t="s">
        <v>6482</v>
      </c>
      <c r="AX258" t="s">
        <v>6483</v>
      </c>
      <c r="BA258" s="14" t="s">
        <v>72</v>
      </c>
      <c r="BB258" s="14" t="s">
        <v>73</v>
      </c>
      <c r="BC258" s="14" t="s">
        <v>1723</v>
      </c>
    </row>
    <row r="259" spans="1:55" ht="15" customHeight="1" x14ac:dyDescent="0.4">
      <c r="A259" s="12">
        <v>3877</v>
      </c>
      <c r="B259" s="21" t="s">
        <v>6384</v>
      </c>
      <c r="C259" s="13" t="s">
        <v>6385</v>
      </c>
      <c r="D259" s="25" t="s">
        <v>6385</v>
      </c>
      <c r="E259" s="13"/>
      <c r="F259" s="41"/>
      <c r="G259" s="41"/>
      <c r="H259" s="41"/>
      <c r="I259" s="41"/>
      <c r="J259" s="41"/>
      <c r="K259" s="65" t="str">
        <f>IFERROR(VLOOKUP(D259,Sheet4!A$1:M$56,11,FALSE),"")</f>
        <v>Based on ADMIXTURE results of 78,187 SNPs, trace admixed (Q&lt;0.10) with Quercus alba</v>
      </c>
      <c r="L259" s="65" t="str">
        <f t="shared" ref="L259:L322" si="4">_xlfn.CONCAT(J259,K259)</f>
        <v>Based on ADMIXTURE results of 78,187 SNPs, trace admixed (Q&lt;0.10) with Quercus alba</v>
      </c>
      <c r="M259" s="14" t="s">
        <v>49</v>
      </c>
      <c r="N259" s="15">
        <v>44794</v>
      </c>
      <c r="O259" t="s">
        <v>2719</v>
      </c>
      <c r="P259" t="s">
        <v>51</v>
      </c>
      <c r="Q259" t="s">
        <v>52</v>
      </c>
      <c r="R259" t="s">
        <v>53</v>
      </c>
      <c r="S259" t="s">
        <v>6296</v>
      </c>
      <c r="T259" t="s">
        <v>6297</v>
      </c>
      <c r="U259" t="s">
        <v>56</v>
      </c>
      <c r="V259" s="21" t="s">
        <v>6386</v>
      </c>
      <c r="W259" s="21"/>
      <c r="X259" t="s">
        <v>6387</v>
      </c>
      <c r="Y259" t="s">
        <v>6388</v>
      </c>
      <c r="AC259" t="s">
        <v>60</v>
      </c>
      <c r="AE259" s="15"/>
      <c r="AG259">
        <v>42.287503000000001</v>
      </c>
      <c r="AH259">
        <v>-73.315911999999997</v>
      </c>
      <c r="AL259" t="s">
        <v>1715</v>
      </c>
      <c r="AM259" t="s">
        <v>63</v>
      </c>
      <c r="AN259" t="s">
        <v>6389</v>
      </c>
      <c r="AO259">
        <v>194583</v>
      </c>
      <c r="AQ259" t="s">
        <v>6390</v>
      </c>
      <c r="AR259" t="s">
        <v>6391</v>
      </c>
      <c r="AS259" t="s">
        <v>6392</v>
      </c>
      <c r="AT259" t="s">
        <v>68</v>
      </c>
      <c r="AV259" t="s">
        <v>6393</v>
      </c>
      <c r="AW259" t="s">
        <v>6394</v>
      </c>
      <c r="AX259" t="s">
        <v>6395</v>
      </c>
      <c r="BA259" s="14" t="s">
        <v>72</v>
      </c>
      <c r="BB259" s="14" t="s">
        <v>73</v>
      </c>
      <c r="BC259" s="14" t="s">
        <v>74</v>
      </c>
    </row>
    <row r="260" spans="1:55" ht="15" customHeight="1" x14ac:dyDescent="0.4">
      <c r="A260" s="12">
        <v>3878</v>
      </c>
      <c r="B260" s="21" t="s">
        <v>6396</v>
      </c>
      <c r="C260" s="13" t="s">
        <v>6397</v>
      </c>
      <c r="D260" s="25" t="s">
        <v>6397</v>
      </c>
      <c r="E260" s="13"/>
      <c r="F260" s="41"/>
      <c r="G260" s="41"/>
      <c r="H260" s="41"/>
      <c r="I260" s="41"/>
      <c r="J260" s="41"/>
      <c r="K260" s="65" t="str">
        <f>IFERROR(VLOOKUP(D260,Sheet4!A$1:M$56,11,FALSE),"")</f>
        <v/>
      </c>
      <c r="L260" s="65" t="str">
        <f t="shared" si="4"/>
        <v/>
      </c>
      <c r="M260" s="14" t="s">
        <v>49</v>
      </c>
      <c r="N260" s="15">
        <v>44794</v>
      </c>
      <c r="O260" t="s">
        <v>2719</v>
      </c>
      <c r="P260" t="s">
        <v>51</v>
      </c>
      <c r="Q260" t="s">
        <v>52</v>
      </c>
      <c r="R260" t="s">
        <v>53</v>
      </c>
      <c r="S260" t="s">
        <v>6296</v>
      </c>
      <c r="T260" t="s">
        <v>6297</v>
      </c>
      <c r="U260" t="s">
        <v>56</v>
      </c>
      <c r="V260" s="21" t="s">
        <v>6386</v>
      </c>
      <c r="W260" s="21"/>
      <c r="X260" t="s">
        <v>6398</v>
      </c>
      <c r="Y260" t="s">
        <v>6399</v>
      </c>
      <c r="AC260" t="s">
        <v>60</v>
      </c>
      <c r="AE260" s="15"/>
      <c r="AG260">
        <v>42.286952999999997</v>
      </c>
      <c r="AH260">
        <v>-73.315492000000006</v>
      </c>
      <c r="AL260" t="s">
        <v>1715</v>
      </c>
      <c r="AM260" t="s">
        <v>63</v>
      </c>
      <c r="AN260" t="s">
        <v>6400</v>
      </c>
      <c r="AO260">
        <v>194582</v>
      </c>
      <c r="AQ260" t="s">
        <v>6401</v>
      </c>
      <c r="AR260" t="s">
        <v>6402</v>
      </c>
      <c r="AS260" t="s">
        <v>6403</v>
      </c>
      <c r="AT260" t="s">
        <v>68</v>
      </c>
      <c r="AV260" t="s">
        <v>6404</v>
      </c>
      <c r="AW260" t="s">
        <v>6405</v>
      </c>
      <c r="AX260" t="s">
        <v>6406</v>
      </c>
      <c r="BA260" s="14" t="s">
        <v>72</v>
      </c>
      <c r="BB260" s="14" t="s">
        <v>73</v>
      </c>
      <c r="BC260" s="14" t="s">
        <v>74</v>
      </c>
    </row>
    <row r="261" spans="1:55" ht="15" customHeight="1" x14ac:dyDescent="0.4">
      <c r="A261" s="12">
        <v>3879</v>
      </c>
      <c r="B261" s="21" t="s">
        <v>6407</v>
      </c>
      <c r="C261" s="13" t="s">
        <v>6408</v>
      </c>
      <c r="D261" s="25" t="s">
        <v>6408</v>
      </c>
      <c r="E261" s="13"/>
      <c r="F261" s="41"/>
      <c r="G261" s="41"/>
      <c r="H261" s="41"/>
      <c r="I261" s="41"/>
      <c r="J261" s="41"/>
      <c r="K261" s="65" t="str">
        <f>IFERROR(VLOOKUP(D261,Sheet4!A$1:M$56,11,FALSE),"")</f>
        <v/>
      </c>
      <c r="L261" s="65" t="str">
        <f t="shared" si="4"/>
        <v/>
      </c>
      <c r="M261" s="14" t="s">
        <v>49</v>
      </c>
      <c r="N261" s="15">
        <v>44794</v>
      </c>
      <c r="O261" t="s">
        <v>2719</v>
      </c>
      <c r="P261" t="s">
        <v>51</v>
      </c>
      <c r="Q261" t="s">
        <v>52</v>
      </c>
      <c r="R261" t="s">
        <v>53</v>
      </c>
      <c r="S261" t="s">
        <v>6296</v>
      </c>
      <c r="T261" t="s">
        <v>6297</v>
      </c>
      <c r="U261" t="s">
        <v>56</v>
      </c>
      <c r="V261" s="21" t="s">
        <v>6386</v>
      </c>
      <c r="W261" s="21"/>
      <c r="X261" t="s">
        <v>6409</v>
      </c>
      <c r="Y261" t="s">
        <v>6410</v>
      </c>
      <c r="AC261" t="s">
        <v>60</v>
      </c>
      <c r="AE261" s="15"/>
      <c r="AG261">
        <v>42.286675000000002</v>
      </c>
      <c r="AH261">
        <v>-73.317187000000004</v>
      </c>
      <c r="AL261" t="s">
        <v>1715</v>
      </c>
      <c r="AM261" t="s">
        <v>63</v>
      </c>
      <c r="AN261" t="s">
        <v>6411</v>
      </c>
      <c r="AO261">
        <v>194581</v>
      </c>
      <c r="AQ261" t="s">
        <v>6412</v>
      </c>
      <c r="AR261" t="s">
        <v>6413</v>
      </c>
      <c r="AS261" t="s">
        <v>6414</v>
      </c>
      <c r="AT261" t="s">
        <v>68</v>
      </c>
      <c r="AV261" t="s">
        <v>6415</v>
      </c>
      <c r="AW261" t="s">
        <v>6416</v>
      </c>
      <c r="AX261" t="s">
        <v>6417</v>
      </c>
      <c r="BA261" s="14" t="s">
        <v>72</v>
      </c>
      <c r="BB261" s="14" t="s">
        <v>73</v>
      </c>
      <c r="BC261" s="14" t="s">
        <v>74</v>
      </c>
    </row>
    <row r="262" spans="1:55" ht="15" customHeight="1" x14ac:dyDescent="0.4">
      <c r="A262" s="12">
        <v>3880</v>
      </c>
      <c r="B262" s="21" t="s">
        <v>6418</v>
      </c>
      <c r="C262" s="13" t="s">
        <v>6419</v>
      </c>
      <c r="D262" s="25" t="s">
        <v>6419</v>
      </c>
      <c r="E262" s="13"/>
      <c r="F262" s="41"/>
      <c r="G262" s="41"/>
      <c r="H262" s="41"/>
      <c r="I262" s="41"/>
      <c r="J262" s="41"/>
      <c r="K262" s="65" t="str">
        <f>IFERROR(VLOOKUP(D262,Sheet4!A$1:M$56,11,FALSE),"")</f>
        <v>Based on ADMIXTURE results of 78,187 SNPs, trace admixed (Q&lt;0.10) with Quercus bicolor</v>
      </c>
      <c r="L262" s="65" t="str">
        <f t="shared" si="4"/>
        <v>Based on ADMIXTURE results of 78,187 SNPs, trace admixed (Q&lt;0.10) with Quercus bicolor</v>
      </c>
      <c r="M262" s="14" t="s">
        <v>49</v>
      </c>
      <c r="N262" s="15">
        <v>44794</v>
      </c>
      <c r="O262" t="s">
        <v>2719</v>
      </c>
      <c r="P262" t="s">
        <v>51</v>
      </c>
      <c r="Q262" t="s">
        <v>52</v>
      </c>
      <c r="R262" t="s">
        <v>53</v>
      </c>
      <c r="S262" t="s">
        <v>6296</v>
      </c>
      <c r="T262" t="s">
        <v>6297</v>
      </c>
      <c r="U262" t="s">
        <v>56</v>
      </c>
      <c r="V262" s="21" t="s">
        <v>6386</v>
      </c>
      <c r="W262" s="21"/>
      <c r="X262" t="s">
        <v>6387</v>
      </c>
      <c r="Y262" t="s">
        <v>6420</v>
      </c>
      <c r="AC262" t="s">
        <v>60</v>
      </c>
      <c r="AE262" s="15"/>
      <c r="AG262">
        <v>42.289945000000003</v>
      </c>
      <c r="AH262">
        <v>-73.317931000000002</v>
      </c>
      <c r="AL262" t="s">
        <v>1715</v>
      </c>
      <c r="AM262" t="s">
        <v>63</v>
      </c>
      <c r="AN262" t="s">
        <v>6421</v>
      </c>
      <c r="AO262">
        <v>194580</v>
      </c>
      <c r="AQ262" t="s">
        <v>6422</v>
      </c>
      <c r="AR262" t="s">
        <v>6423</v>
      </c>
      <c r="AS262" t="s">
        <v>6424</v>
      </c>
      <c r="AT262" t="s">
        <v>68</v>
      </c>
      <c r="AV262" t="s">
        <v>6425</v>
      </c>
      <c r="AW262" t="s">
        <v>6426</v>
      </c>
      <c r="AX262" t="s">
        <v>6427</v>
      </c>
      <c r="BA262" s="14" t="s">
        <v>72</v>
      </c>
      <c r="BB262" s="14" t="s">
        <v>73</v>
      </c>
      <c r="BC262" s="14" t="s">
        <v>74</v>
      </c>
    </row>
    <row r="263" spans="1:55" ht="15" customHeight="1" x14ac:dyDescent="0.4">
      <c r="A263" s="12">
        <v>3881</v>
      </c>
      <c r="B263" s="21" t="s">
        <v>6428</v>
      </c>
      <c r="C263" s="13" t="s">
        <v>6429</v>
      </c>
      <c r="D263" s="25" t="s">
        <v>6429</v>
      </c>
      <c r="E263" s="13"/>
      <c r="F263" s="41"/>
      <c r="G263" s="41"/>
      <c r="H263" s="41"/>
      <c r="I263" s="41"/>
      <c r="J263" s="41"/>
      <c r="K263" s="65" t="str">
        <f>IFERROR(VLOOKUP(D263,Sheet4!A$1:M$56,11,FALSE),"")</f>
        <v/>
      </c>
      <c r="L263" s="65" t="str">
        <f t="shared" si="4"/>
        <v/>
      </c>
      <c r="M263" s="14" t="s">
        <v>49</v>
      </c>
      <c r="N263" s="15">
        <v>44794</v>
      </c>
      <c r="O263" t="s">
        <v>2719</v>
      </c>
      <c r="P263" t="s">
        <v>51</v>
      </c>
      <c r="Q263" t="s">
        <v>52</v>
      </c>
      <c r="R263" t="s">
        <v>53</v>
      </c>
      <c r="S263" t="s">
        <v>6296</v>
      </c>
      <c r="T263" t="s">
        <v>6297</v>
      </c>
      <c r="U263" t="s">
        <v>56</v>
      </c>
      <c r="V263" s="21" t="s">
        <v>6386</v>
      </c>
      <c r="W263" s="21"/>
      <c r="X263" t="s">
        <v>6430</v>
      </c>
      <c r="Y263" t="s">
        <v>6431</v>
      </c>
      <c r="AC263" t="s">
        <v>60</v>
      </c>
      <c r="AE263" s="15"/>
      <c r="AG263">
        <v>42.290072000000002</v>
      </c>
      <c r="AH263">
        <v>-73.319390999999996</v>
      </c>
      <c r="AL263" t="s">
        <v>1715</v>
      </c>
      <c r="AM263" t="s">
        <v>63</v>
      </c>
      <c r="AN263" t="s">
        <v>6432</v>
      </c>
      <c r="AO263">
        <v>194579</v>
      </c>
      <c r="AQ263" t="s">
        <v>6433</v>
      </c>
      <c r="AR263" t="s">
        <v>6434</v>
      </c>
      <c r="AS263" t="s">
        <v>6435</v>
      </c>
      <c r="AT263" t="s">
        <v>68</v>
      </c>
      <c r="AV263" t="s">
        <v>6436</v>
      </c>
      <c r="AW263" t="s">
        <v>6437</v>
      </c>
      <c r="AX263" t="s">
        <v>6438</v>
      </c>
      <c r="BA263" s="14" t="s">
        <v>72</v>
      </c>
      <c r="BB263" s="14" t="s">
        <v>73</v>
      </c>
      <c r="BC263" s="14" t="s">
        <v>74</v>
      </c>
    </row>
    <row r="264" spans="1:55" ht="15" customHeight="1" x14ac:dyDescent="0.4">
      <c r="A264" s="12">
        <v>3886</v>
      </c>
      <c r="B264" s="21" t="s">
        <v>6484</v>
      </c>
      <c r="C264" s="13" t="s">
        <v>6485</v>
      </c>
      <c r="D264" s="25" t="s">
        <v>6485</v>
      </c>
      <c r="E264" s="13"/>
      <c r="F264" s="41"/>
      <c r="G264" s="41"/>
      <c r="H264" s="41"/>
      <c r="I264" s="41"/>
      <c r="J264" s="41"/>
      <c r="K264" s="65" t="str">
        <f>IFERROR(VLOOKUP(D264,Sheet4!A$1:M$56,11,FALSE),"")</f>
        <v>Based on ADMIXTURE results of 78,187 SNPs, trace admixed (Q&lt;0.10) with Quercus bicolor</v>
      </c>
      <c r="L264" s="65" t="str">
        <f t="shared" si="4"/>
        <v>Based on ADMIXTURE results of 78,187 SNPs, trace admixed (Q&lt;0.10) with Quercus bicolor</v>
      </c>
      <c r="M264" s="14" t="s">
        <v>49</v>
      </c>
      <c r="N264" s="15">
        <v>44795</v>
      </c>
      <c r="O264" t="s">
        <v>2719</v>
      </c>
      <c r="P264" t="s">
        <v>51</v>
      </c>
      <c r="Q264" t="s">
        <v>52</v>
      </c>
      <c r="R264" t="s">
        <v>53</v>
      </c>
      <c r="S264" t="s">
        <v>6296</v>
      </c>
      <c r="T264" t="s">
        <v>6297</v>
      </c>
      <c r="U264" t="s">
        <v>56</v>
      </c>
      <c r="V264" s="21" t="s">
        <v>6486</v>
      </c>
      <c r="W264" s="21"/>
      <c r="X264" t="s">
        <v>6487</v>
      </c>
      <c r="Y264" t="s">
        <v>6488</v>
      </c>
      <c r="AC264" t="s">
        <v>60</v>
      </c>
      <c r="AE264" s="15"/>
      <c r="AG264">
        <v>42.084547999999998</v>
      </c>
      <c r="AH264">
        <v>-73.385045000000005</v>
      </c>
      <c r="AI264" t="s">
        <v>225</v>
      </c>
      <c r="AL264" t="s">
        <v>1715</v>
      </c>
      <c r="AM264" t="s">
        <v>63</v>
      </c>
      <c r="AN264" t="s">
        <v>6489</v>
      </c>
      <c r="AO264">
        <v>194578</v>
      </c>
      <c r="AQ264" t="s">
        <v>6490</v>
      </c>
      <c r="AR264" t="s">
        <v>6491</v>
      </c>
      <c r="AS264" t="s">
        <v>6492</v>
      </c>
      <c r="AT264" t="s">
        <v>68</v>
      </c>
      <c r="AV264" t="s">
        <v>6493</v>
      </c>
      <c r="AW264" t="s">
        <v>6494</v>
      </c>
      <c r="AX264" t="s">
        <v>6495</v>
      </c>
      <c r="BA264" s="14" t="s">
        <v>72</v>
      </c>
      <c r="BB264" s="14" t="s">
        <v>73</v>
      </c>
      <c r="BC264" s="14" t="s">
        <v>74</v>
      </c>
    </row>
    <row r="265" spans="1:55" ht="15" customHeight="1" x14ac:dyDescent="0.4">
      <c r="A265" s="12">
        <v>3887</v>
      </c>
      <c r="B265" s="21" t="s">
        <v>6496</v>
      </c>
      <c r="C265" s="13" t="s">
        <v>6497</v>
      </c>
      <c r="D265" s="25" t="s">
        <v>6497</v>
      </c>
      <c r="E265" s="13"/>
      <c r="F265" s="45" t="s">
        <v>49</v>
      </c>
      <c r="G265" s="45" t="s">
        <v>8115</v>
      </c>
      <c r="H265" s="45"/>
      <c r="I265" s="45"/>
      <c r="J265" s="45"/>
      <c r="K265" s="65" t="str">
        <f>IFERROR(VLOOKUP(D265,Sheet4!A$1:M$56,11,FALSE),"")</f>
        <v>Based on ADMIXTURE results of 78,187 SNPs, admixed with Quercus bicolor</v>
      </c>
      <c r="L265" s="65" t="str">
        <f t="shared" si="4"/>
        <v>Based on ADMIXTURE results of 78,187 SNPs, admixed with Quercus bicolor</v>
      </c>
      <c r="M265" s="14" t="s">
        <v>49</v>
      </c>
      <c r="N265" s="15">
        <v>44795</v>
      </c>
      <c r="O265" t="s">
        <v>2719</v>
      </c>
      <c r="P265" t="s">
        <v>51</v>
      </c>
      <c r="Q265" t="s">
        <v>52</v>
      </c>
      <c r="R265" t="s">
        <v>53</v>
      </c>
      <c r="S265" t="s">
        <v>6296</v>
      </c>
      <c r="T265" t="s">
        <v>6297</v>
      </c>
      <c r="U265" t="s">
        <v>56</v>
      </c>
      <c r="V265" s="21" t="s">
        <v>6486</v>
      </c>
      <c r="W265" s="21"/>
      <c r="X265" t="s">
        <v>6498</v>
      </c>
      <c r="Y265" t="s">
        <v>6499</v>
      </c>
      <c r="AB265" t="s">
        <v>2440</v>
      </c>
      <c r="AC265" t="s">
        <v>60</v>
      </c>
      <c r="AE265" s="15"/>
      <c r="AG265">
        <v>42.084218</v>
      </c>
      <c r="AH265">
        <v>-73.385463999999999</v>
      </c>
      <c r="AI265" t="s">
        <v>2808</v>
      </c>
      <c r="AL265" t="s">
        <v>1715</v>
      </c>
      <c r="AM265" t="s">
        <v>63</v>
      </c>
      <c r="AN265" t="s">
        <v>6500</v>
      </c>
      <c r="AO265">
        <v>192610</v>
      </c>
      <c r="AQ265" t="s">
        <v>6501</v>
      </c>
      <c r="AR265" t="s">
        <v>6502</v>
      </c>
      <c r="AS265" t="s">
        <v>6503</v>
      </c>
      <c r="AT265" t="s">
        <v>68</v>
      </c>
      <c r="AV265" t="s">
        <v>6504</v>
      </c>
      <c r="AW265" t="s">
        <v>6505</v>
      </c>
      <c r="AX265" t="s">
        <v>6506</v>
      </c>
      <c r="BA265" s="14" t="s">
        <v>72</v>
      </c>
      <c r="BB265" s="14" t="s">
        <v>73</v>
      </c>
      <c r="BC265" s="14" t="s">
        <v>74</v>
      </c>
    </row>
    <row r="266" spans="1:55" ht="15" customHeight="1" x14ac:dyDescent="0.4">
      <c r="A266" s="12">
        <v>3888</v>
      </c>
      <c r="B266" s="21" t="s">
        <v>6507</v>
      </c>
      <c r="C266" s="13" t="s">
        <v>6508</v>
      </c>
      <c r="D266" s="25" t="s">
        <v>6508</v>
      </c>
      <c r="E266" s="13"/>
      <c r="F266" s="41" t="s">
        <v>1878</v>
      </c>
      <c r="G266" s="41"/>
      <c r="H266" s="41"/>
      <c r="I266" s="41"/>
      <c r="J266" s="41"/>
      <c r="K266" s="65" t="str">
        <f>IFERROR(VLOOKUP(D266,Sheet4!A$1:M$56,11,FALSE),"")</f>
        <v/>
      </c>
      <c r="L266" s="65" t="str">
        <f t="shared" si="4"/>
        <v/>
      </c>
      <c r="M266" s="14" t="s">
        <v>49</v>
      </c>
      <c r="N266" s="15">
        <v>44795</v>
      </c>
      <c r="O266" t="s">
        <v>2719</v>
      </c>
      <c r="P266" t="s">
        <v>51</v>
      </c>
      <c r="Q266" t="s">
        <v>52</v>
      </c>
      <c r="R266" t="s">
        <v>53</v>
      </c>
      <c r="S266" t="s">
        <v>6296</v>
      </c>
      <c r="T266" t="s">
        <v>6297</v>
      </c>
      <c r="U266" t="s">
        <v>56</v>
      </c>
      <c r="V266" s="21" t="s">
        <v>6486</v>
      </c>
      <c r="W266" s="21"/>
      <c r="X266" t="s">
        <v>6509</v>
      </c>
      <c r="Y266" t="s">
        <v>6510</v>
      </c>
      <c r="AC266" t="s">
        <v>60</v>
      </c>
      <c r="AE266" s="15"/>
      <c r="AG266">
        <v>42.084738000000002</v>
      </c>
      <c r="AH266">
        <v>-73.385193000000001</v>
      </c>
      <c r="AI266" t="s">
        <v>2285</v>
      </c>
      <c r="AL266" t="s">
        <v>1715</v>
      </c>
      <c r="AM266" t="s">
        <v>63</v>
      </c>
      <c r="AN266" t="s">
        <v>6511</v>
      </c>
      <c r="AO266">
        <v>192607</v>
      </c>
      <c r="AQ266" t="s">
        <v>6512</v>
      </c>
      <c r="AR266" t="s">
        <v>6513</v>
      </c>
      <c r="AS266" t="s">
        <v>6514</v>
      </c>
      <c r="AT266" t="s">
        <v>68</v>
      </c>
      <c r="AV266" t="s">
        <v>6515</v>
      </c>
      <c r="AW266" t="s">
        <v>6516</v>
      </c>
      <c r="AX266" t="s">
        <v>6517</v>
      </c>
      <c r="BA266" s="14" t="s">
        <v>72</v>
      </c>
      <c r="BB266" s="14" t="s">
        <v>73</v>
      </c>
      <c r="BC266" s="14" t="s">
        <v>74</v>
      </c>
    </row>
    <row r="267" spans="1:55" ht="15" customHeight="1" x14ac:dyDescent="0.4">
      <c r="A267" s="12">
        <v>3889</v>
      </c>
      <c r="B267" s="21" t="s">
        <v>6518</v>
      </c>
      <c r="C267" s="13" t="s">
        <v>6519</v>
      </c>
      <c r="D267" s="25" t="s">
        <v>6519</v>
      </c>
      <c r="E267" s="13"/>
      <c r="F267" s="41"/>
      <c r="G267" s="41"/>
      <c r="H267" s="41"/>
      <c r="I267" s="41"/>
      <c r="J267" s="41"/>
      <c r="K267" s="65" t="str">
        <f>IFERROR(VLOOKUP(D267,Sheet4!A$1:M$56,11,FALSE),"")</f>
        <v>Based on ADMIXTURE results of 78,187 SNPs, may be trace admixed with Quercus bicolor</v>
      </c>
      <c r="L267" s="65" t="str">
        <f t="shared" si="4"/>
        <v>Based on ADMIXTURE results of 78,187 SNPs, may be trace admixed with Quercus bicolor</v>
      </c>
      <c r="M267" s="14" t="s">
        <v>49</v>
      </c>
      <c r="N267" s="15">
        <v>44795</v>
      </c>
      <c r="O267" t="s">
        <v>2719</v>
      </c>
      <c r="P267" t="s">
        <v>51</v>
      </c>
      <c r="Q267" t="s">
        <v>52</v>
      </c>
      <c r="R267" t="s">
        <v>53</v>
      </c>
      <c r="S267" t="s">
        <v>6296</v>
      </c>
      <c r="T267" t="s">
        <v>6297</v>
      </c>
      <c r="U267" t="s">
        <v>56</v>
      </c>
      <c r="V267" s="21" t="s">
        <v>6486</v>
      </c>
      <c r="W267" s="21"/>
      <c r="X267" t="s">
        <v>6520</v>
      </c>
      <c r="Y267" t="s">
        <v>6521</v>
      </c>
      <c r="AC267" t="s">
        <v>60</v>
      </c>
      <c r="AE267" s="15"/>
      <c r="AG267">
        <v>42.084744999999998</v>
      </c>
      <c r="AH267">
        <v>-73.385532999999995</v>
      </c>
      <c r="AI267" t="s">
        <v>4820</v>
      </c>
      <c r="AL267" t="s">
        <v>1715</v>
      </c>
      <c r="AM267" t="s">
        <v>63</v>
      </c>
      <c r="AN267" t="s">
        <v>6522</v>
      </c>
      <c r="AO267">
        <v>194577</v>
      </c>
      <c r="AQ267" t="s">
        <v>6523</v>
      </c>
      <c r="AR267" t="s">
        <v>6524</v>
      </c>
      <c r="AS267" t="s">
        <v>6525</v>
      </c>
      <c r="AT267" t="s">
        <v>68</v>
      </c>
      <c r="AV267" t="s">
        <v>6526</v>
      </c>
      <c r="AW267" t="s">
        <v>6527</v>
      </c>
      <c r="AX267" t="s">
        <v>6528</v>
      </c>
      <c r="BA267" s="14" t="s">
        <v>72</v>
      </c>
      <c r="BB267" s="14" t="s">
        <v>73</v>
      </c>
      <c r="BC267" s="14" t="s">
        <v>74</v>
      </c>
    </row>
    <row r="268" spans="1:55" ht="15" customHeight="1" x14ac:dyDescent="0.4">
      <c r="A268" s="12">
        <v>3890</v>
      </c>
      <c r="B268" s="21" t="s">
        <v>6529</v>
      </c>
      <c r="C268" s="13" t="s">
        <v>6530</v>
      </c>
      <c r="D268" s="25" t="s">
        <v>6530</v>
      </c>
      <c r="E268" s="13"/>
      <c r="F268" s="43" t="s">
        <v>49</v>
      </c>
      <c r="G268" s="43" t="s">
        <v>8101</v>
      </c>
      <c r="H268" s="43"/>
      <c r="I268" s="43"/>
      <c r="J268" s="43"/>
      <c r="K268" s="65" t="str">
        <f>IFERROR(VLOOKUP(D268,Sheet4!A$1:M$56,11,FALSE),"")</f>
        <v>Based on ADMIXTURE results of 78,187 SNPs, admixed with Quercus bicolor</v>
      </c>
      <c r="L268" s="65" t="str">
        <f t="shared" si="4"/>
        <v>Based on ADMIXTURE results of 78,187 SNPs, admixed with Quercus bicolor</v>
      </c>
      <c r="M268" s="14" t="s">
        <v>49</v>
      </c>
      <c r="N268" s="15">
        <v>44795</v>
      </c>
      <c r="O268" t="s">
        <v>2719</v>
      </c>
      <c r="P268" t="s">
        <v>51</v>
      </c>
      <c r="Q268" t="s">
        <v>52</v>
      </c>
      <c r="R268" t="s">
        <v>53</v>
      </c>
      <c r="S268" t="s">
        <v>6296</v>
      </c>
      <c r="T268" t="s">
        <v>6297</v>
      </c>
      <c r="U268" t="s">
        <v>56</v>
      </c>
      <c r="V268" s="21" t="s">
        <v>6486</v>
      </c>
      <c r="W268" s="21"/>
      <c r="X268" t="s">
        <v>6531</v>
      </c>
      <c r="Y268" t="s">
        <v>6532</v>
      </c>
      <c r="AC268" t="s">
        <v>60</v>
      </c>
      <c r="AE268" s="15"/>
      <c r="AG268">
        <v>42.084995999999997</v>
      </c>
      <c r="AH268">
        <v>-73.385541000000003</v>
      </c>
      <c r="AI268" t="s">
        <v>6533</v>
      </c>
      <c r="AL268" t="s">
        <v>1715</v>
      </c>
      <c r="AM268" t="s">
        <v>63</v>
      </c>
      <c r="AN268" t="s">
        <v>6534</v>
      </c>
      <c r="AO268">
        <v>193364</v>
      </c>
      <c r="AQ268" t="s">
        <v>6535</v>
      </c>
      <c r="AR268" t="s">
        <v>6536</v>
      </c>
      <c r="AS268" t="s">
        <v>6537</v>
      </c>
      <c r="AT268" t="s">
        <v>68</v>
      </c>
      <c r="AV268" t="s">
        <v>6538</v>
      </c>
      <c r="AW268" t="s">
        <v>6539</v>
      </c>
      <c r="AX268" t="s">
        <v>6540</v>
      </c>
      <c r="BA268" s="14" t="s">
        <v>72</v>
      </c>
      <c r="BB268" s="14" t="s">
        <v>73</v>
      </c>
      <c r="BC268" s="14" t="s">
        <v>74</v>
      </c>
    </row>
    <row r="269" spans="1:55" ht="15" customHeight="1" x14ac:dyDescent="0.4">
      <c r="A269" s="12">
        <v>3891</v>
      </c>
      <c r="B269" s="21" t="s">
        <v>6541</v>
      </c>
      <c r="C269" s="13" t="s">
        <v>6542</v>
      </c>
      <c r="D269" s="25" t="s">
        <v>6542</v>
      </c>
      <c r="E269" s="13"/>
      <c r="F269" s="41"/>
      <c r="G269" s="41"/>
      <c r="H269" s="41"/>
      <c r="I269" s="41"/>
      <c r="J269" s="41"/>
      <c r="K269" s="65" t="str">
        <f>IFERROR(VLOOKUP(D269,Sheet4!A$1:M$56,11,FALSE),"")</f>
        <v/>
      </c>
      <c r="L269" s="65" t="str">
        <f t="shared" si="4"/>
        <v/>
      </c>
      <c r="M269" s="14" t="s">
        <v>1878</v>
      </c>
      <c r="N269" s="15">
        <v>44795</v>
      </c>
      <c r="O269" t="s">
        <v>2719</v>
      </c>
      <c r="P269" t="s">
        <v>51</v>
      </c>
      <c r="Q269" t="s">
        <v>52</v>
      </c>
      <c r="R269" t="s">
        <v>53</v>
      </c>
      <c r="S269" t="s">
        <v>6296</v>
      </c>
      <c r="T269" t="s">
        <v>6297</v>
      </c>
      <c r="U269" t="s">
        <v>56</v>
      </c>
      <c r="V269" s="21" t="s">
        <v>6486</v>
      </c>
      <c r="W269" s="21"/>
      <c r="X269" t="s">
        <v>6543</v>
      </c>
      <c r="Y269" t="s">
        <v>6544</v>
      </c>
      <c r="AC269" t="s">
        <v>1881</v>
      </c>
      <c r="AE269" s="15"/>
      <c r="AG269">
        <v>42.082520000000002</v>
      </c>
      <c r="AH269">
        <v>-73.384530999999996</v>
      </c>
      <c r="AI269" t="s">
        <v>2337</v>
      </c>
      <c r="AL269" t="s">
        <v>1715</v>
      </c>
      <c r="AM269" t="s">
        <v>63</v>
      </c>
      <c r="AN269" t="s">
        <v>6545</v>
      </c>
      <c r="AO269">
        <v>194164</v>
      </c>
      <c r="AQ269" t="s">
        <v>6546</v>
      </c>
      <c r="AR269" t="s">
        <v>6547</v>
      </c>
      <c r="AS269" t="s">
        <v>6548</v>
      </c>
      <c r="AT269" t="s">
        <v>68</v>
      </c>
      <c r="AV269" t="s">
        <v>6549</v>
      </c>
      <c r="AW269" t="s">
        <v>6550</v>
      </c>
      <c r="AX269" t="s">
        <v>6551</v>
      </c>
      <c r="BA269" s="14" t="s">
        <v>72</v>
      </c>
      <c r="BB269" s="14" t="s">
        <v>73</v>
      </c>
      <c r="BC269" s="14" t="s">
        <v>1723</v>
      </c>
    </row>
    <row r="270" spans="1:55" ht="15" customHeight="1" x14ac:dyDescent="0.4">
      <c r="A270" s="12">
        <v>1950</v>
      </c>
      <c r="B270" t="s">
        <v>244</v>
      </c>
      <c r="D270" t="s">
        <v>245</v>
      </c>
      <c r="E270" s="13"/>
      <c r="F270" s="41"/>
      <c r="G270" s="41"/>
      <c r="H270" s="41"/>
      <c r="I270" s="41"/>
      <c r="J270" s="41"/>
      <c r="K270" s="65" t="str">
        <f>IFERROR(VLOOKUP(D270,Sheet4!A$1:M$56,11,FALSE),"")</f>
        <v/>
      </c>
      <c r="L270" s="65" t="str">
        <f t="shared" si="4"/>
        <v/>
      </c>
      <c r="M270" s="14" t="s">
        <v>49</v>
      </c>
      <c r="N270" s="15">
        <v>42922</v>
      </c>
      <c r="O270" t="s">
        <v>246</v>
      </c>
      <c r="P270" t="s">
        <v>51</v>
      </c>
      <c r="Q270" t="s">
        <v>52</v>
      </c>
      <c r="R270" t="s">
        <v>247</v>
      </c>
      <c r="S270" t="s">
        <v>248</v>
      </c>
      <c r="V270" s="16" t="s">
        <v>249</v>
      </c>
      <c r="W270" s="21"/>
      <c r="X270" t="s">
        <v>250</v>
      </c>
      <c r="AC270" t="s">
        <v>60</v>
      </c>
      <c r="AE270" s="15"/>
      <c r="AG270" s="17">
        <v>49.713590000000003</v>
      </c>
      <c r="AH270" s="17">
        <v>-95.243489999999994</v>
      </c>
      <c r="AI270" t="s">
        <v>251</v>
      </c>
      <c r="AL270" t="s">
        <v>62</v>
      </c>
      <c r="AM270" t="s">
        <v>63</v>
      </c>
      <c r="AN270" t="s">
        <v>252</v>
      </c>
      <c r="AO270">
        <v>184786</v>
      </c>
      <c r="AQ270" t="s">
        <v>253</v>
      </c>
      <c r="AR270" t="s">
        <v>254</v>
      </c>
      <c r="AS270" t="s">
        <v>255</v>
      </c>
      <c r="AT270" t="s">
        <v>68</v>
      </c>
      <c r="AV270" t="s">
        <v>256</v>
      </c>
      <c r="AW270" t="s">
        <v>257</v>
      </c>
      <c r="AX270" t="s">
        <v>258</v>
      </c>
      <c r="BA270" s="14" t="s">
        <v>72</v>
      </c>
      <c r="BB270" s="14" t="s">
        <v>73</v>
      </c>
      <c r="BC270" s="14" t="s">
        <v>74</v>
      </c>
    </row>
    <row r="271" spans="1:55" ht="15" customHeight="1" x14ac:dyDescent="0.4">
      <c r="A271" s="12">
        <v>1951</v>
      </c>
      <c r="B271" t="s">
        <v>259</v>
      </c>
      <c r="D271" t="s">
        <v>260</v>
      </c>
      <c r="E271" s="13"/>
      <c r="F271" s="41"/>
      <c r="G271" s="41"/>
      <c r="H271" s="41"/>
      <c r="I271" s="41"/>
      <c r="J271" s="41"/>
      <c r="K271" s="65" t="str">
        <f>IFERROR(VLOOKUP(D271,Sheet4!A$1:M$56,11,FALSE),"")</f>
        <v/>
      </c>
      <c r="L271" s="65" t="str">
        <f t="shared" si="4"/>
        <v/>
      </c>
      <c r="M271" s="14" t="s">
        <v>49</v>
      </c>
      <c r="N271" s="15">
        <v>42922</v>
      </c>
      <c r="O271" t="s">
        <v>246</v>
      </c>
      <c r="P271" t="s">
        <v>51</v>
      </c>
      <c r="Q271" t="s">
        <v>52</v>
      </c>
      <c r="R271" t="s">
        <v>247</v>
      </c>
      <c r="S271" t="s">
        <v>248</v>
      </c>
      <c r="V271" s="16" t="s">
        <v>249</v>
      </c>
      <c r="W271" s="21"/>
      <c r="X271" t="s">
        <v>250</v>
      </c>
      <c r="AC271" t="s">
        <v>60</v>
      </c>
      <c r="AE271" s="15"/>
      <c r="AG271">
        <v>49.713760000000001</v>
      </c>
      <c r="AH271">
        <v>-95.243849999999995</v>
      </c>
      <c r="AI271" t="s">
        <v>261</v>
      </c>
      <c r="AL271" t="s">
        <v>62</v>
      </c>
      <c r="AM271" t="s">
        <v>63</v>
      </c>
      <c r="AN271" t="s">
        <v>262</v>
      </c>
      <c r="AO271">
        <v>184787</v>
      </c>
      <c r="AQ271" t="s">
        <v>263</v>
      </c>
      <c r="AR271" t="s">
        <v>264</v>
      </c>
      <c r="AS271" t="s">
        <v>265</v>
      </c>
      <c r="AT271" t="s">
        <v>68</v>
      </c>
      <c r="AV271" t="s">
        <v>266</v>
      </c>
      <c r="AW271" t="s">
        <v>267</v>
      </c>
      <c r="AX271" t="s">
        <v>268</v>
      </c>
      <c r="AY271" s="31" t="s">
        <v>269</v>
      </c>
      <c r="AZ271" s="31" t="s">
        <v>85</v>
      </c>
      <c r="BA271" s="14" t="s">
        <v>72</v>
      </c>
      <c r="BB271" s="14" t="s">
        <v>73</v>
      </c>
      <c r="BC271" s="14" t="s">
        <v>74</v>
      </c>
    </row>
    <row r="272" spans="1:55" ht="15" customHeight="1" x14ac:dyDescent="0.4">
      <c r="A272" s="12">
        <v>1952</v>
      </c>
      <c r="B272" t="s">
        <v>270</v>
      </c>
      <c r="D272" t="s">
        <v>271</v>
      </c>
      <c r="E272" s="13"/>
      <c r="F272" s="41"/>
      <c r="G272" s="41"/>
      <c r="H272" s="41"/>
      <c r="I272" s="41"/>
      <c r="J272" s="41"/>
      <c r="K272" s="65" t="str">
        <f>IFERROR(VLOOKUP(D272,Sheet4!A$1:M$56,11,FALSE),"")</f>
        <v/>
      </c>
      <c r="L272" s="65" t="str">
        <f t="shared" si="4"/>
        <v/>
      </c>
      <c r="M272" s="14" t="s">
        <v>49</v>
      </c>
      <c r="N272" s="15">
        <v>42922</v>
      </c>
      <c r="O272" t="s">
        <v>246</v>
      </c>
      <c r="P272" t="s">
        <v>51</v>
      </c>
      <c r="Q272" t="s">
        <v>52</v>
      </c>
      <c r="R272" t="s">
        <v>247</v>
      </c>
      <c r="S272" t="s">
        <v>248</v>
      </c>
      <c r="V272" s="16" t="s">
        <v>249</v>
      </c>
      <c r="W272" s="21"/>
      <c r="X272" t="s">
        <v>272</v>
      </c>
      <c r="AC272" t="s">
        <v>60</v>
      </c>
      <c r="AE272" s="15"/>
      <c r="AG272" s="17">
        <v>49.712780000000002</v>
      </c>
      <c r="AH272" s="17">
        <v>-95.244320000000002</v>
      </c>
      <c r="AI272" t="s">
        <v>273</v>
      </c>
      <c r="AL272" t="s">
        <v>62</v>
      </c>
      <c r="AM272" t="s">
        <v>63</v>
      </c>
      <c r="AN272" t="s">
        <v>274</v>
      </c>
      <c r="AO272">
        <v>184788</v>
      </c>
      <c r="AQ272" t="s">
        <v>275</v>
      </c>
      <c r="AR272" t="s">
        <v>276</v>
      </c>
      <c r="AS272" t="s">
        <v>277</v>
      </c>
      <c r="AT272" t="s">
        <v>68</v>
      </c>
      <c r="AV272" t="s">
        <v>278</v>
      </c>
      <c r="AW272" t="s">
        <v>279</v>
      </c>
      <c r="AX272" t="s">
        <v>280</v>
      </c>
      <c r="BA272" s="14" t="s">
        <v>72</v>
      </c>
      <c r="BB272" s="14" t="s">
        <v>73</v>
      </c>
      <c r="BC272" s="14" t="s">
        <v>74</v>
      </c>
    </row>
    <row r="273" spans="1:55" ht="15" customHeight="1" x14ac:dyDescent="0.4">
      <c r="A273" s="12">
        <v>1953</v>
      </c>
      <c r="B273" t="s">
        <v>281</v>
      </c>
      <c r="D273" t="s">
        <v>282</v>
      </c>
      <c r="E273" s="13"/>
      <c r="F273" s="41"/>
      <c r="G273" s="41"/>
      <c r="H273" s="41"/>
      <c r="I273" s="41"/>
      <c r="J273" s="41"/>
      <c r="K273" s="65" t="str">
        <f>IFERROR(VLOOKUP(D273,Sheet4!A$1:M$56,11,FALSE),"")</f>
        <v/>
      </c>
      <c r="L273" s="65" t="str">
        <f t="shared" si="4"/>
        <v/>
      </c>
      <c r="M273" s="14" t="s">
        <v>49</v>
      </c>
      <c r="N273" s="15">
        <v>42922</v>
      </c>
      <c r="O273" t="s">
        <v>246</v>
      </c>
      <c r="P273" t="s">
        <v>51</v>
      </c>
      <c r="Q273" t="s">
        <v>52</v>
      </c>
      <c r="R273" t="s">
        <v>247</v>
      </c>
      <c r="S273" t="s">
        <v>248</v>
      </c>
      <c r="V273" t="s">
        <v>249</v>
      </c>
      <c r="W273" s="16" t="s">
        <v>283</v>
      </c>
      <c r="X273" t="s">
        <v>250</v>
      </c>
      <c r="AC273" t="s">
        <v>60</v>
      </c>
      <c r="AE273" s="15"/>
      <c r="AG273" s="17">
        <v>49.712780000000002</v>
      </c>
      <c r="AH273" s="17">
        <v>-95.244500000000002</v>
      </c>
      <c r="AI273" t="s">
        <v>284</v>
      </c>
      <c r="AL273" t="s">
        <v>62</v>
      </c>
      <c r="AM273" t="s">
        <v>63</v>
      </c>
      <c r="AN273" t="s">
        <v>285</v>
      </c>
      <c r="AO273">
        <v>184789</v>
      </c>
      <c r="AQ273" t="s">
        <v>286</v>
      </c>
      <c r="AR273" t="s">
        <v>287</v>
      </c>
      <c r="AS273" t="s">
        <v>288</v>
      </c>
      <c r="AT273" t="s">
        <v>68</v>
      </c>
      <c r="AV273" t="s">
        <v>289</v>
      </c>
      <c r="AW273" t="s">
        <v>290</v>
      </c>
      <c r="AX273" t="s">
        <v>291</v>
      </c>
      <c r="BA273" s="14" t="s">
        <v>72</v>
      </c>
      <c r="BB273" s="14" t="s">
        <v>73</v>
      </c>
      <c r="BC273" s="14" t="s">
        <v>74</v>
      </c>
    </row>
    <row r="274" spans="1:55" ht="15" customHeight="1" x14ac:dyDescent="0.4">
      <c r="A274" s="12">
        <v>1954</v>
      </c>
      <c r="B274" t="s">
        <v>292</v>
      </c>
      <c r="D274" t="s">
        <v>293</v>
      </c>
      <c r="E274" s="13"/>
      <c r="F274" s="41"/>
      <c r="G274" s="41"/>
      <c r="H274" s="41"/>
      <c r="I274" s="41"/>
      <c r="J274" s="41"/>
      <c r="K274" s="65" t="str">
        <f>IFERROR(VLOOKUP(D274,Sheet4!A$1:M$56,11,FALSE),"")</f>
        <v/>
      </c>
      <c r="L274" s="65" t="str">
        <f t="shared" si="4"/>
        <v/>
      </c>
      <c r="M274" s="14" t="s">
        <v>49</v>
      </c>
      <c r="N274" s="15">
        <v>42922</v>
      </c>
      <c r="O274" t="s">
        <v>246</v>
      </c>
      <c r="P274" t="s">
        <v>51</v>
      </c>
      <c r="Q274" t="s">
        <v>52</v>
      </c>
      <c r="R274" t="s">
        <v>247</v>
      </c>
      <c r="S274" t="s">
        <v>248</v>
      </c>
      <c r="V274" t="s">
        <v>249</v>
      </c>
      <c r="W274" s="16" t="s">
        <v>294</v>
      </c>
      <c r="X274" t="s">
        <v>250</v>
      </c>
      <c r="AC274" t="s">
        <v>60</v>
      </c>
      <c r="AE274" s="15"/>
      <c r="AG274" s="17">
        <v>49.712159999999997</v>
      </c>
      <c r="AH274" s="17">
        <v>-95.244630000000001</v>
      </c>
      <c r="AI274" t="s">
        <v>295</v>
      </c>
      <c r="AL274" t="s">
        <v>62</v>
      </c>
      <c r="AM274" t="s">
        <v>63</v>
      </c>
      <c r="AN274" t="s">
        <v>296</v>
      </c>
      <c r="AO274">
        <v>184790</v>
      </c>
      <c r="AQ274" t="s">
        <v>297</v>
      </c>
      <c r="AR274" t="s">
        <v>298</v>
      </c>
      <c r="AS274" t="s">
        <v>299</v>
      </c>
      <c r="AT274" t="s">
        <v>68</v>
      </c>
      <c r="AV274" t="s">
        <v>300</v>
      </c>
      <c r="AW274" t="s">
        <v>301</v>
      </c>
      <c r="AX274" t="s">
        <v>302</v>
      </c>
      <c r="BA274" s="14" t="s">
        <v>72</v>
      </c>
      <c r="BB274" s="14" t="s">
        <v>73</v>
      </c>
      <c r="BC274" s="14" t="s">
        <v>74</v>
      </c>
    </row>
    <row r="275" spans="1:55" ht="15" customHeight="1" x14ac:dyDescent="0.4">
      <c r="A275" s="12">
        <v>1955</v>
      </c>
      <c r="B275" t="s">
        <v>303</v>
      </c>
      <c r="D275" t="s">
        <v>304</v>
      </c>
      <c r="E275" s="13"/>
      <c r="F275" s="41"/>
      <c r="G275" s="41"/>
      <c r="H275" s="41"/>
      <c r="I275" s="41"/>
      <c r="J275" s="41"/>
      <c r="K275" s="65" t="str">
        <f>IFERROR(VLOOKUP(D275,Sheet4!A$1:M$56,11,FALSE),"")</f>
        <v/>
      </c>
      <c r="L275" s="65" t="str">
        <f t="shared" si="4"/>
        <v/>
      </c>
      <c r="M275" s="14" t="s">
        <v>49</v>
      </c>
      <c r="N275" s="15">
        <v>42922</v>
      </c>
      <c r="O275" t="s">
        <v>246</v>
      </c>
      <c r="P275" t="s">
        <v>51</v>
      </c>
      <c r="Q275" t="s">
        <v>52</v>
      </c>
      <c r="R275" t="s">
        <v>247</v>
      </c>
      <c r="S275" t="s">
        <v>248</v>
      </c>
      <c r="V275" t="s">
        <v>249</v>
      </c>
      <c r="W275" s="16" t="s">
        <v>294</v>
      </c>
      <c r="X275" t="s">
        <v>250</v>
      </c>
      <c r="AC275" t="s">
        <v>78</v>
      </c>
      <c r="AD275" t="s">
        <v>79</v>
      </c>
      <c r="AE275" s="15">
        <v>45597</v>
      </c>
      <c r="AF275" t="s">
        <v>48</v>
      </c>
      <c r="AG275" s="17">
        <v>49.712040000000002</v>
      </c>
      <c r="AH275" s="17">
        <v>-95.244799999999998</v>
      </c>
      <c r="AI275" t="s">
        <v>305</v>
      </c>
      <c r="AL275" t="s">
        <v>62</v>
      </c>
      <c r="AM275" t="s">
        <v>63</v>
      </c>
      <c r="AN275" t="s">
        <v>306</v>
      </c>
      <c r="AO275">
        <v>184791</v>
      </c>
      <c r="AQ275" t="s">
        <v>307</v>
      </c>
      <c r="AR275" t="s">
        <v>308</v>
      </c>
      <c r="AS275" t="s">
        <v>309</v>
      </c>
      <c r="AT275" t="s">
        <v>68</v>
      </c>
      <c r="AV275" t="s">
        <v>310</v>
      </c>
      <c r="AW275" t="s">
        <v>311</v>
      </c>
      <c r="AX275" t="s">
        <v>312</v>
      </c>
      <c r="AY275" s="31" t="s">
        <v>313</v>
      </c>
      <c r="AZ275" s="31" t="s">
        <v>85</v>
      </c>
      <c r="BA275" s="14" t="s">
        <v>72</v>
      </c>
      <c r="BB275" s="14" t="s">
        <v>73</v>
      </c>
      <c r="BC275" s="14" t="s">
        <v>74</v>
      </c>
    </row>
    <row r="276" spans="1:55" ht="15" customHeight="1" x14ac:dyDescent="0.4">
      <c r="A276" s="12">
        <v>1956</v>
      </c>
      <c r="B276" t="s">
        <v>314</v>
      </c>
      <c r="D276" t="s">
        <v>315</v>
      </c>
      <c r="E276" s="13"/>
      <c r="F276" s="41"/>
      <c r="G276" s="41"/>
      <c r="H276" s="41"/>
      <c r="I276" s="41"/>
      <c r="J276" s="41"/>
      <c r="K276" s="65" t="str">
        <f>IFERROR(VLOOKUP(D276,Sheet4!A$1:M$56,11,FALSE),"")</f>
        <v/>
      </c>
      <c r="L276" s="65" t="str">
        <f t="shared" si="4"/>
        <v/>
      </c>
      <c r="M276" s="14" t="s">
        <v>49</v>
      </c>
      <c r="N276" s="15">
        <v>42922</v>
      </c>
      <c r="O276" t="s">
        <v>246</v>
      </c>
      <c r="P276" t="s">
        <v>51</v>
      </c>
      <c r="Q276" t="s">
        <v>52</v>
      </c>
      <c r="R276" t="s">
        <v>247</v>
      </c>
      <c r="S276" t="s">
        <v>248</v>
      </c>
      <c r="V276" t="s">
        <v>249</v>
      </c>
      <c r="W276" s="16" t="s">
        <v>294</v>
      </c>
      <c r="X276" t="s">
        <v>250</v>
      </c>
      <c r="AC276" t="s">
        <v>60</v>
      </c>
      <c r="AE276" s="15"/>
      <c r="AG276" s="17">
        <v>49.711950000000002</v>
      </c>
      <c r="AH276" s="17">
        <v>-95.244919999999993</v>
      </c>
      <c r="AI276" t="s">
        <v>316</v>
      </c>
      <c r="AL276" t="s">
        <v>62</v>
      </c>
      <c r="AM276" t="s">
        <v>63</v>
      </c>
      <c r="AN276" t="s">
        <v>317</v>
      </c>
      <c r="AO276">
        <v>184792</v>
      </c>
      <c r="AQ276" t="s">
        <v>318</v>
      </c>
      <c r="AR276" t="s">
        <v>319</v>
      </c>
      <c r="AS276" t="s">
        <v>320</v>
      </c>
      <c r="AT276" t="s">
        <v>68</v>
      </c>
      <c r="AV276" t="s">
        <v>321</v>
      </c>
      <c r="AW276" t="s">
        <v>322</v>
      </c>
      <c r="AX276" t="s">
        <v>323</v>
      </c>
      <c r="BA276" s="14" t="s">
        <v>72</v>
      </c>
      <c r="BB276" s="14" t="s">
        <v>73</v>
      </c>
      <c r="BC276" s="14" t="s">
        <v>74</v>
      </c>
    </row>
    <row r="277" spans="1:55" ht="15" customHeight="1" x14ac:dyDescent="0.4">
      <c r="A277" s="12">
        <v>1957</v>
      </c>
      <c r="B277" t="s">
        <v>324</v>
      </c>
      <c r="D277" t="s">
        <v>325</v>
      </c>
      <c r="E277" s="13"/>
      <c r="F277" s="41"/>
      <c r="G277" s="41"/>
      <c r="H277" s="41"/>
      <c r="I277" s="41"/>
      <c r="J277" s="41"/>
      <c r="K277" s="65" t="str">
        <f>IFERROR(VLOOKUP(D277,Sheet4!A$1:M$56,11,FALSE),"")</f>
        <v/>
      </c>
      <c r="L277" s="65" t="str">
        <f t="shared" si="4"/>
        <v/>
      </c>
      <c r="M277" s="14" t="s">
        <v>49</v>
      </c>
      <c r="N277" s="15">
        <v>42922</v>
      </c>
      <c r="O277" t="s">
        <v>246</v>
      </c>
      <c r="P277" t="s">
        <v>51</v>
      </c>
      <c r="Q277" t="s">
        <v>52</v>
      </c>
      <c r="R277" t="s">
        <v>247</v>
      </c>
      <c r="S277" t="s">
        <v>248</v>
      </c>
      <c r="V277" t="s">
        <v>249</v>
      </c>
      <c r="W277" s="16" t="s">
        <v>294</v>
      </c>
      <c r="X277" t="s">
        <v>250</v>
      </c>
      <c r="AC277" t="s">
        <v>60</v>
      </c>
      <c r="AE277" s="15"/>
      <c r="AG277" s="17">
        <v>49.712090000000003</v>
      </c>
      <c r="AH277" s="17">
        <v>-95.244960000000006</v>
      </c>
      <c r="AI277" t="s">
        <v>326</v>
      </c>
      <c r="AL277" t="s">
        <v>62</v>
      </c>
      <c r="AM277" t="s">
        <v>63</v>
      </c>
      <c r="AN277" t="s">
        <v>327</v>
      </c>
      <c r="AO277">
        <v>184793</v>
      </c>
      <c r="AQ277" t="s">
        <v>328</v>
      </c>
      <c r="AR277" t="s">
        <v>329</v>
      </c>
      <c r="AS277" t="s">
        <v>330</v>
      </c>
      <c r="AT277" t="s">
        <v>68</v>
      </c>
      <c r="AV277" t="s">
        <v>331</v>
      </c>
      <c r="AW277" t="s">
        <v>332</v>
      </c>
      <c r="AX277" t="s">
        <v>333</v>
      </c>
      <c r="BA277" s="14" t="s">
        <v>72</v>
      </c>
      <c r="BB277" s="14" t="s">
        <v>73</v>
      </c>
      <c r="BC277" s="14" t="s">
        <v>74</v>
      </c>
    </row>
    <row r="278" spans="1:55" ht="15" customHeight="1" x14ac:dyDescent="0.4">
      <c r="A278" s="12">
        <v>1958</v>
      </c>
      <c r="B278" t="s">
        <v>334</v>
      </c>
      <c r="D278" t="s">
        <v>335</v>
      </c>
      <c r="E278" s="13"/>
      <c r="F278" s="41"/>
      <c r="G278" s="41"/>
      <c r="H278" s="41"/>
      <c r="I278" s="41"/>
      <c r="J278" s="41"/>
      <c r="K278" s="65" t="str">
        <f>IFERROR(VLOOKUP(D278,Sheet4!A$1:M$56,11,FALSE),"")</f>
        <v/>
      </c>
      <c r="L278" s="65" t="str">
        <f t="shared" si="4"/>
        <v/>
      </c>
      <c r="M278" s="14" t="s">
        <v>49</v>
      </c>
      <c r="N278" s="15">
        <v>42922</v>
      </c>
      <c r="O278" t="s">
        <v>246</v>
      </c>
      <c r="P278" t="s">
        <v>51</v>
      </c>
      <c r="Q278" t="s">
        <v>52</v>
      </c>
      <c r="R278" t="s">
        <v>247</v>
      </c>
      <c r="S278" t="s">
        <v>248</v>
      </c>
      <c r="V278" t="s">
        <v>249</v>
      </c>
      <c r="W278" s="16"/>
      <c r="X278" t="s">
        <v>250</v>
      </c>
      <c r="AC278" t="s">
        <v>60</v>
      </c>
      <c r="AE278" s="15"/>
      <c r="AG278" s="17">
        <v>49.711869999999998</v>
      </c>
      <c r="AH278" s="17">
        <v>-95.244720000000001</v>
      </c>
      <c r="AI278" t="s">
        <v>336</v>
      </c>
      <c r="AL278" t="s">
        <v>62</v>
      </c>
      <c r="AM278" t="s">
        <v>63</v>
      </c>
      <c r="AN278" t="s">
        <v>337</v>
      </c>
      <c r="AO278">
        <v>184794</v>
      </c>
      <c r="AQ278" t="s">
        <v>338</v>
      </c>
      <c r="AR278" t="s">
        <v>339</v>
      </c>
      <c r="AS278" t="s">
        <v>340</v>
      </c>
      <c r="AT278" t="s">
        <v>68</v>
      </c>
      <c r="AV278" t="s">
        <v>341</v>
      </c>
      <c r="AW278" t="s">
        <v>342</v>
      </c>
      <c r="AX278" t="s">
        <v>343</v>
      </c>
      <c r="BA278" s="14" t="s">
        <v>72</v>
      </c>
      <c r="BB278" s="14" t="s">
        <v>73</v>
      </c>
      <c r="BC278" s="14" t="s">
        <v>74</v>
      </c>
    </row>
    <row r="279" spans="1:55" ht="15" customHeight="1" x14ac:dyDescent="0.4">
      <c r="A279" s="12">
        <v>1959</v>
      </c>
      <c r="B279" t="s">
        <v>344</v>
      </c>
      <c r="D279" t="s">
        <v>345</v>
      </c>
      <c r="E279" s="13"/>
      <c r="F279" s="41"/>
      <c r="G279" s="41"/>
      <c r="H279" s="41"/>
      <c r="I279" s="41"/>
      <c r="J279" s="41"/>
      <c r="K279" s="65" t="str">
        <f>IFERROR(VLOOKUP(D279,Sheet4!A$1:M$56,11,FALSE),"")</f>
        <v/>
      </c>
      <c r="L279" s="65" t="str">
        <f t="shared" si="4"/>
        <v/>
      </c>
      <c r="M279" s="14" t="s">
        <v>49</v>
      </c>
      <c r="N279" s="15">
        <v>42922</v>
      </c>
      <c r="O279" t="s">
        <v>246</v>
      </c>
      <c r="P279" t="s">
        <v>51</v>
      </c>
      <c r="Q279" t="s">
        <v>52</v>
      </c>
      <c r="R279" t="s">
        <v>247</v>
      </c>
      <c r="S279" t="s">
        <v>248</v>
      </c>
      <c r="V279" t="s">
        <v>249</v>
      </c>
      <c r="W279" s="16"/>
      <c r="X279" t="s">
        <v>250</v>
      </c>
      <c r="AC279" t="s">
        <v>78</v>
      </c>
      <c r="AD279" t="s">
        <v>79</v>
      </c>
      <c r="AE279" s="15">
        <v>45597</v>
      </c>
      <c r="AF279" t="s">
        <v>48</v>
      </c>
      <c r="AG279" s="17">
        <v>49.711869999999998</v>
      </c>
      <c r="AH279" s="17">
        <v>-95.244560000000007</v>
      </c>
      <c r="AI279" t="s">
        <v>346</v>
      </c>
      <c r="AL279" t="s">
        <v>62</v>
      </c>
      <c r="AM279" t="s">
        <v>63</v>
      </c>
      <c r="AN279" t="s">
        <v>347</v>
      </c>
      <c r="AO279">
        <v>184795</v>
      </c>
      <c r="AQ279" t="s">
        <v>348</v>
      </c>
      <c r="AR279" t="s">
        <v>349</v>
      </c>
      <c r="AS279" t="s">
        <v>350</v>
      </c>
      <c r="AT279" t="s">
        <v>68</v>
      </c>
      <c r="AV279" t="s">
        <v>351</v>
      </c>
      <c r="AW279" t="s">
        <v>352</v>
      </c>
      <c r="AX279" t="s">
        <v>353</v>
      </c>
      <c r="AY279" s="31" t="s">
        <v>354</v>
      </c>
      <c r="AZ279" s="31" t="s">
        <v>85</v>
      </c>
      <c r="BA279" s="14" t="s">
        <v>72</v>
      </c>
      <c r="BB279" s="14" t="s">
        <v>73</v>
      </c>
      <c r="BC279" s="14" t="s">
        <v>74</v>
      </c>
    </row>
    <row r="280" spans="1:55" ht="15" customHeight="1" x14ac:dyDescent="0.4">
      <c r="A280" s="12">
        <v>1960</v>
      </c>
      <c r="B280" t="s">
        <v>355</v>
      </c>
      <c r="D280" t="s">
        <v>356</v>
      </c>
      <c r="E280" s="13"/>
      <c r="F280" s="41"/>
      <c r="G280" s="41"/>
      <c r="H280" s="41"/>
      <c r="I280" s="41"/>
      <c r="J280" s="41"/>
      <c r="K280" s="65" t="str">
        <f>IFERROR(VLOOKUP(D280,Sheet4!A$1:M$56,11,FALSE),"")</f>
        <v/>
      </c>
      <c r="L280" s="65" t="str">
        <f t="shared" si="4"/>
        <v/>
      </c>
      <c r="M280" s="14" t="s">
        <v>49</v>
      </c>
      <c r="N280" s="15">
        <v>42923</v>
      </c>
      <c r="O280" t="s">
        <v>174</v>
      </c>
      <c r="P280" t="s">
        <v>51</v>
      </c>
      <c r="Q280" t="s">
        <v>52</v>
      </c>
      <c r="R280" t="s">
        <v>247</v>
      </c>
      <c r="S280" t="s">
        <v>248</v>
      </c>
      <c r="V280" s="16" t="s">
        <v>357</v>
      </c>
      <c r="W280" s="21"/>
      <c r="X280" t="s">
        <v>358</v>
      </c>
      <c r="AC280" t="s">
        <v>78</v>
      </c>
      <c r="AD280" t="s">
        <v>79</v>
      </c>
      <c r="AE280" s="15">
        <v>45597</v>
      </c>
      <c r="AF280" t="s">
        <v>48</v>
      </c>
      <c r="AG280" s="17">
        <v>49.761040000000001</v>
      </c>
      <c r="AH280" s="17">
        <v>-99.159710000000004</v>
      </c>
      <c r="AI280" t="s">
        <v>359</v>
      </c>
      <c r="AL280" t="s">
        <v>62</v>
      </c>
      <c r="AM280" t="s">
        <v>63</v>
      </c>
      <c r="AN280" t="s">
        <v>360</v>
      </c>
      <c r="AO280">
        <v>184796</v>
      </c>
      <c r="AQ280" t="s">
        <v>361</v>
      </c>
      <c r="AR280" t="s">
        <v>362</v>
      </c>
      <c r="AS280" t="s">
        <v>363</v>
      </c>
      <c r="AT280" t="s">
        <v>68</v>
      </c>
      <c r="AV280" t="s">
        <v>364</v>
      </c>
      <c r="AW280" t="s">
        <v>365</v>
      </c>
      <c r="AX280" t="s">
        <v>366</v>
      </c>
      <c r="AY280" s="31" t="s">
        <v>367</v>
      </c>
      <c r="AZ280" s="31" t="s">
        <v>85</v>
      </c>
      <c r="BA280" s="14" t="s">
        <v>72</v>
      </c>
      <c r="BB280" s="14" t="s">
        <v>73</v>
      </c>
      <c r="BC280" s="14" t="s">
        <v>74</v>
      </c>
    </row>
    <row r="281" spans="1:55" s="52" customFormat="1" ht="15" customHeight="1" x14ac:dyDescent="0.4">
      <c r="A281" s="12">
        <v>1961</v>
      </c>
      <c r="B281" t="s">
        <v>368</v>
      </c>
      <c r="C281"/>
      <c r="D281" t="s">
        <v>369</v>
      </c>
      <c r="E281" s="13"/>
      <c r="F281" s="41"/>
      <c r="G281" s="41"/>
      <c r="H281" s="41"/>
      <c r="I281" s="41"/>
      <c r="J281" s="41"/>
      <c r="K281" s="65" t="str">
        <f>IFERROR(VLOOKUP(D281,Sheet4!A$1:M$56,11,FALSE),"")</f>
        <v/>
      </c>
      <c r="L281" s="65" t="str">
        <f t="shared" si="4"/>
        <v/>
      </c>
      <c r="M281" s="14" t="s">
        <v>49</v>
      </c>
      <c r="N281" s="15">
        <v>42923</v>
      </c>
      <c r="O281" t="s">
        <v>174</v>
      </c>
      <c r="P281" t="s">
        <v>51</v>
      </c>
      <c r="Q281" t="s">
        <v>52</v>
      </c>
      <c r="R281" t="s">
        <v>247</v>
      </c>
      <c r="S281" t="s">
        <v>248</v>
      </c>
      <c r="T281"/>
      <c r="U281"/>
      <c r="V281" s="16" t="s">
        <v>357</v>
      </c>
      <c r="W281" s="16"/>
      <c r="X281" t="s">
        <v>358</v>
      </c>
      <c r="Y281"/>
      <c r="Z281"/>
      <c r="AA281"/>
      <c r="AB281"/>
      <c r="AC281" t="s">
        <v>60</v>
      </c>
      <c r="AD281"/>
      <c r="AE281" s="15"/>
      <c r="AF281"/>
      <c r="AG281" s="17">
        <v>49.760950000000001</v>
      </c>
      <c r="AH281" s="17">
        <v>-99.159829999999999</v>
      </c>
      <c r="AI281" t="s">
        <v>370</v>
      </c>
      <c r="AJ281"/>
      <c r="AK281"/>
      <c r="AL281" t="s">
        <v>62</v>
      </c>
      <c r="AM281" t="s">
        <v>63</v>
      </c>
      <c r="AN281" t="s">
        <v>371</v>
      </c>
      <c r="AO281">
        <v>184797</v>
      </c>
      <c r="AP281"/>
      <c r="AQ281" t="s">
        <v>372</v>
      </c>
      <c r="AR281" t="s">
        <v>373</v>
      </c>
      <c r="AS281" t="s">
        <v>374</v>
      </c>
      <c r="AT281" t="s">
        <v>68</v>
      </c>
      <c r="AU281"/>
      <c r="AV281" t="s">
        <v>375</v>
      </c>
      <c r="AW281" t="s">
        <v>376</v>
      </c>
      <c r="AX281" t="s">
        <v>377</v>
      </c>
      <c r="AY281" s="31"/>
      <c r="AZ281" s="31"/>
      <c r="BA281" s="14" t="s">
        <v>72</v>
      </c>
      <c r="BB281" s="14" t="s">
        <v>73</v>
      </c>
      <c r="BC281" s="14" t="s">
        <v>74</v>
      </c>
    </row>
    <row r="282" spans="1:55" ht="15" customHeight="1" x14ac:dyDescent="0.4">
      <c r="A282" s="12">
        <v>1962</v>
      </c>
      <c r="B282" t="s">
        <v>378</v>
      </c>
      <c r="D282" t="s">
        <v>379</v>
      </c>
      <c r="E282" s="13"/>
      <c r="F282" s="41"/>
      <c r="G282" s="41"/>
      <c r="H282" s="41"/>
      <c r="I282" s="41"/>
      <c r="J282" s="41"/>
      <c r="K282" s="65" t="str">
        <f>IFERROR(VLOOKUP(D282,Sheet4!A$1:M$56,11,FALSE),"")</f>
        <v/>
      </c>
      <c r="L282" s="65" t="str">
        <f t="shared" si="4"/>
        <v/>
      </c>
      <c r="M282" s="14" t="s">
        <v>49</v>
      </c>
      <c r="N282" s="15">
        <v>42923</v>
      </c>
      <c r="O282" t="s">
        <v>174</v>
      </c>
      <c r="P282" t="s">
        <v>51</v>
      </c>
      <c r="Q282" t="s">
        <v>52</v>
      </c>
      <c r="R282" t="s">
        <v>247</v>
      </c>
      <c r="S282" t="s">
        <v>248</v>
      </c>
      <c r="V282" s="16" t="s">
        <v>357</v>
      </c>
      <c r="W282" s="16"/>
      <c r="X282" t="s">
        <v>358</v>
      </c>
      <c r="AC282" t="s">
        <v>60</v>
      </c>
      <c r="AE282" s="15"/>
      <c r="AG282" s="17">
        <v>49.76061</v>
      </c>
      <c r="AH282" s="17">
        <v>-99.159279999999995</v>
      </c>
      <c r="AI282" t="s">
        <v>359</v>
      </c>
      <c r="AL282" t="s">
        <v>62</v>
      </c>
      <c r="AM282" t="s">
        <v>63</v>
      </c>
      <c r="AN282" t="s">
        <v>380</v>
      </c>
      <c r="AO282">
        <v>184798</v>
      </c>
      <c r="AQ282" t="s">
        <v>381</v>
      </c>
      <c r="AR282" t="s">
        <v>382</v>
      </c>
      <c r="AS282" t="s">
        <v>383</v>
      </c>
      <c r="AT282" t="s">
        <v>68</v>
      </c>
      <c r="AV282" t="s">
        <v>384</v>
      </c>
      <c r="AW282" t="s">
        <v>385</v>
      </c>
      <c r="AX282" t="s">
        <v>386</v>
      </c>
      <c r="BA282" s="14" t="s">
        <v>72</v>
      </c>
      <c r="BB282" s="14" t="s">
        <v>73</v>
      </c>
      <c r="BC282" s="14" t="s">
        <v>74</v>
      </c>
    </row>
    <row r="283" spans="1:55" ht="15" customHeight="1" x14ac:dyDescent="0.4">
      <c r="A283" s="12">
        <v>1963</v>
      </c>
      <c r="B283" t="s">
        <v>387</v>
      </c>
      <c r="D283" t="s">
        <v>388</v>
      </c>
      <c r="E283" s="13"/>
      <c r="F283" s="41"/>
      <c r="G283" s="41"/>
      <c r="H283" s="41"/>
      <c r="I283" s="41"/>
      <c r="J283" s="41"/>
      <c r="K283" s="65" t="str">
        <f>IFERROR(VLOOKUP(D283,Sheet4!A$1:M$56,11,FALSE),"")</f>
        <v/>
      </c>
      <c r="L283" s="65" t="str">
        <f t="shared" si="4"/>
        <v/>
      </c>
      <c r="M283" s="14" t="s">
        <v>49</v>
      </c>
      <c r="N283" s="15">
        <v>42923</v>
      </c>
      <c r="O283" t="s">
        <v>174</v>
      </c>
      <c r="P283" t="s">
        <v>51</v>
      </c>
      <c r="Q283" t="s">
        <v>52</v>
      </c>
      <c r="R283" t="s">
        <v>247</v>
      </c>
      <c r="S283" t="s">
        <v>248</v>
      </c>
      <c r="V283" s="16" t="s">
        <v>357</v>
      </c>
      <c r="W283" s="16"/>
      <c r="X283" t="s">
        <v>389</v>
      </c>
      <c r="AC283" t="s">
        <v>78</v>
      </c>
      <c r="AD283" t="s">
        <v>79</v>
      </c>
      <c r="AE283" s="15">
        <v>45597</v>
      </c>
      <c r="AF283" t="s">
        <v>48</v>
      </c>
      <c r="AG283" s="17">
        <v>49.761369999999999</v>
      </c>
      <c r="AH283" s="17">
        <v>-99.160399999999996</v>
      </c>
      <c r="AI283" t="s">
        <v>390</v>
      </c>
      <c r="AL283" t="s">
        <v>62</v>
      </c>
      <c r="AM283" t="s">
        <v>63</v>
      </c>
      <c r="AN283" t="s">
        <v>391</v>
      </c>
      <c r="AO283">
        <v>184799</v>
      </c>
      <c r="AQ283" t="s">
        <v>392</v>
      </c>
      <c r="AR283" t="s">
        <v>393</v>
      </c>
      <c r="AS283" t="s">
        <v>394</v>
      </c>
      <c r="AT283" t="s">
        <v>68</v>
      </c>
      <c r="AV283" t="s">
        <v>395</v>
      </c>
      <c r="AW283" t="s">
        <v>396</v>
      </c>
      <c r="AX283" t="s">
        <v>397</v>
      </c>
      <c r="AY283" s="31" t="s">
        <v>398</v>
      </c>
      <c r="AZ283" s="31" t="s">
        <v>85</v>
      </c>
      <c r="BA283" s="14" t="s">
        <v>72</v>
      </c>
      <c r="BB283" s="14" t="s">
        <v>73</v>
      </c>
      <c r="BC283" s="14" t="s">
        <v>74</v>
      </c>
    </row>
    <row r="284" spans="1:55" ht="15" customHeight="1" x14ac:dyDescent="0.4">
      <c r="A284" s="12">
        <v>1964</v>
      </c>
      <c r="B284" t="s">
        <v>399</v>
      </c>
      <c r="D284" t="s">
        <v>400</v>
      </c>
      <c r="E284" s="13"/>
      <c r="F284" s="41"/>
      <c r="G284" s="41"/>
      <c r="H284" s="41"/>
      <c r="I284" s="41"/>
      <c r="J284" s="41"/>
      <c r="K284" s="65" t="str">
        <f>IFERROR(VLOOKUP(D284,Sheet4!A$1:M$56,11,FALSE),"")</f>
        <v/>
      </c>
      <c r="L284" s="65" t="str">
        <f t="shared" si="4"/>
        <v/>
      </c>
      <c r="M284" s="14" t="s">
        <v>49</v>
      </c>
      <c r="N284" s="15">
        <v>42923</v>
      </c>
      <c r="O284" t="s">
        <v>174</v>
      </c>
      <c r="P284" t="s">
        <v>51</v>
      </c>
      <c r="Q284" t="s">
        <v>52</v>
      </c>
      <c r="R284" t="s">
        <v>247</v>
      </c>
      <c r="S284" t="s">
        <v>248</v>
      </c>
      <c r="V284" s="16" t="s">
        <v>357</v>
      </c>
      <c r="W284" s="16"/>
      <c r="X284" t="s">
        <v>358</v>
      </c>
      <c r="AC284" t="s">
        <v>401</v>
      </c>
      <c r="AD284" t="s">
        <v>402</v>
      </c>
      <c r="AE284" s="15">
        <v>44873</v>
      </c>
      <c r="AF284" t="s">
        <v>48</v>
      </c>
      <c r="AG284" s="17">
        <v>49.76117</v>
      </c>
      <c r="AH284" s="17">
        <v>-99.161420000000007</v>
      </c>
      <c r="AI284" t="s">
        <v>403</v>
      </c>
      <c r="AL284" t="s">
        <v>62</v>
      </c>
      <c r="AM284" t="s">
        <v>63</v>
      </c>
      <c r="AN284" t="s">
        <v>404</v>
      </c>
      <c r="AO284">
        <v>184800</v>
      </c>
      <c r="AQ284" t="s">
        <v>405</v>
      </c>
      <c r="AR284" t="s">
        <v>406</v>
      </c>
      <c r="AS284" t="s">
        <v>407</v>
      </c>
      <c r="AT284" t="s">
        <v>68</v>
      </c>
      <c r="AV284" t="s">
        <v>408</v>
      </c>
      <c r="AW284" t="s">
        <v>409</v>
      </c>
      <c r="AX284" t="s">
        <v>410</v>
      </c>
      <c r="BA284" s="14" t="s">
        <v>72</v>
      </c>
      <c r="BB284" s="14" t="s">
        <v>73</v>
      </c>
      <c r="BC284" s="14" t="s">
        <v>74</v>
      </c>
    </row>
    <row r="285" spans="1:55" ht="15" customHeight="1" x14ac:dyDescent="0.4">
      <c r="A285" s="12">
        <v>1965</v>
      </c>
      <c r="B285" t="s">
        <v>411</v>
      </c>
      <c r="D285" t="s">
        <v>412</v>
      </c>
      <c r="E285" s="13"/>
      <c r="F285" s="41"/>
      <c r="G285" s="41"/>
      <c r="H285" s="41"/>
      <c r="I285" s="41"/>
      <c r="J285" s="41"/>
      <c r="K285" s="65" t="str">
        <f>IFERROR(VLOOKUP(D285,Sheet4!A$1:M$56,11,FALSE),"")</f>
        <v/>
      </c>
      <c r="L285" s="65" t="str">
        <f t="shared" si="4"/>
        <v/>
      </c>
      <c r="M285" s="14" t="s">
        <v>49</v>
      </c>
      <c r="N285" s="15">
        <v>42923</v>
      </c>
      <c r="O285" t="s">
        <v>174</v>
      </c>
      <c r="P285" t="s">
        <v>51</v>
      </c>
      <c r="Q285" t="s">
        <v>52</v>
      </c>
      <c r="R285" t="s">
        <v>247</v>
      </c>
      <c r="S285" t="s">
        <v>248</v>
      </c>
      <c r="V285" s="16" t="s">
        <v>357</v>
      </c>
      <c r="W285" s="16"/>
      <c r="X285" t="s">
        <v>358</v>
      </c>
      <c r="AC285" t="s">
        <v>60</v>
      </c>
      <c r="AE285" s="15"/>
      <c r="AG285" s="17">
        <v>49.761470000000003</v>
      </c>
      <c r="AH285" s="17">
        <v>-99.158860000000004</v>
      </c>
      <c r="AI285" t="s">
        <v>413</v>
      </c>
      <c r="AL285" t="s">
        <v>62</v>
      </c>
      <c r="AM285" t="s">
        <v>63</v>
      </c>
      <c r="AN285" t="s">
        <v>414</v>
      </c>
      <c r="AO285">
        <v>184801</v>
      </c>
      <c r="AQ285" t="s">
        <v>415</v>
      </c>
      <c r="AR285" t="s">
        <v>416</v>
      </c>
      <c r="AS285" t="s">
        <v>417</v>
      </c>
      <c r="AT285" t="s">
        <v>68</v>
      </c>
      <c r="AV285" t="s">
        <v>418</v>
      </c>
      <c r="AW285" t="s">
        <v>419</v>
      </c>
      <c r="AX285" t="s">
        <v>420</v>
      </c>
      <c r="BA285" s="14" t="s">
        <v>72</v>
      </c>
      <c r="BB285" s="14" t="s">
        <v>73</v>
      </c>
      <c r="BC285" s="14" t="s">
        <v>74</v>
      </c>
    </row>
    <row r="286" spans="1:55" ht="15" customHeight="1" x14ac:dyDescent="0.4">
      <c r="A286" s="12">
        <v>1966</v>
      </c>
      <c r="B286" t="s">
        <v>421</v>
      </c>
      <c r="D286" t="s">
        <v>422</v>
      </c>
      <c r="E286" s="13"/>
      <c r="F286" s="41"/>
      <c r="G286" s="41"/>
      <c r="H286" s="41"/>
      <c r="I286" s="41"/>
      <c r="J286" s="41"/>
      <c r="K286" s="65" t="str">
        <f>IFERROR(VLOOKUP(D286,Sheet4!A$1:M$56,11,FALSE),"")</f>
        <v/>
      </c>
      <c r="L286" s="65" t="str">
        <f t="shared" si="4"/>
        <v/>
      </c>
      <c r="M286" s="14" t="s">
        <v>49</v>
      </c>
      <c r="N286" s="15">
        <v>42923</v>
      </c>
      <c r="O286" t="s">
        <v>174</v>
      </c>
      <c r="P286" t="s">
        <v>51</v>
      </c>
      <c r="Q286" t="s">
        <v>52</v>
      </c>
      <c r="R286" t="s">
        <v>247</v>
      </c>
      <c r="S286" t="s">
        <v>248</v>
      </c>
      <c r="V286" s="16" t="s">
        <v>357</v>
      </c>
      <c r="W286" s="16"/>
      <c r="X286" t="s">
        <v>358</v>
      </c>
      <c r="AC286" t="s">
        <v>60</v>
      </c>
      <c r="AE286" s="15"/>
      <c r="AG286" s="17">
        <v>49.761029999999998</v>
      </c>
      <c r="AH286" s="17">
        <v>-99.158479999999997</v>
      </c>
      <c r="AI286" t="s">
        <v>423</v>
      </c>
      <c r="AL286" t="s">
        <v>62</v>
      </c>
      <c r="AM286" t="s">
        <v>63</v>
      </c>
      <c r="AN286" t="s">
        <v>424</v>
      </c>
      <c r="AO286">
        <v>184802</v>
      </c>
      <c r="AQ286" t="s">
        <v>425</v>
      </c>
      <c r="AR286" t="s">
        <v>426</v>
      </c>
      <c r="AS286" t="s">
        <v>427</v>
      </c>
      <c r="AT286" t="s">
        <v>68</v>
      </c>
      <c r="AV286" t="s">
        <v>428</v>
      </c>
      <c r="AW286" t="s">
        <v>429</v>
      </c>
      <c r="AX286" t="s">
        <v>430</v>
      </c>
      <c r="BA286" s="14" t="s">
        <v>72</v>
      </c>
      <c r="BB286" s="14" t="s">
        <v>73</v>
      </c>
      <c r="BC286" s="14" t="s">
        <v>74</v>
      </c>
    </row>
    <row r="287" spans="1:55" ht="15" customHeight="1" x14ac:dyDescent="0.4">
      <c r="A287" s="12">
        <v>1967</v>
      </c>
      <c r="B287" t="s">
        <v>431</v>
      </c>
      <c r="D287" t="s">
        <v>432</v>
      </c>
      <c r="E287" s="13"/>
      <c r="F287" s="41"/>
      <c r="G287" s="41"/>
      <c r="H287" s="41"/>
      <c r="I287" s="41"/>
      <c r="J287" s="41"/>
      <c r="K287" s="65" t="str">
        <f>IFERROR(VLOOKUP(D287,Sheet4!A$1:M$56,11,FALSE),"")</f>
        <v/>
      </c>
      <c r="L287" s="65" t="str">
        <f t="shared" si="4"/>
        <v/>
      </c>
      <c r="M287" s="14" t="s">
        <v>49</v>
      </c>
      <c r="N287" s="15">
        <v>42923</v>
      </c>
      <c r="O287" t="s">
        <v>174</v>
      </c>
      <c r="P287" t="s">
        <v>51</v>
      </c>
      <c r="Q287" t="s">
        <v>52</v>
      </c>
      <c r="R287" t="s">
        <v>247</v>
      </c>
      <c r="S287" t="s">
        <v>248</v>
      </c>
      <c r="V287" s="16" t="s">
        <v>357</v>
      </c>
      <c r="W287" s="16"/>
      <c r="X287" t="s">
        <v>433</v>
      </c>
      <c r="AC287" t="s">
        <v>60</v>
      </c>
      <c r="AE287" s="15"/>
      <c r="AG287" s="17">
        <v>49.760429999999999</v>
      </c>
      <c r="AH287" s="17">
        <v>-99.158580000000001</v>
      </c>
      <c r="AI287" t="s">
        <v>413</v>
      </c>
      <c r="AL287" t="s">
        <v>62</v>
      </c>
      <c r="AM287" t="s">
        <v>63</v>
      </c>
      <c r="AN287" t="s">
        <v>434</v>
      </c>
      <c r="AO287">
        <v>184803</v>
      </c>
      <c r="AQ287" t="s">
        <v>435</v>
      </c>
      <c r="AR287" t="s">
        <v>436</v>
      </c>
      <c r="AS287" t="s">
        <v>437</v>
      </c>
      <c r="AT287" t="s">
        <v>68</v>
      </c>
      <c r="AV287" t="s">
        <v>438</v>
      </c>
      <c r="AW287" t="s">
        <v>439</v>
      </c>
      <c r="AX287" t="s">
        <v>440</v>
      </c>
      <c r="BA287" s="14" t="s">
        <v>72</v>
      </c>
      <c r="BB287" s="14" t="s">
        <v>73</v>
      </c>
      <c r="BC287" s="14" t="s">
        <v>74</v>
      </c>
    </row>
    <row r="288" spans="1:55" s="34" customFormat="1" ht="15" customHeight="1" x14ac:dyDescent="0.4">
      <c r="A288" s="12">
        <v>1968</v>
      </c>
      <c r="B288" t="s">
        <v>441</v>
      </c>
      <c r="C288"/>
      <c r="D288" t="s">
        <v>442</v>
      </c>
      <c r="E288" s="13"/>
      <c r="F288" s="41"/>
      <c r="G288" s="41"/>
      <c r="H288" s="41"/>
      <c r="I288" s="41"/>
      <c r="J288" s="41"/>
      <c r="K288" s="65" t="str">
        <f>IFERROR(VLOOKUP(D288,Sheet4!A$1:M$56,11,FALSE),"")</f>
        <v/>
      </c>
      <c r="L288" s="65" t="str">
        <f t="shared" si="4"/>
        <v/>
      </c>
      <c r="M288" s="14" t="s">
        <v>49</v>
      </c>
      <c r="N288" s="15">
        <v>42923</v>
      </c>
      <c r="O288" t="s">
        <v>174</v>
      </c>
      <c r="P288" t="s">
        <v>51</v>
      </c>
      <c r="Q288" t="s">
        <v>52</v>
      </c>
      <c r="R288" t="s">
        <v>247</v>
      </c>
      <c r="S288" t="s">
        <v>248</v>
      </c>
      <c r="T288"/>
      <c r="U288"/>
      <c r="V288" s="16" t="s">
        <v>357</v>
      </c>
      <c r="W288" s="16"/>
      <c r="X288" t="s">
        <v>358</v>
      </c>
      <c r="Y288"/>
      <c r="Z288"/>
      <c r="AA288"/>
      <c r="AB288"/>
      <c r="AC288" t="s">
        <v>60</v>
      </c>
      <c r="AD288"/>
      <c r="AE288" s="15"/>
      <c r="AF288"/>
      <c r="AG288" s="17">
        <v>49.760060000000003</v>
      </c>
      <c r="AH288" s="17">
        <v>-99.158259999999999</v>
      </c>
      <c r="AI288" t="s">
        <v>443</v>
      </c>
      <c r="AJ288"/>
      <c r="AK288"/>
      <c r="AL288" t="s">
        <v>62</v>
      </c>
      <c r="AM288" t="s">
        <v>63</v>
      </c>
      <c r="AN288" t="s">
        <v>444</v>
      </c>
      <c r="AO288">
        <v>184810</v>
      </c>
      <c r="AP288"/>
      <c r="AQ288" t="s">
        <v>445</v>
      </c>
      <c r="AR288" t="s">
        <v>446</v>
      </c>
      <c r="AS288" t="s">
        <v>447</v>
      </c>
      <c r="AT288" t="s">
        <v>68</v>
      </c>
      <c r="AU288"/>
      <c r="AV288" t="s">
        <v>448</v>
      </c>
      <c r="AW288" t="s">
        <v>449</v>
      </c>
      <c r="AX288" t="s">
        <v>450</v>
      </c>
      <c r="AY288" s="31"/>
      <c r="AZ288" s="31"/>
      <c r="BA288" s="14" t="s">
        <v>72</v>
      </c>
      <c r="BB288" s="14" t="s">
        <v>73</v>
      </c>
      <c r="BC288" s="14" t="s">
        <v>74</v>
      </c>
    </row>
    <row r="289" spans="1:55" ht="15" customHeight="1" x14ac:dyDescent="0.4">
      <c r="A289" s="12">
        <v>1969</v>
      </c>
      <c r="B289" t="s">
        <v>451</v>
      </c>
      <c r="D289" t="s">
        <v>452</v>
      </c>
      <c r="E289" s="13"/>
      <c r="F289" s="41"/>
      <c r="G289" s="41"/>
      <c r="H289" s="41"/>
      <c r="I289" s="41"/>
      <c r="J289" s="41"/>
      <c r="K289" s="65" t="str">
        <f>IFERROR(VLOOKUP(D289,Sheet4!A$1:M$56,11,FALSE),"")</f>
        <v/>
      </c>
      <c r="L289" s="65" t="str">
        <f t="shared" si="4"/>
        <v/>
      </c>
      <c r="M289" s="14" t="s">
        <v>49</v>
      </c>
      <c r="N289" s="15">
        <v>42923</v>
      </c>
      <c r="O289" t="s">
        <v>174</v>
      </c>
      <c r="P289" t="s">
        <v>51</v>
      </c>
      <c r="Q289" t="s">
        <v>52</v>
      </c>
      <c r="R289" t="s">
        <v>247</v>
      </c>
      <c r="S289" t="s">
        <v>248</v>
      </c>
      <c r="V289" s="16" t="s">
        <v>357</v>
      </c>
      <c r="W289" s="16"/>
      <c r="X289" t="s">
        <v>358</v>
      </c>
      <c r="AC289" t="s">
        <v>78</v>
      </c>
      <c r="AD289" t="s">
        <v>79</v>
      </c>
      <c r="AE289" s="15">
        <v>45597</v>
      </c>
      <c r="AF289" t="s">
        <v>48</v>
      </c>
      <c r="AG289" s="17">
        <v>49.760550000000002</v>
      </c>
      <c r="AH289" s="17">
        <v>-99.158439999999999</v>
      </c>
      <c r="AI289" t="s">
        <v>453</v>
      </c>
      <c r="AL289" t="s">
        <v>62</v>
      </c>
      <c r="AM289" t="s">
        <v>63</v>
      </c>
      <c r="AN289" t="s">
        <v>454</v>
      </c>
      <c r="AO289">
        <v>184811</v>
      </c>
      <c r="AQ289" t="s">
        <v>455</v>
      </c>
      <c r="AR289" t="s">
        <v>456</v>
      </c>
      <c r="AS289" t="s">
        <v>457</v>
      </c>
      <c r="AT289" t="s">
        <v>68</v>
      </c>
      <c r="AV289" t="s">
        <v>458</v>
      </c>
      <c r="AW289" t="s">
        <v>459</v>
      </c>
      <c r="AX289" t="s">
        <v>460</v>
      </c>
      <c r="AY289" s="31" t="s">
        <v>461</v>
      </c>
      <c r="AZ289" s="31" t="s">
        <v>85</v>
      </c>
      <c r="BA289" s="14" t="s">
        <v>72</v>
      </c>
      <c r="BB289" s="14" t="s">
        <v>73</v>
      </c>
      <c r="BC289" s="14" t="s">
        <v>74</v>
      </c>
    </row>
    <row r="290" spans="1:55" ht="15" customHeight="1" x14ac:dyDescent="0.4">
      <c r="A290" s="12">
        <v>1970</v>
      </c>
      <c r="B290" t="s">
        <v>462</v>
      </c>
      <c r="D290" t="s">
        <v>463</v>
      </c>
      <c r="E290" s="13"/>
      <c r="F290" s="41"/>
      <c r="G290" s="41"/>
      <c r="H290" s="41"/>
      <c r="I290" s="41"/>
      <c r="J290" s="41"/>
      <c r="K290" s="65" t="str">
        <f>IFERROR(VLOOKUP(D290,Sheet4!A$1:M$56,11,FALSE),"")</f>
        <v/>
      </c>
      <c r="L290" s="65" t="str">
        <f t="shared" si="4"/>
        <v/>
      </c>
      <c r="M290" s="14" t="s">
        <v>49</v>
      </c>
      <c r="N290" s="15">
        <v>42923</v>
      </c>
      <c r="O290" t="s">
        <v>174</v>
      </c>
      <c r="P290" t="s">
        <v>51</v>
      </c>
      <c r="Q290" t="s">
        <v>52</v>
      </c>
      <c r="R290" t="s">
        <v>247</v>
      </c>
      <c r="S290" t="s">
        <v>248</v>
      </c>
      <c r="V290" s="16" t="s">
        <v>464</v>
      </c>
      <c r="W290" s="16" t="s">
        <v>465</v>
      </c>
      <c r="X290" t="s">
        <v>466</v>
      </c>
      <c r="AC290" t="s">
        <v>60</v>
      </c>
      <c r="AE290" s="15"/>
      <c r="AG290" s="17"/>
      <c r="AH290" s="17"/>
      <c r="AI290">
        <v>1255</v>
      </c>
      <c r="AK290" t="s">
        <v>467</v>
      </c>
      <c r="AL290" t="s">
        <v>62</v>
      </c>
      <c r="AM290" t="s">
        <v>63</v>
      </c>
      <c r="AN290" t="s">
        <v>468</v>
      </c>
      <c r="AO290">
        <v>184812</v>
      </c>
      <c r="AQ290" t="s">
        <v>469</v>
      </c>
      <c r="AR290" t="s">
        <v>470</v>
      </c>
      <c r="AS290" t="s">
        <v>471</v>
      </c>
      <c r="AT290" t="s">
        <v>68</v>
      </c>
      <c r="AV290" t="s">
        <v>472</v>
      </c>
      <c r="AW290" t="s">
        <v>473</v>
      </c>
      <c r="AX290" t="s">
        <v>474</v>
      </c>
      <c r="BA290" s="14" t="s">
        <v>72</v>
      </c>
      <c r="BB290" s="14" t="s">
        <v>73</v>
      </c>
      <c r="BC290" s="14" t="s">
        <v>74</v>
      </c>
    </row>
    <row r="291" spans="1:55" ht="15" customHeight="1" x14ac:dyDescent="0.4">
      <c r="A291" s="12">
        <v>1971</v>
      </c>
      <c r="B291" t="s">
        <v>475</v>
      </c>
      <c r="D291" t="s">
        <v>476</v>
      </c>
      <c r="E291" s="13"/>
      <c r="F291" s="41"/>
      <c r="G291" s="41"/>
      <c r="H291" s="41"/>
      <c r="I291" s="41"/>
      <c r="J291" s="41"/>
      <c r="K291" s="65" t="str">
        <f>IFERROR(VLOOKUP(D291,Sheet4!A$1:M$56,11,FALSE),"")</f>
        <v/>
      </c>
      <c r="L291" s="65" t="str">
        <f t="shared" si="4"/>
        <v/>
      </c>
      <c r="M291" s="14" t="s">
        <v>49</v>
      </c>
      <c r="N291" s="15">
        <v>42923</v>
      </c>
      <c r="O291" t="s">
        <v>174</v>
      </c>
      <c r="P291" t="s">
        <v>51</v>
      </c>
      <c r="Q291" t="s">
        <v>52</v>
      </c>
      <c r="R291" t="s">
        <v>247</v>
      </c>
      <c r="S291" t="s">
        <v>248</v>
      </c>
      <c r="V291" s="16" t="s">
        <v>464</v>
      </c>
      <c r="W291" s="16" t="s">
        <v>477</v>
      </c>
      <c r="X291" t="s">
        <v>466</v>
      </c>
      <c r="AC291" t="s">
        <v>78</v>
      </c>
      <c r="AD291" t="s">
        <v>79</v>
      </c>
      <c r="AE291" s="15">
        <v>45597</v>
      </c>
      <c r="AF291" t="s">
        <v>48</v>
      </c>
      <c r="AG291" s="17">
        <v>49.85783</v>
      </c>
      <c r="AH291" s="17">
        <v>-97.249110000000002</v>
      </c>
      <c r="AI291" t="s">
        <v>478</v>
      </c>
      <c r="AL291" t="s">
        <v>62</v>
      </c>
      <c r="AM291" t="s">
        <v>63</v>
      </c>
      <c r="AN291" t="s">
        <v>479</v>
      </c>
      <c r="AO291">
        <v>184813</v>
      </c>
      <c r="AQ291" t="s">
        <v>480</v>
      </c>
      <c r="AR291" t="s">
        <v>481</v>
      </c>
      <c r="AS291" t="s">
        <v>482</v>
      </c>
      <c r="AT291" t="s">
        <v>68</v>
      </c>
      <c r="AV291" t="s">
        <v>483</v>
      </c>
      <c r="AW291" t="s">
        <v>484</v>
      </c>
      <c r="AX291" t="s">
        <v>485</v>
      </c>
      <c r="AY291" s="31" t="s">
        <v>486</v>
      </c>
      <c r="AZ291" s="31" t="s">
        <v>85</v>
      </c>
      <c r="BA291" s="14" t="s">
        <v>72</v>
      </c>
      <c r="BB291" s="14" t="s">
        <v>73</v>
      </c>
      <c r="BC291" s="14" t="s">
        <v>74</v>
      </c>
    </row>
    <row r="292" spans="1:55" ht="15" customHeight="1" x14ac:dyDescent="0.4">
      <c r="A292" s="12">
        <v>1972</v>
      </c>
      <c r="B292" t="s">
        <v>487</v>
      </c>
      <c r="D292" t="s">
        <v>488</v>
      </c>
      <c r="E292" s="13"/>
      <c r="F292" s="41"/>
      <c r="G292" s="41"/>
      <c r="H292" s="41"/>
      <c r="I292" s="41"/>
      <c r="J292" s="41"/>
      <c r="K292" s="65" t="str">
        <f>IFERROR(VLOOKUP(D292,Sheet4!A$1:M$56,11,FALSE),"")</f>
        <v/>
      </c>
      <c r="L292" s="65" t="str">
        <f t="shared" si="4"/>
        <v/>
      </c>
      <c r="M292" s="14" t="s">
        <v>49</v>
      </c>
      <c r="N292" s="15">
        <v>42923</v>
      </c>
      <c r="O292" t="s">
        <v>174</v>
      </c>
      <c r="P292" t="s">
        <v>51</v>
      </c>
      <c r="Q292" t="s">
        <v>52</v>
      </c>
      <c r="R292" t="s">
        <v>247</v>
      </c>
      <c r="S292" t="s">
        <v>248</v>
      </c>
      <c r="V292" s="16" t="s">
        <v>464</v>
      </c>
      <c r="W292" s="16" t="s">
        <v>489</v>
      </c>
      <c r="X292" t="s">
        <v>490</v>
      </c>
      <c r="AC292" t="s">
        <v>60</v>
      </c>
      <c r="AE292" s="15"/>
      <c r="AG292" s="17">
        <v>49.857779999999998</v>
      </c>
      <c r="AH292" s="17">
        <v>-97.248480000000001</v>
      </c>
      <c r="AI292" t="s">
        <v>491</v>
      </c>
      <c r="AL292" t="s">
        <v>62</v>
      </c>
      <c r="AM292" t="s">
        <v>63</v>
      </c>
      <c r="AN292" t="s">
        <v>492</v>
      </c>
      <c r="AO292">
        <v>184814</v>
      </c>
      <c r="AQ292" t="s">
        <v>493</v>
      </c>
      <c r="AR292" t="s">
        <v>494</v>
      </c>
      <c r="AS292" t="s">
        <v>495</v>
      </c>
      <c r="AT292" t="s">
        <v>68</v>
      </c>
      <c r="AV292" t="s">
        <v>496</v>
      </c>
      <c r="AW292" t="s">
        <v>497</v>
      </c>
      <c r="AX292" t="s">
        <v>498</v>
      </c>
      <c r="BA292" s="14" t="s">
        <v>72</v>
      </c>
      <c r="BB292" s="14" t="s">
        <v>73</v>
      </c>
      <c r="BC292" s="14" t="s">
        <v>74</v>
      </c>
    </row>
    <row r="293" spans="1:55" ht="15" customHeight="1" x14ac:dyDescent="0.4">
      <c r="A293" s="12">
        <v>1973</v>
      </c>
      <c r="B293" t="s">
        <v>499</v>
      </c>
      <c r="D293" t="s">
        <v>500</v>
      </c>
      <c r="E293" s="13"/>
      <c r="F293" s="41"/>
      <c r="G293" s="41"/>
      <c r="H293" s="41"/>
      <c r="I293" s="41"/>
      <c r="J293" s="41"/>
      <c r="K293" s="65" t="str">
        <f>IFERROR(VLOOKUP(D293,Sheet4!A$1:M$56,11,FALSE),"")</f>
        <v/>
      </c>
      <c r="L293" s="65" t="str">
        <f t="shared" si="4"/>
        <v/>
      </c>
      <c r="M293" s="14" t="s">
        <v>49</v>
      </c>
      <c r="N293" s="15">
        <v>42923</v>
      </c>
      <c r="O293" t="s">
        <v>174</v>
      </c>
      <c r="P293" t="s">
        <v>51</v>
      </c>
      <c r="Q293" t="s">
        <v>52</v>
      </c>
      <c r="R293" t="s">
        <v>247</v>
      </c>
      <c r="S293" t="s">
        <v>248</v>
      </c>
      <c r="V293" s="16" t="s">
        <v>464</v>
      </c>
      <c r="W293" s="21"/>
      <c r="X293" t="s">
        <v>466</v>
      </c>
      <c r="AC293" t="s">
        <v>60</v>
      </c>
      <c r="AE293" s="15"/>
      <c r="AG293" s="17">
        <v>49.854230000000001</v>
      </c>
      <c r="AH293" s="17">
        <v>-97.248199999999997</v>
      </c>
      <c r="AI293" t="s">
        <v>501</v>
      </c>
      <c r="AL293" t="s">
        <v>62</v>
      </c>
      <c r="AM293" t="s">
        <v>63</v>
      </c>
      <c r="AN293" t="s">
        <v>502</v>
      </c>
      <c r="AO293">
        <v>184804</v>
      </c>
      <c r="AQ293" t="s">
        <v>503</v>
      </c>
      <c r="AR293" t="s">
        <v>504</v>
      </c>
      <c r="AS293" t="s">
        <v>505</v>
      </c>
      <c r="AT293" t="s">
        <v>68</v>
      </c>
      <c r="AV293" t="s">
        <v>506</v>
      </c>
      <c r="AW293" t="s">
        <v>507</v>
      </c>
      <c r="AX293" t="s">
        <v>508</v>
      </c>
      <c r="BA293" s="14" t="s">
        <v>72</v>
      </c>
      <c r="BB293" s="14" t="s">
        <v>73</v>
      </c>
      <c r="BC293" s="14" t="s">
        <v>74</v>
      </c>
    </row>
    <row r="294" spans="1:55" ht="15" customHeight="1" x14ac:dyDescent="0.4">
      <c r="A294" s="12">
        <v>1974</v>
      </c>
      <c r="B294" t="s">
        <v>509</v>
      </c>
      <c r="D294" t="s">
        <v>510</v>
      </c>
      <c r="E294" s="13"/>
      <c r="F294" s="41"/>
      <c r="G294" s="41"/>
      <c r="H294" s="41"/>
      <c r="I294" s="41"/>
      <c r="J294" s="41"/>
      <c r="K294" s="65" t="str">
        <f>IFERROR(VLOOKUP(D294,Sheet4!A$1:M$56,11,FALSE),"")</f>
        <v/>
      </c>
      <c r="L294" s="65" t="str">
        <f t="shared" si="4"/>
        <v/>
      </c>
      <c r="M294" s="14" t="s">
        <v>49</v>
      </c>
      <c r="N294" s="15">
        <v>42923</v>
      </c>
      <c r="O294" t="s">
        <v>174</v>
      </c>
      <c r="P294" t="s">
        <v>51</v>
      </c>
      <c r="Q294" t="s">
        <v>52</v>
      </c>
      <c r="R294" t="s">
        <v>247</v>
      </c>
      <c r="S294" t="s">
        <v>248</v>
      </c>
      <c r="V294" s="16" t="s">
        <v>464</v>
      </c>
      <c r="W294" s="21"/>
      <c r="X294" t="s">
        <v>466</v>
      </c>
      <c r="AC294" t="s">
        <v>78</v>
      </c>
      <c r="AD294" t="s">
        <v>79</v>
      </c>
      <c r="AE294" s="15">
        <v>45597</v>
      </c>
      <c r="AF294" t="s">
        <v>48</v>
      </c>
      <c r="AG294" s="17">
        <v>49.853920000000002</v>
      </c>
      <c r="AH294" s="17">
        <v>-97.248279999999994</v>
      </c>
      <c r="AI294" t="s">
        <v>511</v>
      </c>
      <c r="AL294" t="s">
        <v>62</v>
      </c>
      <c r="AM294" t="s">
        <v>63</v>
      </c>
      <c r="AN294" t="s">
        <v>512</v>
      </c>
      <c r="AO294">
        <v>184805</v>
      </c>
      <c r="AQ294" t="s">
        <v>513</v>
      </c>
      <c r="AR294" t="s">
        <v>514</v>
      </c>
      <c r="AS294" t="s">
        <v>515</v>
      </c>
      <c r="AT294" t="s">
        <v>68</v>
      </c>
      <c r="AV294" t="s">
        <v>516</v>
      </c>
      <c r="AW294" t="s">
        <v>517</v>
      </c>
      <c r="AX294" t="s">
        <v>518</v>
      </c>
      <c r="AY294" s="31" t="s">
        <v>519</v>
      </c>
      <c r="AZ294" s="31" t="s">
        <v>85</v>
      </c>
      <c r="BA294" s="14" t="s">
        <v>72</v>
      </c>
      <c r="BB294" s="14" t="s">
        <v>73</v>
      </c>
      <c r="BC294" s="14" t="s">
        <v>74</v>
      </c>
    </row>
    <row r="295" spans="1:55" ht="15" customHeight="1" x14ac:dyDescent="0.4">
      <c r="A295" s="12">
        <v>1975</v>
      </c>
      <c r="B295" t="s">
        <v>520</v>
      </c>
      <c r="D295" t="s">
        <v>521</v>
      </c>
      <c r="E295" s="13"/>
      <c r="F295" s="41"/>
      <c r="G295" s="41"/>
      <c r="H295" s="41"/>
      <c r="I295" s="41"/>
      <c r="J295" s="41"/>
      <c r="K295" s="65" t="str">
        <f>IFERROR(VLOOKUP(D295,Sheet4!A$1:M$56,11,FALSE),"")</f>
        <v/>
      </c>
      <c r="L295" s="65" t="str">
        <f t="shared" si="4"/>
        <v/>
      </c>
      <c r="M295" s="14" t="s">
        <v>49</v>
      </c>
      <c r="N295" s="15">
        <v>42923</v>
      </c>
      <c r="O295" t="s">
        <v>174</v>
      </c>
      <c r="P295" t="s">
        <v>51</v>
      </c>
      <c r="Q295" t="s">
        <v>52</v>
      </c>
      <c r="R295" t="s">
        <v>247</v>
      </c>
      <c r="S295" t="s">
        <v>248</v>
      </c>
      <c r="V295" s="16" t="s">
        <v>464</v>
      </c>
      <c r="W295" s="16" t="s">
        <v>477</v>
      </c>
      <c r="X295" t="s">
        <v>466</v>
      </c>
      <c r="AC295" t="s">
        <v>60</v>
      </c>
      <c r="AE295" s="15"/>
      <c r="AG295" s="17">
        <v>49.853990000000003</v>
      </c>
      <c r="AH295" s="17">
        <v>-97.247439999999997</v>
      </c>
      <c r="AI295" t="s">
        <v>522</v>
      </c>
      <c r="AL295" t="s">
        <v>62</v>
      </c>
      <c r="AM295" t="s">
        <v>63</v>
      </c>
      <c r="AN295" t="s">
        <v>523</v>
      </c>
      <c r="AO295">
        <v>184806</v>
      </c>
      <c r="AQ295" t="s">
        <v>524</v>
      </c>
      <c r="AR295" t="s">
        <v>525</v>
      </c>
      <c r="AS295" t="s">
        <v>526</v>
      </c>
      <c r="AT295" t="s">
        <v>68</v>
      </c>
      <c r="AV295" t="s">
        <v>527</v>
      </c>
      <c r="AW295" t="s">
        <v>528</v>
      </c>
      <c r="AX295" t="s">
        <v>529</v>
      </c>
      <c r="BA295" s="14" t="s">
        <v>72</v>
      </c>
      <c r="BB295" s="14" t="s">
        <v>73</v>
      </c>
      <c r="BC295" s="14" t="s">
        <v>74</v>
      </c>
    </row>
    <row r="296" spans="1:55" ht="15" customHeight="1" x14ac:dyDescent="0.4">
      <c r="A296" s="12">
        <v>1976</v>
      </c>
      <c r="B296" t="s">
        <v>530</v>
      </c>
      <c r="D296" t="s">
        <v>531</v>
      </c>
      <c r="E296" s="13"/>
      <c r="F296" s="41"/>
      <c r="G296" s="41"/>
      <c r="H296" s="41"/>
      <c r="I296" s="41"/>
      <c r="J296" s="41"/>
      <c r="K296" s="65" t="str">
        <f>IFERROR(VLOOKUP(D296,Sheet4!A$1:M$56,11,FALSE),"")</f>
        <v/>
      </c>
      <c r="L296" s="65" t="str">
        <f t="shared" si="4"/>
        <v/>
      </c>
      <c r="M296" s="14" t="s">
        <v>49</v>
      </c>
      <c r="N296" s="15">
        <v>42923</v>
      </c>
      <c r="O296" t="s">
        <v>174</v>
      </c>
      <c r="P296" t="s">
        <v>51</v>
      </c>
      <c r="Q296" t="s">
        <v>52</v>
      </c>
      <c r="R296" t="s">
        <v>247</v>
      </c>
      <c r="S296" t="s">
        <v>248</v>
      </c>
      <c r="V296" s="16" t="s">
        <v>464</v>
      </c>
      <c r="W296" s="16" t="s">
        <v>477</v>
      </c>
      <c r="X296" t="s">
        <v>466</v>
      </c>
      <c r="AC296" t="s">
        <v>60</v>
      </c>
      <c r="AE296" s="15"/>
      <c r="AG296" s="17">
        <v>49.854170000000003</v>
      </c>
      <c r="AH296" s="17">
        <v>-97.246889999999993</v>
      </c>
      <c r="AI296" t="s">
        <v>532</v>
      </c>
      <c r="AL296" t="s">
        <v>62</v>
      </c>
      <c r="AM296" t="s">
        <v>63</v>
      </c>
      <c r="AN296" t="s">
        <v>533</v>
      </c>
      <c r="AO296">
        <v>184815</v>
      </c>
      <c r="AQ296" t="s">
        <v>534</v>
      </c>
      <c r="AR296" t="s">
        <v>535</v>
      </c>
      <c r="AS296" t="s">
        <v>536</v>
      </c>
      <c r="AT296" t="s">
        <v>68</v>
      </c>
      <c r="AV296" t="s">
        <v>537</v>
      </c>
      <c r="AW296" t="s">
        <v>538</v>
      </c>
      <c r="AX296" t="s">
        <v>539</v>
      </c>
      <c r="BA296" s="14" t="s">
        <v>72</v>
      </c>
      <c r="BB296" s="14" t="s">
        <v>73</v>
      </c>
      <c r="BC296" s="14" t="s">
        <v>74</v>
      </c>
    </row>
    <row r="297" spans="1:55" ht="15" customHeight="1" x14ac:dyDescent="0.4">
      <c r="A297" s="12">
        <v>1977</v>
      </c>
      <c r="B297" t="s">
        <v>540</v>
      </c>
      <c r="D297" t="s">
        <v>541</v>
      </c>
      <c r="E297" s="13"/>
      <c r="F297" s="41"/>
      <c r="G297" s="41"/>
      <c r="H297" s="41"/>
      <c r="I297" s="41"/>
      <c r="J297" s="41"/>
      <c r="K297" s="65" t="str">
        <f>IFERROR(VLOOKUP(D297,Sheet4!A$1:M$56,11,FALSE),"")</f>
        <v/>
      </c>
      <c r="L297" s="65" t="str">
        <f t="shared" si="4"/>
        <v/>
      </c>
      <c r="M297" s="14" t="s">
        <v>49</v>
      </c>
      <c r="N297" s="15">
        <v>42923</v>
      </c>
      <c r="O297" t="s">
        <v>174</v>
      </c>
      <c r="P297" t="s">
        <v>51</v>
      </c>
      <c r="Q297" t="s">
        <v>52</v>
      </c>
      <c r="R297" t="s">
        <v>247</v>
      </c>
      <c r="S297" t="s">
        <v>248</v>
      </c>
      <c r="V297" s="16" t="s">
        <v>464</v>
      </c>
      <c r="W297" s="16" t="s">
        <v>477</v>
      </c>
      <c r="X297" t="s">
        <v>466</v>
      </c>
      <c r="AC297" t="s">
        <v>60</v>
      </c>
      <c r="AE297" s="15"/>
      <c r="AG297" s="17">
        <v>49.854210000000002</v>
      </c>
      <c r="AH297" s="17">
        <v>-97.246210000000005</v>
      </c>
      <c r="AI297" t="s">
        <v>542</v>
      </c>
      <c r="AL297" t="s">
        <v>62</v>
      </c>
      <c r="AM297" t="s">
        <v>63</v>
      </c>
      <c r="AN297" t="s">
        <v>543</v>
      </c>
      <c r="AO297">
        <v>184807</v>
      </c>
      <c r="AQ297" t="s">
        <v>544</v>
      </c>
      <c r="AR297" t="s">
        <v>545</v>
      </c>
      <c r="AS297" t="s">
        <v>546</v>
      </c>
      <c r="AT297" t="s">
        <v>68</v>
      </c>
      <c r="AV297" t="s">
        <v>547</v>
      </c>
      <c r="AW297" t="s">
        <v>548</v>
      </c>
      <c r="AX297" t="s">
        <v>549</v>
      </c>
      <c r="BA297" s="14" t="s">
        <v>72</v>
      </c>
      <c r="BB297" s="14" t="s">
        <v>73</v>
      </c>
      <c r="BC297" s="14" t="s">
        <v>74</v>
      </c>
    </row>
    <row r="298" spans="1:55" ht="15" customHeight="1" x14ac:dyDescent="0.4">
      <c r="A298" s="12">
        <v>1978</v>
      </c>
      <c r="B298" t="s">
        <v>550</v>
      </c>
      <c r="D298" t="s">
        <v>551</v>
      </c>
      <c r="E298" s="13"/>
      <c r="F298" s="41"/>
      <c r="G298" s="41"/>
      <c r="H298" s="41"/>
      <c r="I298" s="41"/>
      <c r="J298" s="41"/>
      <c r="K298" s="65" t="str">
        <f>IFERROR(VLOOKUP(D298,Sheet4!A$1:M$56,11,FALSE),"")</f>
        <v/>
      </c>
      <c r="L298" s="65" t="str">
        <f t="shared" si="4"/>
        <v/>
      </c>
      <c r="M298" s="14" t="s">
        <v>49</v>
      </c>
      <c r="N298" s="15">
        <v>42923</v>
      </c>
      <c r="O298" t="s">
        <v>174</v>
      </c>
      <c r="P298" t="s">
        <v>51</v>
      </c>
      <c r="Q298" t="s">
        <v>52</v>
      </c>
      <c r="R298" t="s">
        <v>247</v>
      </c>
      <c r="S298" t="s">
        <v>248</v>
      </c>
      <c r="V298" s="16" t="s">
        <v>464</v>
      </c>
      <c r="W298" s="16" t="s">
        <v>477</v>
      </c>
      <c r="X298" t="s">
        <v>466</v>
      </c>
      <c r="AC298" t="s">
        <v>60</v>
      </c>
      <c r="AE298" s="15"/>
      <c r="AG298" s="17">
        <v>49.853740000000002</v>
      </c>
      <c r="AH298" s="17">
        <v>-97.247389999999996</v>
      </c>
      <c r="AI298" t="s">
        <v>552</v>
      </c>
      <c r="AL298" t="s">
        <v>62</v>
      </c>
      <c r="AM298" t="s">
        <v>63</v>
      </c>
      <c r="AN298" t="s">
        <v>553</v>
      </c>
      <c r="AO298">
        <v>184808</v>
      </c>
      <c r="AQ298" t="s">
        <v>554</v>
      </c>
      <c r="AR298" t="s">
        <v>555</v>
      </c>
      <c r="AS298" t="s">
        <v>556</v>
      </c>
      <c r="AT298" t="s">
        <v>68</v>
      </c>
      <c r="AV298" t="s">
        <v>557</v>
      </c>
      <c r="AW298" t="s">
        <v>558</v>
      </c>
      <c r="AX298" t="s">
        <v>559</v>
      </c>
      <c r="BA298" s="14" t="s">
        <v>72</v>
      </c>
      <c r="BB298" s="14" t="s">
        <v>73</v>
      </c>
      <c r="BC298" s="14" t="s">
        <v>74</v>
      </c>
    </row>
    <row r="299" spans="1:55" ht="15" customHeight="1" x14ac:dyDescent="0.4">
      <c r="A299" s="12">
        <v>1979</v>
      </c>
      <c r="B299" t="s">
        <v>560</v>
      </c>
      <c r="D299" t="s">
        <v>561</v>
      </c>
      <c r="E299" s="13"/>
      <c r="F299" s="41"/>
      <c r="G299" s="41"/>
      <c r="H299" s="41"/>
      <c r="I299" s="41"/>
      <c r="J299" s="41"/>
      <c r="K299" s="65" t="str">
        <f>IFERROR(VLOOKUP(D299,Sheet4!A$1:M$56,11,FALSE),"")</f>
        <v/>
      </c>
      <c r="L299" s="65" t="str">
        <f t="shared" si="4"/>
        <v/>
      </c>
      <c r="M299" s="14" t="s">
        <v>49</v>
      </c>
      <c r="N299" s="15">
        <v>42923</v>
      </c>
      <c r="O299" t="s">
        <v>174</v>
      </c>
      <c r="P299" t="s">
        <v>51</v>
      </c>
      <c r="Q299" t="s">
        <v>52</v>
      </c>
      <c r="R299" t="s">
        <v>247</v>
      </c>
      <c r="S299" t="s">
        <v>248</v>
      </c>
      <c r="V299" s="16" t="s">
        <v>464</v>
      </c>
      <c r="W299" s="16" t="s">
        <v>477</v>
      </c>
      <c r="X299" t="s">
        <v>466</v>
      </c>
      <c r="AC299" t="s">
        <v>78</v>
      </c>
      <c r="AD299" t="s">
        <v>562</v>
      </c>
      <c r="AE299" s="15">
        <v>45597</v>
      </c>
      <c r="AF299" t="s">
        <v>48</v>
      </c>
      <c r="AG299" s="17">
        <v>49.853439999999999</v>
      </c>
      <c r="AH299" s="17">
        <v>-97.246610000000004</v>
      </c>
      <c r="AI299" t="s">
        <v>563</v>
      </c>
      <c r="AL299" t="s">
        <v>62</v>
      </c>
      <c r="AM299" t="s">
        <v>63</v>
      </c>
      <c r="AN299" t="s">
        <v>564</v>
      </c>
      <c r="AO299">
        <v>184809</v>
      </c>
      <c r="AQ299" t="s">
        <v>565</v>
      </c>
      <c r="AR299" t="s">
        <v>566</v>
      </c>
      <c r="AS299" t="s">
        <v>567</v>
      </c>
      <c r="AT299" t="s">
        <v>68</v>
      </c>
      <c r="AV299" t="s">
        <v>568</v>
      </c>
      <c r="AW299" t="s">
        <v>569</v>
      </c>
      <c r="AX299" t="s">
        <v>570</v>
      </c>
      <c r="AY299" s="31" t="s">
        <v>571</v>
      </c>
      <c r="AZ299" s="31" t="s">
        <v>85</v>
      </c>
      <c r="BA299" s="14" t="s">
        <v>72</v>
      </c>
      <c r="BB299" s="14" t="s">
        <v>73</v>
      </c>
      <c r="BC299" s="14" t="s">
        <v>74</v>
      </c>
    </row>
    <row r="300" spans="1:55" ht="15" customHeight="1" x14ac:dyDescent="0.4">
      <c r="A300" s="12">
        <v>3605</v>
      </c>
      <c r="B300" s="21" t="s">
        <v>3192</v>
      </c>
      <c r="C300" s="13"/>
      <c r="D300" s="25" t="s">
        <v>3193</v>
      </c>
      <c r="E300" s="13"/>
      <c r="F300" s="41" t="s">
        <v>3178</v>
      </c>
      <c r="G300" s="46"/>
      <c r="H300" s="46"/>
      <c r="I300" s="41"/>
      <c r="J300" s="46"/>
      <c r="K300" s="65" t="str">
        <f>IFERROR(VLOOKUP(D300,Sheet4!A$1:M$56,11,FALSE),"")</f>
        <v/>
      </c>
      <c r="L300" s="65" t="str">
        <f t="shared" si="4"/>
        <v/>
      </c>
      <c r="M300" s="14" t="s">
        <v>3178</v>
      </c>
      <c r="N300" s="15">
        <v>44736</v>
      </c>
      <c r="O300" t="s">
        <v>2719</v>
      </c>
      <c r="P300" t="s">
        <v>51</v>
      </c>
      <c r="Q300" t="s">
        <v>52</v>
      </c>
      <c r="R300" t="s">
        <v>53</v>
      </c>
      <c r="S300" t="s">
        <v>54</v>
      </c>
      <c r="T300" t="s">
        <v>3164</v>
      </c>
      <c r="U300" t="s">
        <v>56</v>
      </c>
      <c r="V300" s="21" t="s">
        <v>3165</v>
      </c>
      <c r="W300" s="21"/>
      <c r="X300">
        <v>0</v>
      </c>
      <c r="Y300">
        <v>0</v>
      </c>
      <c r="AC300" t="s">
        <v>3194</v>
      </c>
      <c r="AD300" t="s">
        <v>3183</v>
      </c>
      <c r="AE300" s="15" t="s">
        <v>3183</v>
      </c>
      <c r="AF300" t="s">
        <v>3183</v>
      </c>
      <c r="AG300">
        <v>35.436273</v>
      </c>
      <c r="AH300">
        <v>-98.355593900000002</v>
      </c>
      <c r="AI300" t="s">
        <v>3195</v>
      </c>
      <c r="AL300" t="s">
        <v>1715</v>
      </c>
      <c r="AM300" t="s">
        <v>63</v>
      </c>
      <c r="AN300" t="s">
        <v>3196</v>
      </c>
      <c r="AO300">
        <v>193685</v>
      </c>
      <c r="AQ300" t="s">
        <v>3197</v>
      </c>
      <c r="AR300" t="s">
        <v>3198</v>
      </c>
      <c r="AS300" t="s">
        <v>3199</v>
      </c>
      <c r="AT300" t="s">
        <v>68</v>
      </c>
      <c r="AV300" t="s">
        <v>3200</v>
      </c>
      <c r="AW300" t="s">
        <v>3201</v>
      </c>
      <c r="AX300" t="s">
        <v>3202</v>
      </c>
      <c r="BA300" s="14" t="e">
        <v>#N/A</v>
      </c>
      <c r="BB300" s="14" t="e">
        <v>#N/A</v>
      </c>
      <c r="BC300" s="14" t="e">
        <v>#N/A</v>
      </c>
    </row>
    <row r="301" spans="1:55" ht="15" customHeight="1" x14ac:dyDescent="0.4">
      <c r="A301" s="12">
        <v>3767</v>
      </c>
      <c r="B301" s="21" t="s">
        <v>5087</v>
      </c>
      <c r="C301" s="13" t="s">
        <v>5088</v>
      </c>
      <c r="D301" s="25" t="s">
        <v>5088</v>
      </c>
      <c r="E301" s="13"/>
      <c r="F301" s="41"/>
      <c r="G301" s="41"/>
      <c r="H301" s="41"/>
      <c r="I301" s="41"/>
      <c r="J301" s="41"/>
      <c r="K301" s="65" t="str">
        <f>IFERROR(VLOOKUP(D301,Sheet4!A$1:M$56,11,FALSE),"")</f>
        <v/>
      </c>
      <c r="L301" s="65" t="str">
        <f t="shared" si="4"/>
        <v/>
      </c>
      <c r="M301" s="14" t="s">
        <v>2222</v>
      </c>
      <c r="N301" s="15">
        <v>44770</v>
      </c>
      <c r="O301" t="s">
        <v>2719</v>
      </c>
      <c r="P301" t="s">
        <v>51</v>
      </c>
      <c r="Q301" t="s">
        <v>52</v>
      </c>
      <c r="R301" t="s">
        <v>53</v>
      </c>
      <c r="S301" t="s">
        <v>871</v>
      </c>
      <c r="T301" t="s">
        <v>5089</v>
      </c>
      <c r="U301" t="s">
        <v>56</v>
      </c>
      <c r="V301" s="21" t="s">
        <v>5090</v>
      </c>
      <c r="W301" s="21"/>
      <c r="X301" t="s">
        <v>5091</v>
      </c>
      <c r="Y301" t="s">
        <v>5092</v>
      </c>
      <c r="AC301" t="s">
        <v>2225</v>
      </c>
      <c r="AE301" s="15"/>
      <c r="AG301">
        <v>42.766748999999997</v>
      </c>
      <c r="AH301">
        <v>-84.385411000000005</v>
      </c>
      <c r="AI301" t="s">
        <v>5093</v>
      </c>
      <c r="AL301" t="s">
        <v>1715</v>
      </c>
      <c r="AM301" t="s">
        <v>63</v>
      </c>
      <c r="AN301" t="s">
        <v>5094</v>
      </c>
      <c r="AO301">
        <v>192616</v>
      </c>
      <c r="AQ301" t="s">
        <v>5095</v>
      </c>
      <c r="AR301" t="s">
        <v>5096</v>
      </c>
      <c r="AS301" t="s">
        <v>5097</v>
      </c>
      <c r="AT301" t="s">
        <v>68</v>
      </c>
      <c r="AV301" t="s">
        <v>5098</v>
      </c>
      <c r="AW301" t="s">
        <v>5099</v>
      </c>
      <c r="AX301" t="s">
        <v>5100</v>
      </c>
      <c r="BA301" s="14" t="s">
        <v>72</v>
      </c>
      <c r="BB301" s="14" t="s">
        <v>73</v>
      </c>
      <c r="BC301" s="14" t="s">
        <v>74</v>
      </c>
    </row>
    <row r="302" spans="1:55" ht="15" customHeight="1" x14ac:dyDescent="0.4">
      <c r="A302" s="12">
        <v>3768</v>
      </c>
      <c r="B302" s="21" t="s">
        <v>5101</v>
      </c>
      <c r="C302" s="13" t="s">
        <v>5102</v>
      </c>
      <c r="D302" s="25" t="s">
        <v>5102</v>
      </c>
      <c r="E302" s="13"/>
      <c r="F302" s="41"/>
      <c r="G302" s="41"/>
      <c r="H302" s="41"/>
      <c r="I302" s="41"/>
      <c r="J302" s="41"/>
      <c r="K302" s="65" t="str">
        <f>IFERROR(VLOOKUP(D302,Sheet4!A$1:M$56,11,FALSE),"")</f>
        <v/>
      </c>
      <c r="L302" s="65" t="str">
        <f t="shared" si="4"/>
        <v/>
      </c>
      <c r="M302" s="14" t="s">
        <v>1878</v>
      </c>
      <c r="N302" s="15">
        <v>44770</v>
      </c>
      <c r="O302" t="s">
        <v>2719</v>
      </c>
      <c r="P302" t="s">
        <v>51</v>
      </c>
      <c r="Q302" t="s">
        <v>52</v>
      </c>
      <c r="R302" t="s">
        <v>53</v>
      </c>
      <c r="S302" t="s">
        <v>871</v>
      </c>
      <c r="T302" t="s">
        <v>5089</v>
      </c>
      <c r="U302" t="s">
        <v>56</v>
      </c>
      <c r="V302" s="21" t="s">
        <v>5090</v>
      </c>
      <c r="W302" s="21"/>
      <c r="X302" t="s">
        <v>5103</v>
      </c>
      <c r="Y302" t="s">
        <v>5104</v>
      </c>
      <c r="AC302" t="s">
        <v>1881</v>
      </c>
      <c r="AE302" s="15"/>
      <c r="AG302">
        <v>42.766618999999999</v>
      </c>
      <c r="AH302">
        <v>-84.385326000000006</v>
      </c>
      <c r="AI302" t="s">
        <v>5105</v>
      </c>
      <c r="AL302" t="s">
        <v>1715</v>
      </c>
      <c r="AM302" t="s">
        <v>63</v>
      </c>
      <c r="AN302" t="s">
        <v>5106</v>
      </c>
      <c r="AO302">
        <v>194210</v>
      </c>
      <c r="AQ302" t="s">
        <v>5107</v>
      </c>
      <c r="AR302" t="s">
        <v>5108</v>
      </c>
      <c r="AS302" t="s">
        <v>5109</v>
      </c>
      <c r="AT302" t="s">
        <v>68</v>
      </c>
      <c r="AV302" t="s">
        <v>5110</v>
      </c>
      <c r="AW302" t="s">
        <v>5111</v>
      </c>
      <c r="AX302" t="s">
        <v>5112</v>
      </c>
      <c r="BA302" s="14" t="s">
        <v>72</v>
      </c>
      <c r="BB302" s="14" t="s">
        <v>73</v>
      </c>
      <c r="BC302" s="14" t="s">
        <v>1723</v>
      </c>
    </row>
    <row r="303" spans="1:55" ht="15" customHeight="1" x14ac:dyDescent="0.4">
      <c r="A303" s="12">
        <v>3769</v>
      </c>
      <c r="B303" s="21" t="s">
        <v>5113</v>
      </c>
      <c r="C303" s="13" t="s">
        <v>5114</v>
      </c>
      <c r="D303" s="25" t="s">
        <v>5114</v>
      </c>
      <c r="E303" s="13"/>
      <c r="F303" s="43" t="s">
        <v>2222</v>
      </c>
      <c r="G303" s="43" t="s">
        <v>8123</v>
      </c>
      <c r="H303" s="43" t="s">
        <v>8101</v>
      </c>
      <c r="I303" s="43"/>
      <c r="J303" s="43"/>
      <c r="K303" s="65" t="str">
        <f>IFERROR(VLOOKUP(D303,Sheet4!A$1:M$56,11,FALSE),"")</f>
        <v>Based on ADMIXTURE results of 78,187 SNPs, trace admixed (Q&lt;0.10) with Quercus macrocarpa</v>
      </c>
      <c r="L303" s="65" t="str">
        <f t="shared" si="4"/>
        <v>Based on ADMIXTURE results of 78,187 SNPs, trace admixed (Q&lt;0.10) with Quercus macrocarpa</v>
      </c>
      <c r="M303" s="14" t="s">
        <v>2222</v>
      </c>
      <c r="N303" s="15">
        <v>44770</v>
      </c>
      <c r="O303" t="s">
        <v>2719</v>
      </c>
      <c r="P303" t="s">
        <v>51</v>
      </c>
      <c r="Q303" t="s">
        <v>52</v>
      </c>
      <c r="R303" t="s">
        <v>53</v>
      </c>
      <c r="S303" t="s">
        <v>871</v>
      </c>
      <c r="T303" t="s">
        <v>5089</v>
      </c>
      <c r="U303" t="s">
        <v>56</v>
      </c>
      <c r="V303" s="21" t="s">
        <v>5090</v>
      </c>
      <c r="W303" s="21"/>
      <c r="X303" t="s">
        <v>5115</v>
      </c>
      <c r="Y303" t="s">
        <v>5116</v>
      </c>
      <c r="AC303" t="s">
        <v>2225</v>
      </c>
      <c r="AE303" s="15"/>
      <c r="AG303">
        <v>42.767558000000001</v>
      </c>
      <c r="AH303">
        <v>-84.384491999999995</v>
      </c>
      <c r="AI303" t="s">
        <v>5068</v>
      </c>
      <c r="AL303" t="s">
        <v>1715</v>
      </c>
      <c r="AM303" t="s">
        <v>63</v>
      </c>
      <c r="AN303" t="s">
        <v>5117</v>
      </c>
      <c r="AO303">
        <v>192614</v>
      </c>
      <c r="AQ303" t="s">
        <v>5118</v>
      </c>
      <c r="AR303" t="s">
        <v>5119</v>
      </c>
      <c r="AS303" t="s">
        <v>5120</v>
      </c>
      <c r="AT303" t="s">
        <v>68</v>
      </c>
      <c r="AV303" t="s">
        <v>5121</v>
      </c>
      <c r="AW303" t="s">
        <v>5122</v>
      </c>
      <c r="AX303" t="s">
        <v>5123</v>
      </c>
      <c r="BA303" s="14" t="s">
        <v>72</v>
      </c>
      <c r="BB303" s="14" t="s">
        <v>73</v>
      </c>
      <c r="BC303" s="14" t="s">
        <v>74</v>
      </c>
    </row>
    <row r="304" spans="1:55" ht="15" customHeight="1" x14ac:dyDescent="0.4">
      <c r="A304" s="12">
        <v>3770</v>
      </c>
      <c r="B304" s="21" t="s">
        <v>5124</v>
      </c>
      <c r="C304" s="13" t="s">
        <v>5125</v>
      </c>
      <c r="D304" s="25" t="s">
        <v>5125</v>
      </c>
      <c r="E304" s="13"/>
      <c r="F304" s="41"/>
      <c r="G304" s="41"/>
      <c r="H304" s="41"/>
      <c r="I304" s="41"/>
      <c r="J304" s="41"/>
      <c r="K304" s="65" t="str">
        <f>IFERROR(VLOOKUP(D304,Sheet4!A$1:M$56,11,FALSE),"")</f>
        <v/>
      </c>
      <c r="L304" s="65" t="str">
        <f t="shared" si="4"/>
        <v/>
      </c>
      <c r="M304" s="14" t="s">
        <v>1878</v>
      </c>
      <c r="N304" s="15">
        <v>44770</v>
      </c>
      <c r="O304" t="s">
        <v>2719</v>
      </c>
      <c r="P304" t="s">
        <v>51</v>
      </c>
      <c r="Q304" t="s">
        <v>52</v>
      </c>
      <c r="R304" t="s">
        <v>53</v>
      </c>
      <c r="S304" t="s">
        <v>871</v>
      </c>
      <c r="T304" t="s">
        <v>5089</v>
      </c>
      <c r="U304" t="s">
        <v>56</v>
      </c>
      <c r="V304" s="21" t="s">
        <v>5090</v>
      </c>
      <c r="W304" s="21"/>
      <c r="X304" t="s">
        <v>5126</v>
      </c>
      <c r="Y304" t="s">
        <v>5127</v>
      </c>
      <c r="AC304" t="s">
        <v>1881</v>
      </c>
      <c r="AE304" s="15"/>
      <c r="AG304">
        <v>42.767026000000001</v>
      </c>
      <c r="AH304">
        <v>-84.384641000000002</v>
      </c>
      <c r="AI304" t="s">
        <v>4975</v>
      </c>
      <c r="AL304" t="s">
        <v>1715</v>
      </c>
      <c r="AM304" t="s">
        <v>63</v>
      </c>
      <c r="AN304" t="s">
        <v>5128</v>
      </c>
      <c r="AO304">
        <v>194211</v>
      </c>
      <c r="AQ304" t="s">
        <v>5129</v>
      </c>
      <c r="AR304" t="s">
        <v>5130</v>
      </c>
      <c r="AS304" t="s">
        <v>5131</v>
      </c>
      <c r="AT304" t="s">
        <v>68</v>
      </c>
      <c r="AV304" t="s">
        <v>5132</v>
      </c>
      <c r="AW304" t="s">
        <v>5133</v>
      </c>
      <c r="AX304" t="s">
        <v>5134</v>
      </c>
      <c r="BA304" s="14" t="s">
        <v>72</v>
      </c>
      <c r="BB304" s="14" t="s">
        <v>73</v>
      </c>
      <c r="BC304" s="14" t="s">
        <v>1723</v>
      </c>
    </row>
    <row r="305" spans="1:55" ht="15" customHeight="1" x14ac:dyDescent="0.4">
      <c r="A305" s="12">
        <v>3771</v>
      </c>
      <c r="B305" s="21" t="s">
        <v>5135</v>
      </c>
      <c r="C305" s="13" t="s">
        <v>5136</v>
      </c>
      <c r="D305" s="25" t="s">
        <v>5136</v>
      </c>
      <c r="E305" s="13"/>
      <c r="F305" s="41"/>
      <c r="G305" s="41"/>
      <c r="H305" s="41"/>
      <c r="I305" s="41"/>
      <c r="J305" s="41"/>
      <c r="K305" s="65" t="str">
        <f>IFERROR(VLOOKUP(D305,Sheet4!A$1:M$56,11,FALSE),"")</f>
        <v/>
      </c>
      <c r="L305" s="65" t="str">
        <f t="shared" si="4"/>
        <v/>
      </c>
      <c r="M305" s="14" t="s">
        <v>2222</v>
      </c>
      <c r="N305" s="15">
        <v>44770</v>
      </c>
      <c r="O305" t="s">
        <v>2719</v>
      </c>
      <c r="P305" t="s">
        <v>51</v>
      </c>
      <c r="Q305" t="s">
        <v>52</v>
      </c>
      <c r="R305" t="s">
        <v>53</v>
      </c>
      <c r="S305" t="s">
        <v>871</v>
      </c>
      <c r="T305" t="s">
        <v>5089</v>
      </c>
      <c r="U305" t="s">
        <v>56</v>
      </c>
      <c r="V305" s="21" t="s">
        <v>5090</v>
      </c>
      <c r="W305" s="21"/>
      <c r="X305" t="s">
        <v>5137</v>
      </c>
      <c r="Y305" t="s">
        <v>5138</v>
      </c>
      <c r="AC305" t="s">
        <v>2225</v>
      </c>
      <c r="AE305" s="15"/>
      <c r="AG305">
        <v>42.766160999999997</v>
      </c>
      <c r="AH305">
        <v>-84.382458999999997</v>
      </c>
      <c r="AI305" t="s">
        <v>5139</v>
      </c>
      <c r="AL305" t="s">
        <v>1715</v>
      </c>
      <c r="AM305" t="s">
        <v>63</v>
      </c>
      <c r="AN305" t="s">
        <v>5140</v>
      </c>
      <c r="AO305">
        <v>192615</v>
      </c>
      <c r="AQ305" t="s">
        <v>5141</v>
      </c>
      <c r="AR305" t="s">
        <v>5142</v>
      </c>
      <c r="AS305" t="s">
        <v>5143</v>
      </c>
      <c r="AT305" t="s">
        <v>68</v>
      </c>
      <c r="AV305" t="s">
        <v>5144</v>
      </c>
      <c r="AW305" t="s">
        <v>5145</v>
      </c>
      <c r="AX305" t="s">
        <v>5146</v>
      </c>
      <c r="BA305" s="14" t="s">
        <v>72</v>
      </c>
      <c r="BB305" s="14" t="s">
        <v>73</v>
      </c>
      <c r="BC305" s="14" t="s">
        <v>74</v>
      </c>
    </row>
    <row r="306" spans="1:55" ht="15" customHeight="1" x14ac:dyDescent="0.4">
      <c r="A306" s="12">
        <v>3772</v>
      </c>
      <c r="B306" s="21" t="s">
        <v>5147</v>
      </c>
      <c r="C306" s="13" t="s">
        <v>5148</v>
      </c>
      <c r="D306" s="25" t="s">
        <v>5148</v>
      </c>
      <c r="E306" s="13"/>
      <c r="F306" s="41"/>
      <c r="G306" s="41"/>
      <c r="H306" s="41"/>
      <c r="I306" s="41"/>
      <c r="J306" s="41"/>
      <c r="K306" s="65" t="str">
        <f>IFERROR(VLOOKUP(D306,Sheet4!A$1:M$56,11,FALSE),"")</f>
        <v/>
      </c>
      <c r="L306" s="65" t="str">
        <f t="shared" si="4"/>
        <v/>
      </c>
      <c r="M306" s="14" t="s">
        <v>1878</v>
      </c>
      <c r="N306" s="15">
        <v>44770</v>
      </c>
      <c r="O306" t="s">
        <v>2719</v>
      </c>
      <c r="P306" t="s">
        <v>51</v>
      </c>
      <c r="Q306" t="s">
        <v>52</v>
      </c>
      <c r="R306" t="s">
        <v>53</v>
      </c>
      <c r="S306" t="s">
        <v>871</v>
      </c>
      <c r="T306" t="s">
        <v>5089</v>
      </c>
      <c r="U306" t="s">
        <v>56</v>
      </c>
      <c r="V306" s="21" t="s">
        <v>5090</v>
      </c>
      <c r="W306" s="21"/>
      <c r="X306" t="s">
        <v>5149</v>
      </c>
      <c r="Y306" t="s">
        <v>5150</v>
      </c>
      <c r="AC306" t="s">
        <v>1881</v>
      </c>
      <c r="AE306" s="15"/>
      <c r="AG306">
        <v>42.766255000000001</v>
      </c>
      <c r="AH306">
        <v>-84.382334999999998</v>
      </c>
      <c r="AI306" t="s">
        <v>5093</v>
      </c>
      <c r="AL306" t="s">
        <v>1715</v>
      </c>
      <c r="AM306" t="s">
        <v>63</v>
      </c>
      <c r="AN306" t="s">
        <v>5151</v>
      </c>
      <c r="AO306">
        <v>194212</v>
      </c>
      <c r="AQ306" t="s">
        <v>5152</v>
      </c>
      <c r="AR306" t="s">
        <v>5153</v>
      </c>
      <c r="AS306" t="s">
        <v>5154</v>
      </c>
      <c r="AT306" t="s">
        <v>68</v>
      </c>
      <c r="AV306" t="s">
        <v>5155</v>
      </c>
      <c r="AW306" t="s">
        <v>5156</v>
      </c>
      <c r="AX306" t="s">
        <v>5157</v>
      </c>
      <c r="BA306" s="14" t="s">
        <v>72</v>
      </c>
      <c r="BB306" s="14" t="s">
        <v>73</v>
      </c>
      <c r="BC306" s="14" t="s">
        <v>1723</v>
      </c>
    </row>
    <row r="307" spans="1:55" ht="15" customHeight="1" x14ac:dyDescent="0.4">
      <c r="A307" s="12">
        <v>3773</v>
      </c>
      <c r="B307" s="21" t="s">
        <v>5158</v>
      </c>
      <c r="C307" s="13" t="s">
        <v>5159</v>
      </c>
      <c r="D307" s="25" t="s">
        <v>5159</v>
      </c>
      <c r="E307" s="13"/>
      <c r="F307" s="43" t="s">
        <v>2222</v>
      </c>
      <c r="G307" s="43" t="s">
        <v>8123</v>
      </c>
      <c r="H307" s="43" t="s">
        <v>8101</v>
      </c>
      <c r="I307" s="43"/>
      <c r="J307" s="43"/>
      <c r="K307" s="65" t="str">
        <f>IFERROR(VLOOKUP(D307,Sheet4!A$1:M$56,11,FALSE),"")</f>
        <v>Based on ADMIXTURE results of 78,187 SNPs, admixed with Quercus macrocarpa</v>
      </c>
      <c r="L307" s="65" t="str">
        <f t="shared" si="4"/>
        <v>Based on ADMIXTURE results of 78,187 SNPs, admixed with Quercus macrocarpa</v>
      </c>
      <c r="M307" s="14" t="s">
        <v>2222</v>
      </c>
      <c r="N307" s="15">
        <v>44770</v>
      </c>
      <c r="O307" t="s">
        <v>2719</v>
      </c>
      <c r="P307" t="s">
        <v>51</v>
      </c>
      <c r="Q307" t="s">
        <v>52</v>
      </c>
      <c r="R307" t="s">
        <v>53</v>
      </c>
      <c r="S307" t="s">
        <v>871</v>
      </c>
      <c r="T307" t="s">
        <v>5089</v>
      </c>
      <c r="U307" t="s">
        <v>56</v>
      </c>
      <c r="V307" s="21" t="s">
        <v>5090</v>
      </c>
      <c r="W307" s="21"/>
      <c r="X307" t="s">
        <v>5160</v>
      </c>
      <c r="Y307" t="s">
        <v>5161</v>
      </c>
      <c r="AC307" t="s">
        <v>2225</v>
      </c>
      <c r="AE307" s="15"/>
      <c r="AG307">
        <v>42.765813999999999</v>
      </c>
      <c r="AH307">
        <v>-84.381325000000004</v>
      </c>
      <c r="AI307" t="s">
        <v>5162</v>
      </c>
      <c r="AL307" t="s">
        <v>1715</v>
      </c>
      <c r="AM307" t="s">
        <v>63</v>
      </c>
      <c r="AN307" t="s">
        <v>5163</v>
      </c>
      <c r="AO307">
        <v>193365</v>
      </c>
      <c r="AQ307" t="s">
        <v>5164</v>
      </c>
      <c r="AR307" t="s">
        <v>5165</v>
      </c>
      <c r="AS307" t="s">
        <v>5166</v>
      </c>
      <c r="AT307" t="s">
        <v>68</v>
      </c>
      <c r="AV307" t="s">
        <v>5167</v>
      </c>
      <c r="AW307" t="s">
        <v>5168</v>
      </c>
      <c r="AX307" t="s">
        <v>5169</v>
      </c>
      <c r="BA307" s="14" t="s">
        <v>72</v>
      </c>
      <c r="BB307" s="14" t="s">
        <v>73</v>
      </c>
      <c r="BC307" s="14" t="s">
        <v>74</v>
      </c>
    </row>
    <row r="308" spans="1:55" ht="15" customHeight="1" x14ac:dyDescent="0.4">
      <c r="A308" s="12">
        <v>3774</v>
      </c>
      <c r="B308" s="21" t="s">
        <v>5170</v>
      </c>
      <c r="C308" s="13" t="s">
        <v>5171</v>
      </c>
      <c r="D308" s="25" t="s">
        <v>5171</v>
      </c>
      <c r="E308" s="13"/>
      <c r="F308" s="41"/>
      <c r="G308" s="41"/>
      <c r="H308" s="41"/>
      <c r="I308" s="41"/>
      <c r="J308" s="41"/>
      <c r="K308" s="65" t="str">
        <f>IFERROR(VLOOKUP(D308,Sheet4!A$1:M$56,11,FALSE),"")</f>
        <v/>
      </c>
      <c r="L308" s="65" t="str">
        <f t="shared" si="4"/>
        <v/>
      </c>
      <c r="M308" s="14" t="s">
        <v>1878</v>
      </c>
      <c r="N308" s="15">
        <v>44770</v>
      </c>
      <c r="O308" t="s">
        <v>2719</v>
      </c>
      <c r="P308" t="s">
        <v>51</v>
      </c>
      <c r="Q308" t="s">
        <v>52</v>
      </c>
      <c r="R308" t="s">
        <v>53</v>
      </c>
      <c r="S308" t="s">
        <v>871</v>
      </c>
      <c r="T308" t="s">
        <v>5089</v>
      </c>
      <c r="U308" t="s">
        <v>56</v>
      </c>
      <c r="V308" s="21" t="s">
        <v>5090</v>
      </c>
      <c r="W308" s="21"/>
      <c r="X308" t="s">
        <v>5172</v>
      </c>
      <c r="Y308" t="s">
        <v>5173</v>
      </c>
      <c r="AB308" t="s">
        <v>1758</v>
      </c>
      <c r="AC308" t="s">
        <v>1881</v>
      </c>
      <c r="AE308" s="15"/>
      <c r="AG308">
        <v>42.765597999999997</v>
      </c>
      <c r="AH308">
        <v>-84.378050000000002</v>
      </c>
      <c r="AI308" t="s">
        <v>3862</v>
      </c>
      <c r="AL308" t="s">
        <v>1715</v>
      </c>
      <c r="AM308" t="s">
        <v>63</v>
      </c>
      <c r="AN308" t="s">
        <v>5174</v>
      </c>
      <c r="AO308">
        <v>194213</v>
      </c>
      <c r="AQ308" t="s">
        <v>5175</v>
      </c>
      <c r="AR308" t="s">
        <v>5176</v>
      </c>
      <c r="AS308" t="s">
        <v>5177</v>
      </c>
      <c r="AT308" t="s">
        <v>68</v>
      </c>
      <c r="AV308" t="s">
        <v>5178</v>
      </c>
      <c r="AW308" t="s">
        <v>5179</v>
      </c>
      <c r="AX308" t="s">
        <v>5180</v>
      </c>
      <c r="BA308" s="14" t="s">
        <v>72</v>
      </c>
      <c r="BB308" s="14" t="s">
        <v>73</v>
      </c>
      <c r="BC308" s="14" t="s">
        <v>1723</v>
      </c>
    </row>
    <row r="309" spans="1:55" ht="15" customHeight="1" x14ac:dyDescent="0.4">
      <c r="A309" s="12">
        <v>3775</v>
      </c>
      <c r="B309" s="21" t="s">
        <v>5181</v>
      </c>
      <c r="C309" s="13" t="s">
        <v>5182</v>
      </c>
      <c r="D309" s="25" t="s">
        <v>5182</v>
      </c>
      <c r="E309" s="13"/>
      <c r="F309" s="41"/>
      <c r="G309" s="41"/>
      <c r="H309" s="41"/>
      <c r="I309" s="41"/>
      <c r="J309" s="41"/>
      <c r="K309" s="65" t="str">
        <f>IFERROR(VLOOKUP(D309,Sheet4!A$1:M$56,11,FALSE),"")</f>
        <v/>
      </c>
      <c r="L309" s="65" t="str">
        <f t="shared" si="4"/>
        <v/>
      </c>
      <c r="M309" s="14" t="s">
        <v>2222</v>
      </c>
      <c r="N309" s="15">
        <v>44770</v>
      </c>
      <c r="O309" t="s">
        <v>2719</v>
      </c>
      <c r="P309" t="s">
        <v>51</v>
      </c>
      <c r="Q309" t="s">
        <v>52</v>
      </c>
      <c r="R309" t="s">
        <v>53</v>
      </c>
      <c r="S309" t="s">
        <v>871</v>
      </c>
      <c r="T309" t="s">
        <v>5089</v>
      </c>
      <c r="U309" t="s">
        <v>56</v>
      </c>
      <c r="V309" s="21" t="s">
        <v>5090</v>
      </c>
      <c r="W309" s="21"/>
      <c r="X309" t="s">
        <v>5183</v>
      </c>
      <c r="Y309" t="s">
        <v>5184</v>
      </c>
      <c r="AC309" t="s">
        <v>2225</v>
      </c>
      <c r="AE309" s="15"/>
      <c r="AG309">
        <v>42.765287000000001</v>
      </c>
      <c r="AH309">
        <v>-84.382497000000001</v>
      </c>
      <c r="AI309" t="s">
        <v>5185</v>
      </c>
      <c r="AL309" t="s">
        <v>1715</v>
      </c>
      <c r="AM309" t="s">
        <v>63</v>
      </c>
      <c r="AN309" t="s">
        <v>5186</v>
      </c>
      <c r="AO309">
        <v>192606</v>
      </c>
      <c r="AQ309" t="s">
        <v>5187</v>
      </c>
      <c r="AR309" t="s">
        <v>5188</v>
      </c>
      <c r="AS309" t="s">
        <v>5189</v>
      </c>
      <c r="AT309" t="s">
        <v>68</v>
      </c>
      <c r="AV309" t="s">
        <v>5190</v>
      </c>
      <c r="AW309" t="s">
        <v>5191</v>
      </c>
      <c r="AX309" t="s">
        <v>5192</v>
      </c>
      <c r="BA309" s="14" t="s">
        <v>72</v>
      </c>
      <c r="BB309" s="14" t="s">
        <v>73</v>
      </c>
      <c r="BC309" s="14" t="s">
        <v>74</v>
      </c>
    </row>
    <row r="310" spans="1:55" ht="15" customHeight="1" x14ac:dyDescent="0.4">
      <c r="A310" s="12">
        <v>3776</v>
      </c>
      <c r="B310" s="21" t="s">
        <v>5193</v>
      </c>
      <c r="C310" s="13" t="s">
        <v>5194</v>
      </c>
      <c r="D310" s="25" t="s">
        <v>5194</v>
      </c>
      <c r="E310" s="13"/>
      <c r="F310" s="41"/>
      <c r="G310" s="41"/>
      <c r="H310" s="41"/>
      <c r="I310" s="41"/>
      <c r="J310" s="41"/>
      <c r="K310" s="65" t="str">
        <f>IFERROR(VLOOKUP(D310,Sheet4!A$1:M$56,11,FALSE),"")</f>
        <v/>
      </c>
      <c r="L310" s="65" t="str">
        <f t="shared" si="4"/>
        <v/>
      </c>
      <c r="M310" s="14" t="s">
        <v>1878</v>
      </c>
      <c r="N310" s="15">
        <v>44770</v>
      </c>
      <c r="O310" t="s">
        <v>2719</v>
      </c>
      <c r="P310" t="s">
        <v>51</v>
      </c>
      <c r="Q310" t="s">
        <v>52</v>
      </c>
      <c r="R310" t="s">
        <v>53</v>
      </c>
      <c r="S310" t="s">
        <v>871</v>
      </c>
      <c r="T310" t="s">
        <v>5089</v>
      </c>
      <c r="U310" t="s">
        <v>56</v>
      </c>
      <c r="V310" s="21" t="s">
        <v>5090</v>
      </c>
      <c r="W310" s="21"/>
      <c r="X310" t="s">
        <v>5195</v>
      </c>
      <c r="Y310" t="s">
        <v>5196</v>
      </c>
      <c r="AC310" t="s">
        <v>1881</v>
      </c>
      <c r="AE310" s="15"/>
      <c r="AG310">
        <v>42.765120000000003</v>
      </c>
      <c r="AH310">
        <v>-84.382422000000005</v>
      </c>
      <c r="AI310" t="s">
        <v>3031</v>
      </c>
      <c r="AL310" t="s">
        <v>1715</v>
      </c>
      <c r="AM310" t="s">
        <v>63</v>
      </c>
      <c r="AN310" t="s">
        <v>5197</v>
      </c>
      <c r="AO310">
        <v>194214</v>
      </c>
      <c r="AQ310" t="s">
        <v>5198</v>
      </c>
      <c r="AR310" t="s">
        <v>5199</v>
      </c>
      <c r="AS310" t="s">
        <v>5200</v>
      </c>
      <c r="AT310" t="s">
        <v>68</v>
      </c>
      <c r="AV310" t="s">
        <v>5201</v>
      </c>
      <c r="AW310" t="s">
        <v>5202</v>
      </c>
      <c r="AX310" t="s">
        <v>5203</v>
      </c>
      <c r="BA310" s="14" t="s">
        <v>72</v>
      </c>
      <c r="BB310" s="14" t="s">
        <v>73</v>
      </c>
      <c r="BC310" s="14" t="s">
        <v>1723</v>
      </c>
    </row>
    <row r="311" spans="1:55" ht="15" customHeight="1" x14ac:dyDescent="0.4">
      <c r="A311" s="12">
        <v>3777</v>
      </c>
      <c r="B311" s="21" t="s">
        <v>5204</v>
      </c>
      <c r="C311" s="13" t="s">
        <v>5205</v>
      </c>
      <c r="D311" s="25" t="s">
        <v>5205</v>
      </c>
      <c r="E311" s="13"/>
      <c r="F311" s="41"/>
      <c r="G311" s="41"/>
      <c r="H311" s="41"/>
      <c r="I311" s="41"/>
      <c r="J311" s="41"/>
      <c r="K311" s="65" t="str">
        <f>IFERROR(VLOOKUP(D311,Sheet4!A$1:M$56,11,FALSE),"")</f>
        <v>Based on ADMIXTURE results of 78,187 SNPs, may be trace admixed with Quercus bicolor</v>
      </c>
      <c r="L311" s="65" t="str">
        <f t="shared" si="4"/>
        <v>Based on ADMIXTURE results of 78,187 SNPs, may be trace admixed with Quercus bicolor</v>
      </c>
      <c r="M311" s="14" t="s">
        <v>49</v>
      </c>
      <c r="N311" s="15">
        <v>44770</v>
      </c>
      <c r="O311" t="s">
        <v>2719</v>
      </c>
      <c r="P311" t="s">
        <v>51</v>
      </c>
      <c r="Q311" t="s">
        <v>52</v>
      </c>
      <c r="R311" t="s">
        <v>53</v>
      </c>
      <c r="S311" t="s">
        <v>871</v>
      </c>
      <c r="T311" t="s">
        <v>5089</v>
      </c>
      <c r="U311" t="s">
        <v>56</v>
      </c>
      <c r="V311" s="21" t="s">
        <v>5090</v>
      </c>
      <c r="W311" s="21"/>
      <c r="X311" t="s">
        <v>5206</v>
      </c>
      <c r="Y311" t="s">
        <v>5207</v>
      </c>
      <c r="AB311" t="s">
        <v>2321</v>
      </c>
      <c r="AC311" t="s">
        <v>60</v>
      </c>
      <c r="AE311" s="15"/>
      <c r="AG311">
        <v>42.765065999999997</v>
      </c>
      <c r="AH311">
        <v>-84.389009000000001</v>
      </c>
      <c r="AI311" t="s">
        <v>5208</v>
      </c>
      <c r="AL311" t="s">
        <v>1715</v>
      </c>
      <c r="AM311" t="s">
        <v>63</v>
      </c>
      <c r="AN311" t="s">
        <v>5209</v>
      </c>
      <c r="AO311">
        <v>194458</v>
      </c>
      <c r="AQ311" t="s">
        <v>5210</v>
      </c>
      <c r="AR311" t="s">
        <v>5211</v>
      </c>
      <c r="AS311" t="s">
        <v>5212</v>
      </c>
      <c r="AT311" t="s">
        <v>68</v>
      </c>
      <c r="AV311" t="s">
        <v>5213</v>
      </c>
      <c r="AW311" t="s">
        <v>5214</v>
      </c>
      <c r="AX311" t="s">
        <v>5215</v>
      </c>
      <c r="BA311" s="14" t="s">
        <v>72</v>
      </c>
      <c r="BB311" s="14" t="s">
        <v>73</v>
      </c>
      <c r="BC311" s="14" t="s">
        <v>74</v>
      </c>
    </row>
    <row r="312" spans="1:55" ht="15" customHeight="1" x14ac:dyDescent="0.4">
      <c r="A312" s="12">
        <v>3748</v>
      </c>
      <c r="B312" s="21" t="s">
        <v>4862</v>
      </c>
      <c r="C312" s="13" t="s">
        <v>4863</v>
      </c>
      <c r="D312" s="25" t="s">
        <v>4863</v>
      </c>
      <c r="E312" s="13"/>
      <c r="F312" s="41"/>
      <c r="G312" s="41"/>
      <c r="H312" s="41"/>
      <c r="I312" s="41"/>
      <c r="J312" s="41"/>
      <c r="K312" s="65" t="str">
        <f>IFERROR(VLOOKUP(D312,Sheet4!A$1:M$56,11,FALSE),"")</f>
        <v/>
      </c>
      <c r="L312" s="65" t="str">
        <f t="shared" si="4"/>
        <v/>
      </c>
      <c r="M312" s="14" t="s">
        <v>3090</v>
      </c>
      <c r="N312" s="15">
        <v>44769</v>
      </c>
      <c r="O312" t="s">
        <v>2719</v>
      </c>
      <c r="P312" t="s">
        <v>51</v>
      </c>
      <c r="Q312" t="s">
        <v>52</v>
      </c>
      <c r="R312" t="s">
        <v>53</v>
      </c>
      <c r="S312" t="s">
        <v>871</v>
      </c>
      <c r="T312" t="s">
        <v>4864</v>
      </c>
      <c r="U312" t="s">
        <v>56</v>
      </c>
      <c r="V312" s="21" t="s">
        <v>4865</v>
      </c>
      <c r="W312" s="21"/>
      <c r="X312" t="s">
        <v>4866</v>
      </c>
      <c r="Y312" t="s">
        <v>4867</v>
      </c>
      <c r="AC312" t="s">
        <v>3096</v>
      </c>
      <c r="AE312" s="15"/>
      <c r="AG312">
        <v>42.413184000000001</v>
      </c>
      <c r="AH312">
        <v>-83.988669000000002</v>
      </c>
      <c r="AI312" t="s">
        <v>4868</v>
      </c>
      <c r="AL312" t="s">
        <v>1715</v>
      </c>
      <c r="AM312" t="s">
        <v>63</v>
      </c>
      <c r="AN312" t="s">
        <v>4869</v>
      </c>
      <c r="AO312">
        <v>194559</v>
      </c>
      <c r="AQ312" t="s">
        <v>4870</v>
      </c>
      <c r="AR312" t="s">
        <v>4871</v>
      </c>
      <c r="AS312" t="s">
        <v>4872</v>
      </c>
      <c r="AT312" t="s">
        <v>68</v>
      </c>
      <c r="AV312" t="s">
        <v>4873</v>
      </c>
      <c r="AW312" t="s">
        <v>4874</v>
      </c>
      <c r="AX312" t="s">
        <v>4875</v>
      </c>
      <c r="BA312" s="14" t="s">
        <v>72</v>
      </c>
      <c r="BB312" s="14" t="s">
        <v>73</v>
      </c>
      <c r="BC312" s="14" t="s">
        <v>74</v>
      </c>
    </row>
    <row r="313" spans="1:55" ht="15" customHeight="1" x14ac:dyDescent="0.4">
      <c r="A313" s="12">
        <v>3749</v>
      </c>
      <c r="B313" s="21" t="s">
        <v>4876</v>
      </c>
      <c r="C313" s="13" t="s">
        <v>4877</v>
      </c>
      <c r="D313" s="25" t="s">
        <v>4877</v>
      </c>
      <c r="E313" s="13"/>
      <c r="F313" s="41"/>
      <c r="G313" s="41"/>
      <c r="H313" s="41"/>
      <c r="I313" s="41"/>
      <c r="J313" s="41"/>
      <c r="K313" s="65" t="str">
        <f>IFERROR(VLOOKUP(D313,Sheet4!A$1:M$56,11,FALSE),"")</f>
        <v/>
      </c>
      <c r="L313" s="65" t="str">
        <f t="shared" si="4"/>
        <v/>
      </c>
      <c r="M313" s="14" t="s">
        <v>3090</v>
      </c>
      <c r="N313" s="15">
        <v>44769</v>
      </c>
      <c r="O313" t="s">
        <v>2719</v>
      </c>
      <c r="P313" t="s">
        <v>51</v>
      </c>
      <c r="Q313" t="s">
        <v>52</v>
      </c>
      <c r="R313" t="s">
        <v>53</v>
      </c>
      <c r="S313" t="s">
        <v>871</v>
      </c>
      <c r="T313" t="s">
        <v>4864</v>
      </c>
      <c r="U313" t="s">
        <v>56</v>
      </c>
      <c r="V313" s="21" t="s">
        <v>4865</v>
      </c>
      <c r="W313" s="21"/>
      <c r="X313" t="s">
        <v>4878</v>
      </c>
      <c r="Y313" t="s">
        <v>4879</v>
      </c>
      <c r="AB313" t="s">
        <v>1758</v>
      </c>
      <c r="AC313" t="s">
        <v>3096</v>
      </c>
      <c r="AE313" s="15"/>
      <c r="AG313">
        <v>42.412661</v>
      </c>
      <c r="AH313">
        <v>-83.988339999999994</v>
      </c>
      <c r="AI313" t="s">
        <v>4880</v>
      </c>
      <c r="AL313" t="s">
        <v>1715</v>
      </c>
      <c r="AM313" t="s">
        <v>63</v>
      </c>
      <c r="AN313" t="s">
        <v>4881</v>
      </c>
      <c r="AO313">
        <v>194558</v>
      </c>
      <c r="AQ313" t="s">
        <v>4882</v>
      </c>
      <c r="AR313" t="s">
        <v>4883</v>
      </c>
      <c r="AS313" t="s">
        <v>4884</v>
      </c>
      <c r="AT313" t="s">
        <v>68</v>
      </c>
      <c r="AV313" t="s">
        <v>4885</v>
      </c>
      <c r="AW313" t="s">
        <v>4886</v>
      </c>
      <c r="AX313" t="s">
        <v>4887</v>
      </c>
      <c r="BA313" s="14" t="s">
        <v>72</v>
      </c>
      <c r="BB313" s="14" t="s">
        <v>73</v>
      </c>
      <c r="BC313" s="14" t="s">
        <v>74</v>
      </c>
    </row>
    <row r="314" spans="1:55" ht="15" customHeight="1" x14ac:dyDescent="0.4">
      <c r="A314" s="12">
        <v>3750</v>
      </c>
      <c r="B314" s="21" t="s">
        <v>4888</v>
      </c>
      <c r="C314" s="13" t="s">
        <v>4889</v>
      </c>
      <c r="D314" s="25" t="s">
        <v>4889</v>
      </c>
      <c r="E314" s="13"/>
      <c r="F314" s="41"/>
      <c r="G314" s="41"/>
      <c r="H314" s="41"/>
      <c r="I314" s="41"/>
      <c r="J314" s="41"/>
      <c r="K314" s="65" t="str">
        <f>IFERROR(VLOOKUP(D314,Sheet4!A$1:M$56,11,FALSE),"")</f>
        <v/>
      </c>
      <c r="L314" s="65" t="str">
        <f t="shared" si="4"/>
        <v/>
      </c>
      <c r="M314" s="14" t="s">
        <v>3090</v>
      </c>
      <c r="N314" s="15">
        <v>44769</v>
      </c>
      <c r="O314" t="s">
        <v>2719</v>
      </c>
      <c r="P314" t="s">
        <v>51</v>
      </c>
      <c r="Q314" t="s">
        <v>52</v>
      </c>
      <c r="R314" t="s">
        <v>53</v>
      </c>
      <c r="S314" t="s">
        <v>871</v>
      </c>
      <c r="T314" t="s">
        <v>4864</v>
      </c>
      <c r="U314" t="s">
        <v>56</v>
      </c>
      <c r="V314" s="21" t="s">
        <v>4865</v>
      </c>
      <c r="W314" s="21"/>
      <c r="X314" t="s">
        <v>4890</v>
      </c>
      <c r="Y314" t="s">
        <v>4891</v>
      </c>
      <c r="AB314" t="s">
        <v>1758</v>
      </c>
      <c r="AC314" t="s">
        <v>3096</v>
      </c>
      <c r="AE314" s="15"/>
      <c r="AG314">
        <v>42.412246000000003</v>
      </c>
      <c r="AH314">
        <v>-83.988105000000004</v>
      </c>
      <c r="AI314" t="s">
        <v>4892</v>
      </c>
      <c r="AL314" t="s">
        <v>1715</v>
      </c>
      <c r="AM314" t="s">
        <v>63</v>
      </c>
      <c r="AN314" t="s">
        <v>4893</v>
      </c>
      <c r="AO314">
        <v>194557</v>
      </c>
      <c r="AQ314" t="s">
        <v>4894</v>
      </c>
      <c r="AR314" t="s">
        <v>4895</v>
      </c>
      <c r="AS314" t="s">
        <v>4896</v>
      </c>
      <c r="AT314" t="s">
        <v>68</v>
      </c>
      <c r="AV314" t="s">
        <v>4897</v>
      </c>
      <c r="AW314" t="s">
        <v>4898</v>
      </c>
      <c r="AX314" t="s">
        <v>4899</v>
      </c>
      <c r="BA314" s="14" t="s">
        <v>72</v>
      </c>
      <c r="BB314" s="14" t="s">
        <v>73</v>
      </c>
      <c r="BC314" s="14" t="s">
        <v>74</v>
      </c>
    </row>
    <row r="315" spans="1:55" ht="15" customHeight="1" x14ac:dyDescent="0.4">
      <c r="A315" s="12">
        <v>3751</v>
      </c>
      <c r="B315" s="21" t="s">
        <v>4900</v>
      </c>
      <c r="C315" s="13" t="s">
        <v>4901</v>
      </c>
      <c r="D315" s="25" t="s">
        <v>4901</v>
      </c>
      <c r="E315" s="13"/>
      <c r="F315" s="41"/>
      <c r="G315" s="41"/>
      <c r="H315" s="41"/>
      <c r="I315" s="41"/>
      <c r="J315" s="41"/>
      <c r="K315" s="65" t="str">
        <f>IFERROR(VLOOKUP(D315,Sheet4!A$1:M$56,11,FALSE),"")</f>
        <v/>
      </c>
      <c r="L315" s="65" t="str">
        <f t="shared" si="4"/>
        <v/>
      </c>
      <c r="M315" s="14" t="s">
        <v>3090</v>
      </c>
      <c r="N315" s="15">
        <v>44769</v>
      </c>
      <c r="O315" t="s">
        <v>2719</v>
      </c>
      <c r="P315" t="s">
        <v>51</v>
      </c>
      <c r="Q315" t="s">
        <v>52</v>
      </c>
      <c r="R315" t="s">
        <v>53</v>
      </c>
      <c r="S315" t="s">
        <v>871</v>
      </c>
      <c r="T315" t="s">
        <v>4864</v>
      </c>
      <c r="U315" t="s">
        <v>56</v>
      </c>
      <c r="V315" s="21" t="s">
        <v>4865</v>
      </c>
      <c r="W315" s="21"/>
      <c r="X315" t="s">
        <v>4902</v>
      </c>
      <c r="Y315" t="s">
        <v>4903</v>
      </c>
      <c r="AB315" t="s">
        <v>1758</v>
      </c>
      <c r="AC315" t="s">
        <v>3096</v>
      </c>
      <c r="AE315" s="15"/>
      <c r="AG315">
        <v>42.411929999999998</v>
      </c>
      <c r="AH315">
        <v>-83.987283000000005</v>
      </c>
      <c r="AI315" t="s">
        <v>4904</v>
      </c>
      <c r="AL315" t="s">
        <v>1715</v>
      </c>
      <c r="AM315" t="s">
        <v>63</v>
      </c>
      <c r="AN315" t="s">
        <v>4905</v>
      </c>
      <c r="AO315">
        <v>194556</v>
      </c>
      <c r="AQ315" t="s">
        <v>4906</v>
      </c>
      <c r="AR315" t="s">
        <v>4907</v>
      </c>
      <c r="AS315" t="s">
        <v>4908</v>
      </c>
      <c r="AT315" t="s">
        <v>68</v>
      </c>
      <c r="AV315" t="s">
        <v>4909</v>
      </c>
      <c r="AW315" t="s">
        <v>4910</v>
      </c>
      <c r="AX315" t="s">
        <v>4911</v>
      </c>
      <c r="BA315" s="14" t="s">
        <v>72</v>
      </c>
      <c r="BB315" s="14" t="s">
        <v>73</v>
      </c>
      <c r="BC315" s="14" t="s">
        <v>74</v>
      </c>
    </row>
    <row r="316" spans="1:55" ht="15" customHeight="1" x14ac:dyDescent="0.4">
      <c r="A316" s="12">
        <v>3752</v>
      </c>
      <c r="B316" s="21" t="s">
        <v>4912</v>
      </c>
      <c r="C316" s="13" t="s">
        <v>4913</v>
      </c>
      <c r="D316" s="25" t="s">
        <v>4913</v>
      </c>
      <c r="E316" s="13"/>
      <c r="F316" s="41"/>
      <c r="G316" s="41"/>
      <c r="H316" s="41"/>
      <c r="I316" s="41"/>
      <c r="J316" s="41"/>
      <c r="K316" s="65" t="str">
        <f>IFERROR(VLOOKUP(D316,Sheet4!A$1:M$56,11,FALSE),"")</f>
        <v/>
      </c>
      <c r="L316" s="65" t="str">
        <f t="shared" si="4"/>
        <v/>
      </c>
      <c r="M316" s="14" t="s">
        <v>1878</v>
      </c>
      <c r="N316" s="15">
        <v>44769</v>
      </c>
      <c r="O316" t="s">
        <v>2719</v>
      </c>
      <c r="P316" t="s">
        <v>51</v>
      </c>
      <c r="Q316" t="s">
        <v>52</v>
      </c>
      <c r="R316" t="s">
        <v>53</v>
      </c>
      <c r="S316" t="s">
        <v>871</v>
      </c>
      <c r="T316" t="s">
        <v>4864</v>
      </c>
      <c r="U316" t="s">
        <v>56</v>
      </c>
      <c r="V316" s="21" t="s">
        <v>4865</v>
      </c>
      <c r="W316" s="21"/>
      <c r="X316" t="s">
        <v>4914</v>
      </c>
      <c r="Y316" t="s">
        <v>4915</v>
      </c>
      <c r="AC316" t="s">
        <v>1881</v>
      </c>
      <c r="AE316" s="15"/>
      <c r="AG316">
        <v>42.411619999999999</v>
      </c>
      <c r="AH316">
        <v>-83.985316999999995</v>
      </c>
      <c r="AI316" t="s">
        <v>4916</v>
      </c>
      <c r="AL316" t="s">
        <v>1715</v>
      </c>
      <c r="AM316" t="s">
        <v>63</v>
      </c>
      <c r="AN316" t="s">
        <v>4917</v>
      </c>
      <c r="AO316">
        <v>192536</v>
      </c>
      <c r="AQ316" t="s">
        <v>4918</v>
      </c>
      <c r="AR316" t="s">
        <v>4919</v>
      </c>
      <c r="AS316" t="s">
        <v>4920</v>
      </c>
      <c r="AT316" t="s">
        <v>68</v>
      </c>
      <c r="AV316" t="s">
        <v>4921</v>
      </c>
      <c r="AW316" t="s">
        <v>4922</v>
      </c>
      <c r="AX316" t="s">
        <v>4923</v>
      </c>
      <c r="BA316" s="14" t="s">
        <v>72</v>
      </c>
      <c r="BB316" s="14" t="s">
        <v>73</v>
      </c>
      <c r="BC316" s="14" t="s">
        <v>1723</v>
      </c>
    </row>
    <row r="317" spans="1:55" ht="15" customHeight="1" x14ac:dyDescent="0.4">
      <c r="A317" s="12">
        <v>3753</v>
      </c>
      <c r="B317" s="21" t="s">
        <v>4924</v>
      </c>
      <c r="C317" s="13" t="s">
        <v>4925</v>
      </c>
      <c r="D317" s="25" t="s">
        <v>4925</v>
      </c>
      <c r="E317" s="13"/>
      <c r="F317" s="41"/>
      <c r="G317" s="41"/>
      <c r="H317" s="41"/>
      <c r="I317" s="41"/>
      <c r="J317" s="41" t="s">
        <v>8179</v>
      </c>
      <c r="K317" s="65" t="str">
        <f>IFERROR(VLOOKUP(D317,Sheet4!A$1:M$56,11,FALSE),"")</f>
        <v/>
      </c>
      <c r="L317" s="65" t="str">
        <f t="shared" si="4"/>
        <v>May have genomic admixture with Q. muehlenbergii</v>
      </c>
      <c r="M317" s="14" t="s">
        <v>3090</v>
      </c>
      <c r="N317" s="15">
        <v>44769</v>
      </c>
      <c r="O317" t="s">
        <v>2719</v>
      </c>
      <c r="P317" t="s">
        <v>51</v>
      </c>
      <c r="Q317" t="s">
        <v>52</v>
      </c>
      <c r="R317" t="s">
        <v>53</v>
      </c>
      <c r="S317" t="s">
        <v>871</v>
      </c>
      <c r="T317" t="s">
        <v>4864</v>
      </c>
      <c r="U317" t="s">
        <v>56</v>
      </c>
      <c r="V317" s="21" t="s">
        <v>4865</v>
      </c>
      <c r="W317" s="21"/>
      <c r="X317" t="s">
        <v>4926</v>
      </c>
      <c r="Y317" t="s">
        <v>4927</v>
      </c>
      <c r="AC317" t="s">
        <v>3096</v>
      </c>
      <c r="AE317" s="15"/>
      <c r="AG317">
        <v>42.411672000000003</v>
      </c>
      <c r="AH317">
        <v>-83.985433</v>
      </c>
      <c r="AI317" t="s">
        <v>4928</v>
      </c>
      <c r="AL317" t="s">
        <v>1715</v>
      </c>
      <c r="AM317" t="s">
        <v>63</v>
      </c>
      <c r="AN317" t="s">
        <v>4929</v>
      </c>
      <c r="AO317">
        <v>194555</v>
      </c>
      <c r="AQ317" t="s">
        <v>4930</v>
      </c>
      <c r="AR317" t="s">
        <v>4931</v>
      </c>
      <c r="AS317" t="s">
        <v>4932</v>
      </c>
      <c r="AT317" t="s">
        <v>68</v>
      </c>
      <c r="AV317" t="s">
        <v>4933</v>
      </c>
      <c r="AW317" t="s">
        <v>4934</v>
      </c>
      <c r="AX317" t="s">
        <v>4935</v>
      </c>
      <c r="BA317" s="14" t="s">
        <v>72</v>
      </c>
      <c r="BB317" s="14" t="s">
        <v>73</v>
      </c>
      <c r="BC317" s="14" t="s">
        <v>74</v>
      </c>
    </row>
    <row r="318" spans="1:55" ht="15" customHeight="1" x14ac:dyDescent="0.4">
      <c r="A318" s="12">
        <v>3754</v>
      </c>
      <c r="B318" s="21" t="s">
        <v>4936</v>
      </c>
      <c r="C318" s="13" t="s">
        <v>4937</v>
      </c>
      <c r="D318" s="25" t="s">
        <v>4937</v>
      </c>
      <c r="E318" s="13"/>
      <c r="F318" s="41"/>
      <c r="G318" s="41"/>
      <c r="H318" s="41"/>
      <c r="I318" s="41"/>
      <c r="J318" s="41"/>
      <c r="K318" s="65" t="str">
        <f>IFERROR(VLOOKUP(D318,Sheet4!A$1:M$56,11,FALSE),"")</f>
        <v/>
      </c>
      <c r="L318" s="65" t="str">
        <f t="shared" si="4"/>
        <v/>
      </c>
      <c r="M318" s="14" t="s">
        <v>1878</v>
      </c>
      <c r="N318" s="15">
        <v>44769</v>
      </c>
      <c r="O318" t="s">
        <v>2719</v>
      </c>
      <c r="P318" t="s">
        <v>51</v>
      </c>
      <c r="Q318" t="s">
        <v>52</v>
      </c>
      <c r="R318" t="s">
        <v>53</v>
      </c>
      <c r="S318" t="s">
        <v>871</v>
      </c>
      <c r="T318" t="s">
        <v>4864</v>
      </c>
      <c r="U318" t="s">
        <v>56</v>
      </c>
      <c r="V318" s="21" t="s">
        <v>4865</v>
      </c>
      <c r="W318" s="21"/>
      <c r="X318" t="s">
        <v>4938</v>
      </c>
      <c r="Y318" t="s">
        <v>4939</v>
      </c>
      <c r="AC318" t="s">
        <v>1881</v>
      </c>
      <c r="AE318" s="15"/>
      <c r="AG318">
        <v>42.411777000000001</v>
      </c>
      <c r="AH318">
        <v>-83.984634999999997</v>
      </c>
      <c r="AI318" t="s">
        <v>4940</v>
      </c>
      <c r="AL318" t="s">
        <v>1715</v>
      </c>
      <c r="AM318" t="s">
        <v>63</v>
      </c>
      <c r="AN318" t="s">
        <v>4941</v>
      </c>
      <c r="AO318">
        <v>192534</v>
      </c>
      <c r="AQ318" t="s">
        <v>4942</v>
      </c>
      <c r="AR318" t="s">
        <v>4943</v>
      </c>
      <c r="AS318" t="s">
        <v>4944</v>
      </c>
      <c r="AT318" t="s">
        <v>68</v>
      </c>
      <c r="AV318" t="s">
        <v>4945</v>
      </c>
      <c r="AW318" t="s">
        <v>4946</v>
      </c>
      <c r="AX318" t="s">
        <v>4947</v>
      </c>
      <c r="BA318" s="14" t="s">
        <v>72</v>
      </c>
      <c r="BB318" s="14" t="s">
        <v>73</v>
      </c>
      <c r="BC318" s="14" t="s">
        <v>1723</v>
      </c>
    </row>
    <row r="319" spans="1:55" ht="15" customHeight="1" x14ac:dyDescent="0.4">
      <c r="A319" s="12">
        <v>3755</v>
      </c>
      <c r="B319" s="21" t="s">
        <v>4948</v>
      </c>
      <c r="C319" s="13" t="s">
        <v>4949</v>
      </c>
      <c r="D319" s="25" t="s">
        <v>4949</v>
      </c>
      <c r="E319" s="13"/>
      <c r="F319" s="41"/>
      <c r="G319" s="41"/>
      <c r="H319" s="41"/>
      <c r="I319" s="41"/>
      <c r="J319" s="41"/>
      <c r="K319" s="65" t="str">
        <f>IFERROR(VLOOKUP(D319,Sheet4!A$1:M$56,11,FALSE),"")</f>
        <v/>
      </c>
      <c r="L319" s="65" t="str">
        <f t="shared" si="4"/>
        <v/>
      </c>
      <c r="M319" s="14" t="s">
        <v>1878</v>
      </c>
      <c r="N319" s="15">
        <v>44769</v>
      </c>
      <c r="O319" t="s">
        <v>2719</v>
      </c>
      <c r="P319" t="s">
        <v>51</v>
      </c>
      <c r="Q319" t="s">
        <v>52</v>
      </c>
      <c r="R319" t="s">
        <v>53</v>
      </c>
      <c r="S319" t="s">
        <v>871</v>
      </c>
      <c r="T319" t="s">
        <v>4864</v>
      </c>
      <c r="U319" t="s">
        <v>56</v>
      </c>
      <c r="V319" s="21" t="s">
        <v>4865</v>
      </c>
      <c r="W319" s="21"/>
      <c r="X319" t="s">
        <v>4950</v>
      </c>
      <c r="Y319" t="s">
        <v>4951</v>
      </c>
      <c r="AC319" t="s">
        <v>1881</v>
      </c>
      <c r="AE319" s="15"/>
      <c r="AG319">
        <v>42.411445000000001</v>
      </c>
      <c r="AH319">
        <v>-83.983795000000001</v>
      </c>
      <c r="AI319" t="s">
        <v>4952</v>
      </c>
      <c r="AL319" t="s">
        <v>1715</v>
      </c>
      <c r="AM319" t="s">
        <v>63</v>
      </c>
      <c r="AN319" t="s">
        <v>4953</v>
      </c>
      <c r="AO319">
        <v>194208</v>
      </c>
      <c r="AQ319" t="s">
        <v>4954</v>
      </c>
      <c r="AR319" t="s">
        <v>4955</v>
      </c>
      <c r="AS319" t="s">
        <v>4956</v>
      </c>
      <c r="AT319" t="s">
        <v>68</v>
      </c>
      <c r="AV319" t="s">
        <v>4957</v>
      </c>
      <c r="AW319" t="s">
        <v>4958</v>
      </c>
      <c r="AX319" t="s">
        <v>4959</v>
      </c>
      <c r="BA319" s="14" t="s">
        <v>72</v>
      </c>
      <c r="BB319" s="14" t="s">
        <v>73</v>
      </c>
      <c r="BC319" s="14" t="s">
        <v>1723</v>
      </c>
    </row>
    <row r="320" spans="1:55" ht="15" customHeight="1" x14ac:dyDescent="0.4">
      <c r="A320" s="12">
        <v>3756</v>
      </c>
      <c r="B320" s="21" t="s">
        <v>4960</v>
      </c>
      <c r="C320" s="13" t="s">
        <v>4961</v>
      </c>
      <c r="D320" s="25" t="s">
        <v>4961</v>
      </c>
      <c r="E320" s="13"/>
      <c r="F320" s="41"/>
      <c r="G320" s="41"/>
      <c r="H320" s="41"/>
      <c r="I320" s="41"/>
      <c r="J320" s="41"/>
      <c r="K320" s="65" t="str">
        <f>IFERROR(VLOOKUP(D320,Sheet4!A$1:M$56,11,FALSE),"")</f>
        <v/>
      </c>
      <c r="L320" s="65" t="str">
        <f t="shared" si="4"/>
        <v/>
      </c>
      <c r="M320" s="14" t="s">
        <v>1878</v>
      </c>
      <c r="N320" s="15">
        <v>44769</v>
      </c>
      <c r="O320" t="s">
        <v>2719</v>
      </c>
      <c r="P320" t="s">
        <v>51</v>
      </c>
      <c r="Q320" t="s">
        <v>52</v>
      </c>
      <c r="R320" t="s">
        <v>53</v>
      </c>
      <c r="S320" t="s">
        <v>871</v>
      </c>
      <c r="T320" t="s">
        <v>4864</v>
      </c>
      <c r="U320" t="s">
        <v>56</v>
      </c>
      <c r="V320" s="21" t="s">
        <v>4865</v>
      </c>
      <c r="W320" s="21"/>
      <c r="X320" t="s">
        <v>4962</v>
      </c>
      <c r="Y320" t="s">
        <v>4963</v>
      </c>
      <c r="AC320" t="s">
        <v>1881</v>
      </c>
      <c r="AE320" s="15"/>
      <c r="AG320">
        <v>42.411288999999996</v>
      </c>
      <c r="AH320">
        <v>-83.982500999999999</v>
      </c>
      <c r="AI320" t="s">
        <v>4631</v>
      </c>
      <c r="AL320" t="s">
        <v>1715</v>
      </c>
      <c r="AM320" t="s">
        <v>63</v>
      </c>
      <c r="AN320" t="s">
        <v>4964</v>
      </c>
      <c r="AO320">
        <v>194209</v>
      </c>
      <c r="AQ320" t="s">
        <v>4965</v>
      </c>
      <c r="AR320" t="s">
        <v>4966</v>
      </c>
      <c r="AS320" t="s">
        <v>4967</v>
      </c>
      <c r="AT320" t="s">
        <v>68</v>
      </c>
      <c r="AV320" t="s">
        <v>4968</v>
      </c>
      <c r="AW320" t="s">
        <v>4969</v>
      </c>
      <c r="AX320" t="s">
        <v>4970</v>
      </c>
      <c r="BA320" s="14" t="s">
        <v>72</v>
      </c>
      <c r="BB320" s="14" t="s">
        <v>73</v>
      </c>
      <c r="BC320" s="14" t="s">
        <v>1723</v>
      </c>
    </row>
    <row r="321" spans="1:55" ht="15" customHeight="1" x14ac:dyDescent="0.4">
      <c r="A321" s="12">
        <v>3757</v>
      </c>
      <c r="B321" s="21" t="s">
        <v>4971</v>
      </c>
      <c r="C321" s="13" t="s">
        <v>4972</v>
      </c>
      <c r="D321" s="25" t="s">
        <v>4972</v>
      </c>
      <c r="E321" s="13"/>
      <c r="F321" s="41"/>
      <c r="G321" s="41"/>
      <c r="H321" s="41"/>
      <c r="I321" s="41"/>
      <c r="J321" s="41"/>
      <c r="K321" s="65" t="str">
        <f>IFERROR(VLOOKUP(D321,Sheet4!A$1:M$56,11,FALSE),"")</f>
        <v/>
      </c>
      <c r="L321" s="65" t="str">
        <f t="shared" si="4"/>
        <v/>
      </c>
      <c r="M321" s="14" t="s">
        <v>2222</v>
      </c>
      <c r="N321" s="15">
        <v>44769</v>
      </c>
      <c r="O321" t="s">
        <v>2719</v>
      </c>
      <c r="P321" t="s">
        <v>51</v>
      </c>
      <c r="Q321" t="s">
        <v>52</v>
      </c>
      <c r="R321" t="s">
        <v>53</v>
      </c>
      <c r="S321" t="s">
        <v>871</v>
      </c>
      <c r="T321" t="s">
        <v>4864</v>
      </c>
      <c r="U321" t="s">
        <v>56</v>
      </c>
      <c r="V321" s="21" t="s">
        <v>4865</v>
      </c>
      <c r="W321" s="21"/>
      <c r="X321" t="s">
        <v>4973</v>
      </c>
      <c r="Y321" t="s">
        <v>4974</v>
      </c>
      <c r="AB321" t="s">
        <v>1758</v>
      </c>
      <c r="AC321" t="s">
        <v>2225</v>
      </c>
      <c r="AE321" s="15"/>
      <c r="AG321">
        <v>42.416812</v>
      </c>
      <c r="AH321">
        <v>-83.997923999999998</v>
      </c>
      <c r="AI321" t="s">
        <v>4975</v>
      </c>
      <c r="AL321" t="s">
        <v>1715</v>
      </c>
      <c r="AM321" t="s">
        <v>63</v>
      </c>
      <c r="AN321" t="s">
        <v>4976</v>
      </c>
      <c r="AO321">
        <v>192605</v>
      </c>
      <c r="AQ321" t="s">
        <v>4977</v>
      </c>
      <c r="AR321" t="s">
        <v>4978</v>
      </c>
      <c r="AS321" t="s">
        <v>4979</v>
      </c>
      <c r="AT321" t="s">
        <v>68</v>
      </c>
      <c r="AV321" t="s">
        <v>4980</v>
      </c>
      <c r="AW321" t="s">
        <v>4981</v>
      </c>
      <c r="AX321" t="s">
        <v>4982</v>
      </c>
      <c r="BA321" s="14" t="s">
        <v>72</v>
      </c>
      <c r="BB321" s="14" t="s">
        <v>73</v>
      </c>
      <c r="BC321" s="14" t="s">
        <v>74</v>
      </c>
    </row>
    <row r="322" spans="1:55" ht="15" customHeight="1" x14ac:dyDescent="0.4">
      <c r="A322" s="12">
        <v>3758</v>
      </c>
      <c r="B322" s="21" t="s">
        <v>4983</v>
      </c>
      <c r="C322" s="13" t="s">
        <v>4984</v>
      </c>
      <c r="D322" s="25" t="s">
        <v>4984</v>
      </c>
      <c r="E322" s="13"/>
      <c r="F322" s="41"/>
      <c r="G322" s="41"/>
      <c r="H322" s="41"/>
      <c r="I322" s="41"/>
      <c r="J322" s="41"/>
      <c r="K322" s="65" t="str">
        <f>IFERROR(VLOOKUP(D322,Sheet4!A$1:M$56,11,FALSE),"")</f>
        <v/>
      </c>
      <c r="L322" s="65" t="str">
        <f t="shared" si="4"/>
        <v/>
      </c>
      <c r="M322" s="14" t="s">
        <v>2222</v>
      </c>
      <c r="N322" s="15">
        <v>44769</v>
      </c>
      <c r="O322" t="s">
        <v>2719</v>
      </c>
      <c r="P322" t="s">
        <v>51</v>
      </c>
      <c r="Q322" t="s">
        <v>52</v>
      </c>
      <c r="R322" t="s">
        <v>53</v>
      </c>
      <c r="S322" t="s">
        <v>871</v>
      </c>
      <c r="T322" t="s">
        <v>4864</v>
      </c>
      <c r="U322" t="s">
        <v>56</v>
      </c>
      <c r="V322" s="21" t="s">
        <v>4865</v>
      </c>
      <c r="W322" s="21"/>
      <c r="X322" t="s">
        <v>4985</v>
      </c>
      <c r="Y322" t="s">
        <v>4986</v>
      </c>
      <c r="AB322" t="s">
        <v>1758</v>
      </c>
      <c r="AC322" t="s">
        <v>2225</v>
      </c>
      <c r="AE322" s="15"/>
      <c r="AG322">
        <v>42.417439999999999</v>
      </c>
      <c r="AH322">
        <v>-83.999618999999996</v>
      </c>
      <c r="AI322" t="s">
        <v>3862</v>
      </c>
      <c r="AL322" t="s">
        <v>1715</v>
      </c>
      <c r="AM322" t="s">
        <v>63</v>
      </c>
      <c r="AN322" t="s">
        <v>4987</v>
      </c>
      <c r="AO322">
        <v>192671</v>
      </c>
      <c r="AQ322" t="s">
        <v>4988</v>
      </c>
      <c r="AR322" t="s">
        <v>4989</v>
      </c>
      <c r="AS322" t="s">
        <v>4990</v>
      </c>
      <c r="AT322" t="s">
        <v>68</v>
      </c>
      <c r="AV322" t="s">
        <v>4991</v>
      </c>
      <c r="AW322" t="s">
        <v>4992</v>
      </c>
      <c r="AX322" t="s">
        <v>4993</v>
      </c>
      <c r="BA322" s="14" t="s">
        <v>72</v>
      </c>
      <c r="BB322" s="14" t="s">
        <v>73</v>
      </c>
      <c r="BC322" s="14" t="s">
        <v>74</v>
      </c>
    </row>
    <row r="323" spans="1:55" ht="15" customHeight="1" x14ac:dyDescent="0.4">
      <c r="A323" s="12">
        <v>3759</v>
      </c>
      <c r="B323" s="21" t="s">
        <v>4994</v>
      </c>
      <c r="C323" s="13" t="s">
        <v>4995</v>
      </c>
      <c r="D323" s="25" t="s">
        <v>4995</v>
      </c>
      <c r="E323" s="13"/>
      <c r="F323" s="41"/>
      <c r="G323" s="41"/>
      <c r="H323" s="41"/>
      <c r="I323" s="41"/>
      <c r="J323" s="41"/>
      <c r="K323" s="65" t="str">
        <f>IFERROR(VLOOKUP(D323,Sheet4!A$1:M$56,11,FALSE),"")</f>
        <v/>
      </c>
      <c r="L323" s="65" t="str">
        <f t="shared" ref="L323:L386" si="5">_xlfn.CONCAT(J323,K323)</f>
        <v/>
      </c>
      <c r="M323" s="14" t="s">
        <v>2222</v>
      </c>
      <c r="N323" s="15">
        <v>44769</v>
      </c>
      <c r="O323" t="s">
        <v>2719</v>
      </c>
      <c r="P323" t="s">
        <v>51</v>
      </c>
      <c r="Q323" t="s">
        <v>52</v>
      </c>
      <c r="R323" t="s">
        <v>53</v>
      </c>
      <c r="S323" t="s">
        <v>871</v>
      </c>
      <c r="T323" t="s">
        <v>4864</v>
      </c>
      <c r="U323" t="s">
        <v>56</v>
      </c>
      <c r="V323" s="21" t="s">
        <v>4865</v>
      </c>
      <c r="W323" s="21"/>
      <c r="X323" t="s">
        <v>4996</v>
      </c>
      <c r="Y323" t="s">
        <v>4997</v>
      </c>
      <c r="AB323" t="s">
        <v>2321</v>
      </c>
      <c r="AC323" t="s">
        <v>2225</v>
      </c>
      <c r="AE323" s="15"/>
      <c r="AG323">
        <v>42.416401</v>
      </c>
      <c r="AH323">
        <v>-83.400390700000003</v>
      </c>
      <c r="AI323" t="s">
        <v>4631</v>
      </c>
      <c r="AL323" t="s">
        <v>1715</v>
      </c>
      <c r="AM323" t="s">
        <v>63</v>
      </c>
      <c r="AN323" t="s">
        <v>4998</v>
      </c>
      <c r="AO323">
        <v>192600</v>
      </c>
      <c r="AQ323" t="s">
        <v>4999</v>
      </c>
      <c r="AR323" t="s">
        <v>5000</v>
      </c>
      <c r="AS323" t="s">
        <v>5001</v>
      </c>
      <c r="AT323" t="s">
        <v>68</v>
      </c>
      <c r="AV323" t="s">
        <v>5002</v>
      </c>
      <c r="AW323" t="s">
        <v>5003</v>
      </c>
      <c r="AX323" t="s">
        <v>5004</v>
      </c>
      <c r="BA323" s="14" t="s">
        <v>72</v>
      </c>
      <c r="BB323" s="14" t="s">
        <v>73</v>
      </c>
      <c r="BC323" s="14" t="s">
        <v>74</v>
      </c>
    </row>
    <row r="324" spans="1:55" ht="15" customHeight="1" x14ac:dyDescent="0.4">
      <c r="A324" s="12">
        <v>3760</v>
      </c>
      <c r="B324" s="21" t="s">
        <v>5005</v>
      </c>
      <c r="C324" s="13" t="s">
        <v>5006</v>
      </c>
      <c r="D324" s="25" t="s">
        <v>5006</v>
      </c>
      <c r="E324" s="13"/>
      <c r="F324" s="41"/>
      <c r="G324" s="41"/>
      <c r="H324" s="41"/>
      <c r="I324" s="41"/>
      <c r="J324" s="41"/>
      <c r="K324" s="65" t="str">
        <f>IFERROR(VLOOKUP(D324,Sheet4!A$1:M$56,11,FALSE),"")</f>
        <v/>
      </c>
      <c r="L324" s="65" t="str">
        <f t="shared" si="5"/>
        <v/>
      </c>
      <c r="M324" s="14" t="s">
        <v>2222</v>
      </c>
      <c r="N324" s="15">
        <v>44769</v>
      </c>
      <c r="O324" t="s">
        <v>2719</v>
      </c>
      <c r="P324" t="s">
        <v>51</v>
      </c>
      <c r="Q324" t="s">
        <v>52</v>
      </c>
      <c r="R324" t="s">
        <v>53</v>
      </c>
      <c r="S324" t="s">
        <v>871</v>
      </c>
      <c r="T324" t="s">
        <v>4864</v>
      </c>
      <c r="U324" t="s">
        <v>56</v>
      </c>
      <c r="V324" s="21" t="s">
        <v>4865</v>
      </c>
      <c r="W324" s="21"/>
      <c r="X324" t="s">
        <v>5007</v>
      </c>
      <c r="Y324" t="s">
        <v>5008</v>
      </c>
      <c r="AC324" t="s">
        <v>2225</v>
      </c>
      <c r="AE324" s="15"/>
      <c r="AG324">
        <v>42.418191</v>
      </c>
      <c r="AH324">
        <v>-84.002222000000003</v>
      </c>
      <c r="AI324" t="s">
        <v>5009</v>
      </c>
      <c r="AL324" t="s">
        <v>1715</v>
      </c>
      <c r="AM324" t="s">
        <v>63</v>
      </c>
      <c r="AN324" t="s">
        <v>5010</v>
      </c>
      <c r="AO324">
        <v>192617</v>
      </c>
      <c r="AQ324" t="s">
        <v>5011</v>
      </c>
      <c r="AR324" t="s">
        <v>5012</v>
      </c>
      <c r="AS324" t="s">
        <v>5013</v>
      </c>
      <c r="AT324" t="s">
        <v>68</v>
      </c>
      <c r="AV324" t="s">
        <v>5014</v>
      </c>
      <c r="AW324" t="s">
        <v>5015</v>
      </c>
      <c r="AX324" t="s">
        <v>5016</v>
      </c>
      <c r="BA324" s="14" t="s">
        <v>72</v>
      </c>
      <c r="BB324" s="14" t="s">
        <v>73</v>
      </c>
      <c r="BC324" s="14" t="s">
        <v>74</v>
      </c>
    </row>
    <row r="325" spans="1:55" ht="15" customHeight="1" x14ac:dyDescent="0.4">
      <c r="A325" s="12">
        <v>3761</v>
      </c>
      <c r="B325" s="21" t="s">
        <v>5017</v>
      </c>
      <c r="C325" s="13" t="s">
        <v>5018</v>
      </c>
      <c r="D325" s="25" t="s">
        <v>5018</v>
      </c>
      <c r="E325" s="13"/>
      <c r="F325" s="41" t="s">
        <v>8119</v>
      </c>
      <c r="G325" s="41"/>
      <c r="H325" s="41"/>
      <c r="I325" s="41"/>
      <c r="J325" s="41"/>
      <c r="K325" s="65" t="str">
        <f>IFERROR(VLOOKUP(D325,Sheet4!A$1:M$56,11,FALSE),"")</f>
        <v/>
      </c>
      <c r="L325" s="65" t="str">
        <f t="shared" si="5"/>
        <v/>
      </c>
      <c r="M325" s="14" t="s">
        <v>49</v>
      </c>
      <c r="N325" s="15">
        <v>44769</v>
      </c>
      <c r="O325" t="s">
        <v>2719</v>
      </c>
      <c r="P325" t="s">
        <v>51</v>
      </c>
      <c r="Q325" t="s">
        <v>52</v>
      </c>
      <c r="R325" t="s">
        <v>53</v>
      </c>
      <c r="S325" t="s">
        <v>871</v>
      </c>
      <c r="T325" t="s">
        <v>4864</v>
      </c>
      <c r="U325" t="s">
        <v>56</v>
      </c>
      <c r="V325" s="21" t="s">
        <v>4865</v>
      </c>
      <c r="W325" s="21"/>
      <c r="X325" t="s">
        <v>5019</v>
      </c>
      <c r="Y325" t="s">
        <v>5020</v>
      </c>
      <c r="AC325" t="s">
        <v>60</v>
      </c>
      <c r="AE325" s="15"/>
      <c r="AG325">
        <v>42.407538000000002</v>
      </c>
      <c r="AH325">
        <v>-83.986305000000002</v>
      </c>
      <c r="AI325" t="s">
        <v>4880</v>
      </c>
      <c r="AL325" t="s">
        <v>1715</v>
      </c>
      <c r="AM325" t="s">
        <v>63</v>
      </c>
      <c r="AN325" t="s">
        <v>5021</v>
      </c>
      <c r="AO325">
        <v>192556</v>
      </c>
      <c r="AQ325" t="s">
        <v>5022</v>
      </c>
      <c r="AR325" t="s">
        <v>5023</v>
      </c>
      <c r="AS325" t="s">
        <v>5024</v>
      </c>
      <c r="AT325" t="s">
        <v>68</v>
      </c>
      <c r="AV325" t="s">
        <v>5025</v>
      </c>
      <c r="AW325" t="s">
        <v>5026</v>
      </c>
      <c r="AX325" t="s">
        <v>5027</v>
      </c>
      <c r="BA325" s="14" t="s">
        <v>72</v>
      </c>
      <c r="BB325" s="14" t="s">
        <v>73</v>
      </c>
      <c r="BC325" s="14" t="s">
        <v>74</v>
      </c>
    </row>
    <row r="326" spans="1:55" ht="15" customHeight="1" x14ac:dyDescent="0.4">
      <c r="A326" s="12">
        <v>3762</v>
      </c>
      <c r="B326" s="21" t="s">
        <v>5028</v>
      </c>
      <c r="C326" s="13" t="s">
        <v>5029</v>
      </c>
      <c r="D326" s="25" t="s">
        <v>5029</v>
      </c>
      <c r="E326" s="13"/>
      <c r="F326" s="41"/>
      <c r="G326" s="41"/>
      <c r="H326" s="41"/>
      <c r="I326" s="41"/>
      <c r="J326" s="41"/>
      <c r="K326" s="65" t="str">
        <f>IFERROR(VLOOKUP(D326,Sheet4!A$1:M$56,11,FALSE),"")</f>
        <v/>
      </c>
      <c r="L326" s="65" t="str">
        <f t="shared" si="5"/>
        <v/>
      </c>
      <c r="M326" s="14" t="s">
        <v>49</v>
      </c>
      <c r="N326" s="15">
        <v>44769</v>
      </c>
      <c r="O326" t="s">
        <v>2719</v>
      </c>
      <c r="P326" t="s">
        <v>51</v>
      </c>
      <c r="Q326" t="s">
        <v>52</v>
      </c>
      <c r="R326" t="s">
        <v>53</v>
      </c>
      <c r="S326" t="s">
        <v>871</v>
      </c>
      <c r="T326" t="s">
        <v>5030</v>
      </c>
      <c r="U326" t="s">
        <v>56</v>
      </c>
      <c r="V326" s="21" t="s">
        <v>4865</v>
      </c>
      <c r="W326" s="21"/>
      <c r="X326" t="s">
        <v>5031</v>
      </c>
      <c r="Y326" t="s">
        <v>5032</v>
      </c>
      <c r="AC326" t="s">
        <v>60</v>
      </c>
      <c r="AE326" s="15"/>
      <c r="AG326">
        <v>42.4465</v>
      </c>
      <c r="AH326">
        <v>-84.002319999999997</v>
      </c>
      <c r="AI326" t="s">
        <v>4609</v>
      </c>
      <c r="AL326" t="s">
        <v>1715</v>
      </c>
      <c r="AM326" t="s">
        <v>63</v>
      </c>
      <c r="AN326" t="s">
        <v>5033</v>
      </c>
      <c r="AO326">
        <v>194460</v>
      </c>
      <c r="AQ326" t="s">
        <v>5034</v>
      </c>
      <c r="AR326" t="s">
        <v>5035</v>
      </c>
      <c r="AS326" t="s">
        <v>5036</v>
      </c>
      <c r="AT326" t="s">
        <v>68</v>
      </c>
      <c r="AV326" t="s">
        <v>5037</v>
      </c>
      <c r="AW326" t="s">
        <v>5038</v>
      </c>
      <c r="AX326" t="s">
        <v>5039</v>
      </c>
      <c r="BA326" s="14" t="s">
        <v>72</v>
      </c>
      <c r="BB326" s="14" t="s">
        <v>73</v>
      </c>
      <c r="BC326" s="14" t="s">
        <v>74</v>
      </c>
    </row>
    <row r="327" spans="1:55" ht="15" customHeight="1" x14ac:dyDescent="0.4">
      <c r="A327" s="12">
        <v>3763</v>
      </c>
      <c r="B327" s="21" t="s">
        <v>5040</v>
      </c>
      <c r="C327" s="13" t="s">
        <v>5041</v>
      </c>
      <c r="D327" s="25" t="s">
        <v>5041</v>
      </c>
      <c r="E327" s="13"/>
      <c r="F327" s="41"/>
      <c r="G327" s="41"/>
      <c r="H327" s="41"/>
      <c r="I327" s="41"/>
      <c r="J327" s="41"/>
      <c r="K327" s="65" t="str">
        <f>IFERROR(VLOOKUP(D327,Sheet4!A$1:M$56,11,FALSE),"")</f>
        <v/>
      </c>
      <c r="L327" s="65" t="str">
        <f t="shared" si="5"/>
        <v/>
      </c>
      <c r="M327" s="14" t="s">
        <v>1878</v>
      </c>
      <c r="N327" s="15">
        <v>44769</v>
      </c>
      <c r="O327" t="s">
        <v>2719</v>
      </c>
      <c r="P327" t="s">
        <v>51</v>
      </c>
      <c r="Q327" t="s">
        <v>52</v>
      </c>
      <c r="R327" t="s">
        <v>53</v>
      </c>
      <c r="S327" t="s">
        <v>871</v>
      </c>
      <c r="T327" t="s">
        <v>5030</v>
      </c>
      <c r="U327" t="s">
        <v>56</v>
      </c>
      <c r="V327" s="21" t="s">
        <v>4865</v>
      </c>
      <c r="W327" s="21"/>
      <c r="X327" t="s">
        <v>5042</v>
      </c>
      <c r="Y327" t="s">
        <v>5043</v>
      </c>
      <c r="AC327" t="s">
        <v>1881</v>
      </c>
      <c r="AE327" s="15"/>
      <c r="AG327">
        <v>42.446421000000001</v>
      </c>
      <c r="AH327">
        <v>-84.001964000000001</v>
      </c>
      <c r="AI327" t="s">
        <v>5044</v>
      </c>
      <c r="AL327" t="s">
        <v>1715</v>
      </c>
      <c r="AM327" t="s">
        <v>63</v>
      </c>
      <c r="AN327" t="s">
        <v>5045</v>
      </c>
      <c r="AO327">
        <v>192532</v>
      </c>
      <c r="AQ327" t="s">
        <v>5046</v>
      </c>
      <c r="AR327" t="s">
        <v>5047</v>
      </c>
      <c r="AS327" t="s">
        <v>5048</v>
      </c>
      <c r="AT327" t="s">
        <v>68</v>
      </c>
      <c r="AV327" t="s">
        <v>5049</v>
      </c>
      <c r="AW327" t="s">
        <v>5050</v>
      </c>
      <c r="AX327" t="s">
        <v>5051</v>
      </c>
      <c r="BA327" s="14" t="s">
        <v>72</v>
      </c>
      <c r="BB327" s="14" t="s">
        <v>73</v>
      </c>
      <c r="BC327" s="14" t="s">
        <v>1723</v>
      </c>
    </row>
    <row r="328" spans="1:55" ht="15" customHeight="1" x14ac:dyDescent="0.4">
      <c r="A328" s="12">
        <v>3764</v>
      </c>
      <c r="B328" s="21" t="s">
        <v>5052</v>
      </c>
      <c r="C328" s="13" t="s">
        <v>5053</v>
      </c>
      <c r="D328" s="25" t="s">
        <v>5053</v>
      </c>
      <c r="E328" s="13"/>
      <c r="F328" s="41"/>
      <c r="G328" s="41"/>
      <c r="H328" s="41"/>
      <c r="I328" s="41"/>
      <c r="J328" s="41"/>
      <c r="K328" s="65" t="str">
        <f>IFERROR(VLOOKUP(D328,Sheet4!A$1:M$56,11,FALSE),"")</f>
        <v/>
      </c>
      <c r="L328" s="65" t="str">
        <f t="shared" si="5"/>
        <v/>
      </c>
      <c r="M328" s="14" t="s">
        <v>49</v>
      </c>
      <c r="N328" s="15">
        <v>44769</v>
      </c>
      <c r="O328" t="s">
        <v>2719</v>
      </c>
      <c r="P328" t="s">
        <v>51</v>
      </c>
      <c r="Q328" t="s">
        <v>52</v>
      </c>
      <c r="R328" t="s">
        <v>53</v>
      </c>
      <c r="S328" t="s">
        <v>871</v>
      </c>
      <c r="T328" t="s">
        <v>5030</v>
      </c>
      <c r="U328" t="s">
        <v>56</v>
      </c>
      <c r="V328" s="21" t="s">
        <v>4865</v>
      </c>
      <c r="W328" s="21"/>
      <c r="X328" t="s">
        <v>5054</v>
      </c>
      <c r="Y328" t="s">
        <v>5055</v>
      </c>
      <c r="AC328" t="s">
        <v>60</v>
      </c>
      <c r="AE328" s="15"/>
      <c r="AG328">
        <v>42.446260000000002</v>
      </c>
      <c r="AH328">
        <v>-83.999114000000006</v>
      </c>
      <c r="AI328" t="s">
        <v>5056</v>
      </c>
      <c r="AL328" t="s">
        <v>1715</v>
      </c>
      <c r="AM328" t="s">
        <v>63</v>
      </c>
      <c r="AN328" t="s">
        <v>5057</v>
      </c>
      <c r="AO328">
        <v>194459</v>
      </c>
      <c r="AQ328" t="s">
        <v>5058</v>
      </c>
      <c r="AR328" t="s">
        <v>5059</v>
      </c>
      <c r="AS328" t="s">
        <v>5060</v>
      </c>
      <c r="AT328" t="s">
        <v>68</v>
      </c>
      <c r="AV328" t="s">
        <v>5061</v>
      </c>
      <c r="AW328" t="s">
        <v>5062</v>
      </c>
      <c r="AX328" t="s">
        <v>5063</v>
      </c>
      <c r="BA328" s="14" t="s">
        <v>72</v>
      </c>
      <c r="BB328" s="14" t="s">
        <v>73</v>
      </c>
      <c r="BC328" s="14" t="s">
        <v>74</v>
      </c>
    </row>
    <row r="329" spans="1:55" ht="15" customHeight="1" x14ac:dyDescent="0.4">
      <c r="A329" s="12">
        <v>3765</v>
      </c>
      <c r="B329" s="21" t="s">
        <v>5064</v>
      </c>
      <c r="C329" s="13" t="s">
        <v>5065</v>
      </c>
      <c r="D329" s="25" t="s">
        <v>5065</v>
      </c>
      <c r="E329" s="13"/>
      <c r="F329" s="41"/>
      <c r="G329" s="41"/>
      <c r="H329" s="41"/>
      <c r="I329" s="41"/>
      <c r="J329" s="41"/>
      <c r="K329" s="65" t="str">
        <f>IFERROR(VLOOKUP(D329,Sheet4!A$1:M$56,11,FALSE),"")</f>
        <v/>
      </c>
      <c r="L329" s="65" t="str">
        <f t="shared" si="5"/>
        <v/>
      </c>
      <c r="M329" s="14" t="s">
        <v>49</v>
      </c>
      <c r="N329" s="15">
        <v>44769</v>
      </c>
      <c r="O329" t="s">
        <v>2719</v>
      </c>
      <c r="P329" t="s">
        <v>51</v>
      </c>
      <c r="Q329" t="s">
        <v>52</v>
      </c>
      <c r="R329" t="s">
        <v>53</v>
      </c>
      <c r="S329" t="s">
        <v>871</v>
      </c>
      <c r="T329" t="s">
        <v>5030</v>
      </c>
      <c r="U329" t="s">
        <v>56</v>
      </c>
      <c r="V329" s="21" t="s">
        <v>4865</v>
      </c>
      <c r="W329" s="21"/>
      <c r="X329" t="s">
        <v>5066</v>
      </c>
      <c r="Y329" t="s">
        <v>5067</v>
      </c>
      <c r="AC329" t="s">
        <v>60</v>
      </c>
      <c r="AE329" s="15"/>
      <c r="AG329">
        <v>42.446264999999997</v>
      </c>
      <c r="AH329">
        <v>-83.998517000000007</v>
      </c>
      <c r="AI329" t="s">
        <v>5068</v>
      </c>
      <c r="AL329" t="s">
        <v>1715</v>
      </c>
      <c r="AM329" t="s">
        <v>63</v>
      </c>
      <c r="AN329" t="s">
        <v>5069</v>
      </c>
      <c r="AO329">
        <v>192535</v>
      </c>
      <c r="AQ329" t="s">
        <v>5070</v>
      </c>
      <c r="AR329" t="s">
        <v>5071</v>
      </c>
      <c r="AS329" t="s">
        <v>5072</v>
      </c>
      <c r="AT329" t="s">
        <v>68</v>
      </c>
      <c r="AV329" t="s">
        <v>5073</v>
      </c>
      <c r="AW329" t="s">
        <v>5074</v>
      </c>
      <c r="AX329" t="s">
        <v>5075</v>
      </c>
      <c r="BA329" s="14" t="s">
        <v>72</v>
      </c>
      <c r="BB329" s="14" t="s">
        <v>73</v>
      </c>
      <c r="BC329" s="14" t="s">
        <v>74</v>
      </c>
    </row>
    <row r="330" spans="1:55" ht="15" customHeight="1" x14ac:dyDescent="0.4">
      <c r="A330" s="12">
        <v>3766</v>
      </c>
      <c r="B330" s="21" t="s">
        <v>5076</v>
      </c>
      <c r="C330" s="13" t="s">
        <v>5077</v>
      </c>
      <c r="D330" s="25" t="s">
        <v>5077</v>
      </c>
      <c r="E330" s="13"/>
      <c r="F330" s="41"/>
      <c r="G330" s="41"/>
      <c r="H330" s="41"/>
      <c r="I330" s="41"/>
      <c r="J330" s="41"/>
      <c r="K330" s="65" t="str">
        <f>IFERROR(VLOOKUP(D330,Sheet4!A$1:M$56,11,FALSE),"")</f>
        <v/>
      </c>
      <c r="L330" s="65" t="str">
        <f t="shared" si="5"/>
        <v/>
      </c>
      <c r="M330" s="14" t="s">
        <v>49</v>
      </c>
      <c r="N330" s="15">
        <v>44769</v>
      </c>
      <c r="O330" t="s">
        <v>2719</v>
      </c>
      <c r="P330" t="s">
        <v>51</v>
      </c>
      <c r="Q330" t="s">
        <v>52</v>
      </c>
      <c r="R330" t="s">
        <v>53</v>
      </c>
      <c r="S330" t="s">
        <v>871</v>
      </c>
      <c r="T330" t="s">
        <v>5030</v>
      </c>
      <c r="U330" t="s">
        <v>56</v>
      </c>
      <c r="V330" s="21" t="s">
        <v>4865</v>
      </c>
      <c r="W330" s="21"/>
      <c r="X330" t="s">
        <v>5078</v>
      </c>
      <c r="Y330" t="s">
        <v>5079</v>
      </c>
      <c r="AC330" t="s">
        <v>60</v>
      </c>
      <c r="AE330" s="15"/>
      <c r="AG330">
        <v>42.446328000000001</v>
      </c>
      <c r="AH330">
        <v>-83.997733999999994</v>
      </c>
      <c r="AI330" t="s">
        <v>4575</v>
      </c>
      <c r="AL330" t="s">
        <v>1715</v>
      </c>
      <c r="AM330" t="s">
        <v>63</v>
      </c>
      <c r="AN330" t="s">
        <v>5080</v>
      </c>
      <c r="AO330">
        <v>194454</v>
      </c>
      <c r="AQ330" t="s">
        <v>5081</v>
      </c>
      <c r="AR330" t="s">
        <v>5082</v>
      </c>
      <c r="AS330" t="s">
        <v>5083</v>
      </c>
      <c r="AT330" t="s">
        <v>68</v>
      </c>
      <c r="AV330" t="s">
        <v>5084</v>
      </c>
      <c r="AW330" t="s">
        <v>5085</v>
      </c>
      <c r="AX330" t="s">
        <v>5086</v>
      </c>
      <c r="BA330" s="14" t="s">
        <v>72</v>
      </c>
      <c r="BB330" s="14" t="s">
        <v>73</v>
      </c>
      <c r="BC330" s="14" t="s">
        <v>74</v>
      </c>
    </row>
    <row r="331" spans="1:55" ht="15" customHeight="1" x14ac:dyDescent="0.4">
      <c r="A331" s="12">
        <v>2325</v>
      </c>
      <c r="B331" t="s">
        <v>868</v>
      </c>
      <c r="D331" t="s">
        <v>869</v>
      </c>
      <c r="E331" s="13"/>
      <c r="F331" s="45" t="s">
        <v>49</v>
      </c>
      <c r="G331" s="45" t="s">
        <v>8105</v>
      </c>
      <c r="H331" s="45"/>
      <c r="I331" s="45"/>
      <c r="J331" s="45"/>
      <c r="K331" s="65" t="str">
        <f>IFERROR(VLOOKUP(D331,Sheet4!A$1:M$56,11,FALSE),"")</f>
        <v>Based on ADMIXTURE results of 78,187 SNPs, admixed with Quercus bicolor</v>
      </c>
      <c r="L331" s="65" t="str">
        <f t="shared" si="5"/>
        <v>Based on ADMIXTURE results of 78,187 SNPs, admixed with Quercus bicolor</v>
      </c>
      <c r="M331" s="14" t="s">
        <v>49</v>
      </c>
      <c r="N331" s="15">
        <v>42963</v>
      </c>
      <c r="O331" t="s">
        <v>870</v>
      </c>
      <c r="P331" t="s">
        <v>51</v>
      </c>
      <c r="Q331" s="15" t="s">
        <v>52</v>
      </c>
      <c r="R331" t="s">
        <v>53</v>
      </c>
      <c r="S331" t="s">
        <v>871</v>
      </c>
      <c r="T331" t="s">
        <v>872</v>
      </c>
      <c r="U331" t="s">
        <v>56</v>
      </c>
      <c r="V331" t="s">
        <v>873</v>
      </c>
      <c r="W331" s="16" t="s">
        <v>874</v>
      </c>
      <c r="X331" t="s">
        <v>875</v>
      </c>
      <c r="AC331" t="s">
        <v>60</v>
      </c>
      <c r="AE331" s="15"/>
      <c r="AG331" s="17">
        <v>43.85351</v>
      </c>
      <c r="AH331" s="17">
        <v>-83.924679999999995</v>
      </c>
      <c r="AI331" t="s">
        <v>876</v>
      </c>
      <c r="AL331" t="s">
        <v>62</v>
      </c>
      <c r="AM331" t="s">
        <v>63</v>
      </c>
      <c r="AN331" t="s">
        <v>877</v>
      </c>
      <c r="AO331">
        <v>185909</v>
      </c>
      <c r="AQ331" t="s">
        <v>878</v>
      </c>
      <c r="AR331" t="s">
        <v>879</v>
      </c>
      <c r="AS331" t="s">
        <v>880</v>
      </c>
      <c r="AT331" t="s">
        <v>68</v>
      </c>
      <c r="AV331" t="s">
        <v>881</v>
      </c>
      <c r="AW331" t="s">
        <v>882</v>
      </c>
      <c r="AX331" t="s">
        <v>883</v>
      </c>
      <c r="BA331" s="14" t="s">
        <v>72</v>
      </c>
      <c r="BB331" s="14" t="s">
        <v>73</v>
      </c>
      <c r="BC331" s="14" t="s">
        <v>74</v>
      </c>
    </row>
    <row r="332" spans="1:55" ht="15" customHeight="1" x14ac:dyDescent="0.4">
      <c r="A332" s="12">
        <v>2326</v>
      </c>
      <c r="B332" t="s">
        <v>884</v>
      </c>
      <c r="D332" t="s">
        <v>885</v>
      </c>
      <c r="E332" s="13"/>
      <c r="F332" s="41" t="s">
        <v>8106</v>
      </c>
      <c r="G332" s="41"/>
      <c r="H332" s="41"/>
      <c r="I332" s="41"/>
      <c r="J332" s="41"/>
      <c r="K332" s="65" t="str">
        <f>IFERROR(VLOOKUP(D332,Sheet4!A$1:M$56,11,FALSE),"")</f>
        <v/>
      </c>
      <c r="L332" s="65" t="str">
        <f t="shared" si="5"/>
        <v/>
      </c>
      <c r="M332" s="14" t="s">
        <v>886</v>
      </c>
      <c r="N332" s="15">
        <v>42963</v>
      </c>
      <c r="O332" t="s">
        <v>870</v>
      </c>
      <c r="P332" t="s">
        <v>51</v>
      </c>
      <c r="Q332" s="15" t="s">
        <v>52</v>
      </c>
      <c r="R332" t="s">
        <v>53</v>
      </c>
      <c r="S332" t="s">
        <v>871</v>
      </c>
      <c r="T332" t="s">
        <v>872</v>
      </c>
      <c r="U332" t="s">
        <v>56</v>
      </c>
      <c r="V332" t="s">
        <v>873</v>
      </c>
      <c r="W332" s="16" t="s">
        <v>874</v>
      </c>
      <c r="X332" t="s">
        <v>875</v>
      </c>
      <c r="AC332" t="s">
        <v>887</v>
      </c>
      <c r="AD332" t="s">
        <v>888</v>
      </c>
      <c r="AE332" s="15" t="s">
        <v>889</v>
      </c>
      <c r="AF332" t="s">
        <v>890</v>
      </c>
      <c r="AG332" s="17">
        <v>43.853230000000003</v>
      </c>
      <c r="AH332" s="17">
        <v>-83.923000000000002</v>
      </c>
      <c r="AI332" t="s">
        <v>891</v>
      </c>
      <c r="AL332" t="s">
        <v>62</v>
      </c>
      <c r="AM332" t="s">
        <v>63</v>
      </c>
      <c r="AN332" t="s">
        <v>892</v>
      </c>
      <c r="AO332">
        <v>185760</v>
      </c>
      <c r="AQ332" t="s">
        <v>893</v>
      </c>
      <c r="AR332" t="s">
        <v>894</v>
      </c>
      <c r="AS332" t="s">
        <v>895</v>
      </c>
      <c r="AT332" t="s">
        <v>68</v>
      </c>
      <c r="AV332" t="s">
        <v>896</v>
      </c>
      <c r="AW332" t="s">
        <v>897</v>
      </c>
      <c r="AX332" t="s">
        <v>898</v>
      </c>
      <c r="AY332" s="31" t="s">
        <v>899</v>
      </c>
      <c r="AZ332" s="31" t="s">
        <v>85</v>
      </c>
      <c r="BA332" s="14" t="e">
        <v>#N/A</v>
      </c>
      <c r="BB332" s="14" t="e">
        <v>#N/A</v>
      </c>
      <c r="BC332" s="14" t="e">
        <v>#N/A</v>
      </c>
    </row>
    <row r="333" spans="1:55" ht="15" customHeight="1" x14ac:dyDescent="0.4">
      <c r="A333" s="12">
        <v>2327</v>
      </c>
      <c r="B333" t="s">
        <v>900</v>
      </c>
      <c r="D333" t="s">
        <v>901</v>
      </c>
      <c r="E333" s="13"/>
      <c r="K333" s="65" t="str">
        <f>IFERROR(VLOOKUP(D333,Sheet4!A$1:M$56,11,FALSE),"")</f>
        <v/>
      </c>
      <c r="L333" s="65" t="str">
        <f t="shared" si="5"/>
        <v/>
      </c>
      <c r="M333" s="14" t="s">
        <v>49</v>
      </c>
      <c r="N333" s="15">
        <v>42963</v>
      </c>
      <c r="O333" t="s">
        <v>870</v>
      </c>
      <c r="P333" t="s">
        <v>51</v>
      </c>
      <c r="Q333" s="15" t="s">
        <v>52</v>
      </c>
      <c r="R333" t="s">
        <v>53</v>
      </c>
      <c r="S333" t="s">
        <v>871</v>
      </c>
      <c r="T333" t="s">
        <v>872</v>
      </c>
      <c r="U333" t="s">
        <v>56</v>
      </c>
      <c r="V333" t="s">
        <v>873</v>
      </c>
      <c r="W333" s="16" t="s">
        <v>874</v>
      </c>
      <c r="X333" t="s">
        <v>875</v>
      </c>
      <c r="AB333" t="s">
        <v>902</v>
      </c>
      <c r="AC333" t="s">
        <v>60</v>
      </c>
      <c r="AE333" s="15"/>
      <c r="AG333" s="17">
        <v>43.853259999999999</v>
      </c>
      <c r="AH333" s="17">
        <v>-83.924940000000007</v>
      </c>
      <c r="AI333" t="s">
        <v>903</v>
      </c>
      <c r="AL333" t="s">
        <v>62</v>
      </c>
      <c r="AM333" t="s">
        <v>63</v>
      </c>
      <c r="AN333" t="s">
        <v>904</v>
      </c>
      <c r="AO333">
        <v>185910</v>
      </c>
      <c r="AQ333" t="s">
        <v>905</v>
      </c>
      <c r="AR333" t="s">
        <v>906</v>
      </c>
      <c r="AS333" t="s">
        <v>907</v>
      </c>
      <c r="AT333" t="s">
        <v>68</v>
      </c>
      <c r="AV333" t="s">
        <v>908</v>
      </c>
      <c r="AW333" t="s">
        <v>909</v>
      </c>
      <c r="AX333" t="s">
        <v>910</v>
      </c>
      <c r="BA333" s="14" t="s">
        <v>72</v>
      </c>
      <c r="BB333" s="14" t="s">
        <v>73</v>
      </c>
      <c r="BC333" s="14" t="s">
        <v>74</v>
      </c>
    </row>
    <row r="334" spans="1:55" ht="15" customHeight="1" x14ac:dyDescent="0.4">
      <c r="A334" s="12">
        <v>2328</v>
      </c>
      <c r="B334" t="s">
        <v>911</v>
      </c>
      <c r="D334" t="s">
        <v>912</v>
      </c>
      <c r="E334" s="13"/>
      <c r="F334" s="43" t="s">
        <v>49</v>
      </c>
      <c r="G334" s="43" t="s">
        <v>8107</v>
      </c>
      <c r="H334" s="43" t="s">
        <v>8101</v>
      </c>
      <c r="I334" s="43"/>
      <c r="J334" s="43"/>
      <c r="K334" s="65" t="str">
        <f>IFERROR(VLOOKUP(D334,Sheet4!A$1:M$56,11,FALSE),"")</f>
        <v>Based on ADMIXTURE results of 78,187 SNPs, trace admixed (Q&lt;0.10) with Quercus bicolor</v>
      </c>
      <c r="L334" s="65" t="str">
        <f t="shared" si="5"/>
        <v>Based on ADMIXTURE results of 78,187 SNPs, trace admixed (Q&lt;0.10) with Quercus bicolor</v>
      </c>
      <c r="M334" s="14" t="s">
        <v>49</v>
      </c>
      <c r="N334" s="15">
        <v>42963</v>
      </c>
      <c r="O334" t="s">
        <v>870</v>
      </c>
      <c r="P334" t="s">
        <v>51</v>
      </c>
      <c r="Q334" s="15" t="s">
        <v>52</v>
      </c>
      <c r="R334" t="s">
        <v>53</v>
      </c>
      <c r="S334" t="s">
        <v>871</v>
      </c>
      <c r="T334" t="s">
        <v>872</v>
      </c>
      <c r="U334" t="s">
        <v>56</v>
      </c>
      <c r="V334" t="s">
        <v>873</v>
      </c>
      <c r="W334" s="16" t="s">
        <v>913</v>
      </c>
      <c r="X334" t="s">
        <v>875</v>
      </c>
      <c r="AC334" t="s">
        <v>60</v>
      </c>
      <c r="AE334" s="15"/>
      <c r="AG334" s="17">
        <v>43.852580000000003</v>
      </c>
      <c r="AH334" s="17">
        <v>-83.924629999999993</v>
      </c>
      <c r="AI334" t="s">
        <v>914</v>
      </c>
      <c r="AL334" t="s">
        <v>62</v>
      </c>
      <c r="AM334" t="s">
        <v>63</v>
      </c>
      <c r="AN334" t="s">
        <v>915</v>
      </c>
      <c r="AO334">
        <v>185911</v>
      </c>
      <c r="AQ334" t="s">
        <v>916</v>
      </c>
      <c r="AR334" t="s">
        <v>917</v>
      </c>
      <c r="AS334" t="s">
        <v>918</v>
      </c>
      <c r="AT334" t="s">
        <v>68</v>
      </c>
      <c r="AV334" t="s">
        <v>919</v>
      </c>
      <c r="AW334" t="s">
        <v>920</v>
      </c>
      <c r="AX334" t="s">
        <v>921</v>
      </c>
      <c r="BA334" s="14" t="s">
        <v>72</v>
      </c>
      <c r="BB334" s="14" t="s">
        <v>73</v>
      </c>
      <c r="BC334" s="14" t="s">
        <v>74</v>
      </c>
    </row>
    <row r="335" spans="1:55" ht="15" customHeight="1" x14ac:dyDescent="0.4">
      <c r="A335" s="12">
        <v>2329</v>
      </c>
      <c r="B335" t="s">
        <v>922</v>
      </c>
      <c r="D335" t="s">
        <v>923</v>
      </c>
      <c r="E335" s="13"/>
      <c r="F335" s="41" t="s">
        <v>8106</v>
      </c>
      <c r="G335" s="41"/>
      <c r="H335" s="41"/>
      <c r="I335" s="41"/>
      <c r="J335" s="41"/>
      <c r="K335" s="65" t="str">
        <f>IFERROR(VLOOKUP(D335,Sheet4!A$1:M$56,11,FALSE),"")</f>
        <v/>
      </c>
      <c r="L335" s="65" t="str">
        <f t="shared" si="5"/>
        <v/>
      </c>
      <c r="M335" s="14" t="s">
        <v>49</v>
      </c>
      <c r="N335" s="15">
        <v>42963</v>
      </c>
      <c r="O335" t="s">
        <v>870</v>
      </c>
      <c r="P335" t="s">
        <v>51</v>
      </c>
      <c r="Q335" s="15" t="s">
        <v>52</v>
      </c>
      <c r="R335" t="s">
        <v>53</v>
      </c>
      <c r="S335" t="s">
        <v>871</v>
      </c>
      <c r="T335" t="s">
        <v>872</v>
      </c>
      <c r="U335" t="s">
        <v>56</v>
      </c>
      <c r="V335" t="s">
        <v>873</v>
      </c>
      <c r="W335" s="16" t="s">
        <v>924</v>
      </c>
      <c r="X335" t="s">
        <v>875</v>
      </c>
      <c r="AC335" t="s">
        <v>60</v>
      </c>
      <c r="AE335" s="15"/>
      <c r="AG335" s="17">
        <v>43.850090000000002</v>
      </c>
      <c r="AH335" s="17">
        <v>-83.923749999999998</v>
      </c>
      <c r="AI335" t="s">
        <v>925</v>
      </c>
      <c r="AL335" t="s">
        <v>62</v>
      </c>
      <c r="AM335" t="s">
        <v>63</v>
      </c>
      <c r="AN335" t="s">
        <v>926</v>
      </c>
      <c r="AO335">
        <v>185912</v>
      </c>
      <c r="AQ335" t="s">
        <v>927</v>
      </c>
      <c r="AR335" t="s">
        <v>928</v>
      </c>
      <c r="AS335" t="s">
        <v>929</v>
      </c>
      <c r="AT335" t="s">
        <v>68</v>
      </c>
      <c r="AV335" t="s">
        <v>930</v>
      </c>
      <c r="AW335" t="s">
        <v>931</v>
      </c>
      <c r="AX335" t="s">
        <v>932</v>
      </c>
      <c r="BA335" s="14" t="s">
        <v>72</v>
      </c>
      <c r="BB335" s="14" t="s">
        <v>73</v>
      </c>
      <c r="BC335" s="14" t="s">
        <v>74</v>
      </c>
    </row>
    <row r="336" spans="1:55" ht="15" customHeight="1" x14ac:dyDescent="0.4">
      <c r="A336" s="12">
        <v>2330</v>
      </c>
      <c r="B336" t="s">
        <v>933</v>
      </c>
      <c r="D336" t="s">
        <v>934</v>
      </c>
      <c r="E336" s="13"/>
      <c r="F336" s="41"/>
      <c r="G336" s="41"/>
      <c r="H336" s="41"/>
      <c r="I336" s="41"/>
      <c r="J336" s="41"/>
      <c r="K336" s="65" t="str">
        <f>IFERROR(VLOOKUP(D336,Sheet4!A$1:M$56,11,FALSE),"")</f>
        <v>Based on ADMIXTURE results of 78,187 SNPs, trace admixed (Q&lt;0.10) with Quercus bicolor</v>
      </c>
      <c r="L336" s="65" t="str">
        <f t="shared" si="5"/>
        <v>Based on ADMIXTURE results of 78,187 SNPs, trace admixed (Q&lt;0.10) with Quercus bicolor</v>
      </c>
      <c r="M336" s="14" t="s">
        <v>49</v>
      </c>
      <c r="N336" s="15">
        <v>42963</v>
      </c>
      <c r="O336" t="s">
        <v>870</v>
      </c>
      <c r="P336" t="s">
        <v>51</v>
      </c>
      <c r="Q336" s="15" t="s">
        <v>52</v>
      </c>
      <c r="R336" t="s">
        <v>53</v>
      </c>
      <c r="S336" t="s">
        <v>871</v>
      </c>
      <c r="T336" t="s">
        <v>872</v>
      </c>
      <c r="U336" t="s">
        <v>56</v>
      </c>
      <c r="V336" t="s">
        <v>873</v>
      </c>
      <c r="W336" s="16" t="s">
        <v>924</v>
      </c>
      <c r="X336" t="s">
        <v>875</v>
      </c>
      <c r="AC336" t="s">
        <v>60</v>
      </c>
      <c r="AE336" s="15"/>
      <c r="AG336" s="17">
        <v>43.849609999999998</v>
      </c>
      <c r="AH336" s="17">
        <v>-83.923469999999995</v>
      </c>
      <c r="AI336" t="s">
        <v>935</v>
      </c>
      <c r="AL336" t="s">
        <v>62</v>
      </c>
      <c r="AM336" t="s">
        <v>63</v>
      </c>
      <c r="AN336" t="s">
        <v>936</v>
      </c>
      <c r="AO336">
        <v>185913</v>
      </c>
      <c r="AQ336" t="s">
        <v>937</v>
      </c>
      <c r="AR336" t="s">
        <v>938</v>
      </c>
      <c r="AS336" t="s">
        <v>939</v>
      </c>
      <c r="AT336" t="s">
        <v>68</v>
      </c>
      <c r="AV336" t="s">
        <v>940</v>
      </c>
      <c r="AW336" t="s">
        <v>941</v>
      </c>
      <c r="AX336" t="s">
        <v>942</v>
      </c>
      <c r="BA336" s="14" t="s">
        <v>72</v>
      </c>
      <c r="BB336" s="14" t="s">
        <v>73</v>
      </c>
      <c r="BC336" s="14" t="s">
        <v>74</v>
      </c>
    </row>
    <row r="337" spans="1:55" ht="15" customHeight="1" x14ac:dyDescent="0.4">
      <c r="A337" s="12">
        <v>2331</v>
      </c>
      <c r="B337" t="s">
        <v>943</v>
      </c>
      <c r="D337" t="s">
        <v>944</v>
      </c>
      <c r="E337" s="13"/>
      <c r="K337" s="65" t="str">
        <f>IFERROR(VLOOKUP(D337,Sheet4!A$1:M$56,11,FALSE),"")</f>
        <v/>
      </c>
      <c r="L337" s="65" t="str">
        <f t="shared" si="5"/>
        <v/>
      </c>
      <c r="M337" s="14" t="s">
        <v>49</v>
      </c>
      <c r="N337" s="15">
        <v>42963</v>
      </c>
      <c r="O337" t="s">
        <v>870</v>
      </c>
      <c r="P337" t="s">
        <v>51</v>
      </c>
      <c r="Q337" s="15" t="s">
        <v>52</v>
      </c>
      <c r="R337" t="s">
        <v>53</v>
      </c>
      <c r="S337" t="s">
        <v>871</v>
      </c>
      <c r="T337" t="s">
        <v>872</v>
      </c>
      <c r="U337" t="s">
        <v>56</v>
      </c>
      <c r="V337" t="s">
        <v>873</v>
      </c>
      <c r="W337" s="16" t="s">
        <v>924</v>
      </c>
      <c r="X337" t="s">
        <v>875</v>
      </c>
      <c r="AC337" t="s">
        <v>78</v>
      </c>
      <c r="AD337" t="s">
        <v>79</v>
      </c>
      <c r="AE337" s="15">
        <v>45597</v>
      </c>
      <c r="AF337" t="s">
        <v>48</v>
      </c>
      <c r="AG337" s="17">
        <v>43.848219999999998</v>
      </c>
      <c r="AH337" s="17">
        <v>-83.923850000000002</v>
      </c>
      <c r="AI337" t="s">
        <v>945</v>
      </c>
      <c r="AL337" t="s">
        <v>62</v>
      </c>
      <c r="AM337" t="s">
        <v>63</v>
      </c>
      <c r="AN337" t="s">
        <v>946</v>
      </c>
      <c r="AO337">
        <v>185914</v>
      </c>
      <c r="AQ337" t="s">
        <v>947</v>
      </c>
      <c r="AR337" t="s">
        <v>948</v>
      </c>
      <c r="AS337" t="s">
        <v>949</v>
      </c>
      <c r="AT337" t="s">
        <v>68</v>
      </c>
      <c r="AV337" t="s">
        <v>950</v>
      </c>
      <c r="AW337" t="s">
        <v>951</v>
      </c>
      <c r="AX337" t="s">
        <v>952</v>
      </c>
      <c r="AY337" s="31" t="s">
        <v>953</v>
      </c>
      <c r="AZ337" s="31" t="s">
        <v>85</v>
      </c>
      <c r="BA337" s="14" t="s">
        <v>72</v>
      </c>
      <c r="BB337" s="14" t="s">
        <v>73</v>
      </c>
      <c r="BC337" s="14" t="s">
        <v>74</v>
      </c>
    </row>
    <row r="338" spans="1:55" ht="15" customHeight="1" x14ac:dyDescent="0.4">
      <c r="A338" s="12">
        <v>2332</v>
      </c>
      <c r="B338" t="s">
        <v>954</v>
      </c>
      <c r="D338" t="s">
        <v>955</v>
      </c>
      <c r="E338" s="13"/>
      <c r="F338" s="45" t="s">
        <v>49</v>
      </c>
      <c r="G338" s="58" t="s">
        <v>8108</v>
      </c>
      <c r="H338" s="58"/>
      <c r="I338" s="45"/>
      <c r="J338" s="45"/>
      <c r="K338" s="65" t="str">
        <f>IFERROR(VLOOKUP(D338,Sheet4!A$1:M$56,11,FALSE),"")</f>
        <v>Based on ADMIXTURE results of 78,187 SNPs, admixed with Quercus bicolor</v>
      </c>
      <c r="L338" s="65" t="str">
        <f t="shared" si="5"/>
        <v>Based on ADMIXTURE results of 78,187 SNPs, admixed with Quercus bicolor</v>
      </c>
      <c r="M338" s="14" t="s">
        <v>49</v>
      </c>
      <c r="N338" s="15">
        <v>42963</v>
      </c>
      <c r="O338" t="s">
        <v>870</v>
      </c>
      <c r="P338" t="s">
        <v>51</v>
      </c>
      <c r="Q338" s="15" t="s">
        <v>52</v>
      </c>
      <c r="R338" t="s">
        <v>53</v>
      </c>
      <c r="S338" t="s">
        <v>871</v>
      </c>
      <c r="T338" t="s">
        <v>872</v>
      </c>
      <c r="U338" t="s">
        <v>56</v>
      </c>
      <c r="V338" t="s">
        <v>873</v>
      </c>
      <c r="W338" s="16" t="s">
        <v>874</v>
      </c>
      <c r="X338" t="s">
        <v>875</v>
      </c>
      <c r="AC338" t="s">
        <v>60</v>
      </c>
      <c r="AE338" s="15"/>
      <c r="AG338" s="17">
        <v>43.854259999999996</v>
      </c>
      <c r="AH338" s="17">
        <v>-83.924679999999995</v>
      </c>
      <c r="AI338" t="s">
        <v>956</v>
      </c>
      <c r="AL338" t="s">
        <v>62</v>
      </c>
      <c r="AM338" t="s">
        <v>63</v>
      </c>
      <c r="AN338" t="s">
        <v>957</v>
      </c>
      <c r="AO338">
        <v>185915</v>
      </c>
      <c r="AQ338" t="s">
        <v>958</v>
      </c>
      <c r="AR338" t="s">
        <v>959</v>
      </c>
      <c r="AS338" t="s">
        <v>960</v>
      </c>
      <c r="AT338" t="s">
        <v>68</v>
      </c>
      <c r="AV338" t="s">
        <v>961</v>
      </c>
      <c r="AW338" t="s">
        <v>962</v>
      </c>
      <c r="AX338" t="s">
        <v>963</v>
      </c>
      <c r="BA338" s="14" t="s">
        <v>72</v>
      </c>
      <c r="BB338" s="14" t="s">
        <v>73</v>
      </c>
      <c r="BC338" s="14" t="s">
        <v>74</v>
      </c>
    </row>
    <row r="339" spans="1:55" ht="15" customHeight="1" x14ac:dyDescent="0.4">
      <c r="A339" s="12">
        <v>2333</v>
      </c>
      <c r="B339" t="s">
        <v>964</v>
      </c>
      <c r="D339" t="s">
        <v>965</v>
      </c>
      <c r="E339" s="13"/>
      <c r="F339" s="45" t="s">
        <v>49</v>
      </c>
      <c r="G339" s="58" t="s">
        <v>8109</v>
      </c>
      <c r="H339" s="58"/>
      <c r="I339" s="45"/>
      <c r="J339" s="45"/>
      <c r="K339" s="65" t="str">
        <f>IFERROR(VLOOKUP(D339,Sheet4!A$1:M$56,11,FALSE),"")</f>
        <v>Based on ADMIXTURE results of 78,187 SNPs, admixed with Quercus bicolor</v>
      </c>
      <c r="L339" s="65" t="str">
        <f t="shared" si="5"/>
        <v>Based on ADMIXTURE results of 78,187 SNPs, admixed with Quercus bicolor</v>
      </c>
      <c r="M339" s="14" t="s">
        <v>49</v>
      </c>
      <c r="N339" s="15">
        <v>42963</v>
      </c>
      <c r="O339" t="s">
        <v>870</v>
      </c>
      <c r="P339" t="s">
        <v>51</v>
      </c>
      <c r="Q339" s="15" t="s">
        <v>52</v>
      </c>
      <c r="R339" t="s">
        <v>53</v>
      </c>
      <c r="S339" t="s">
        <v>871</v>
      </c>
      <c r="T339" t="s">
        <v>872</v>
      </c>
      <c r="U339" t="s">
        <v>56</v>
      </c>
      <c r="V339" t="s">
        <v>873</v>
      </c>
      <c r="W339" s="16" t="s">
        <v>966</v>
      </c>
      <c r="X339" t="s">
        <v>875</v>
      </c>
      <c r="AC339" t="s">
        <v>60</v>
      </c>
      <c r="AE339" s="15"/>
      <c r="AG339" s="17">
        <v>43.855049999999999</v>
      </c>
      <c r="AH339" s="17">
        <v>-83.925020000000004</v>
      </c>
      <c r="AI339" t="s">
        <v>967</v>
      </c>
      <c r="AL339" t="s">
        <v>62</v>
      </c>
      <c r="AM339" t="s">
        <v>63</v>
      </c>
      <c r="AN339" t="s">
        <v>968</v>
      </c>
      <c r="AO339">
        <v>185916</v>
      </c>
      <c r="AQ339" t="s">
        <v>969</v>
      </c>
      <c r="AR339" t="s">
        <v>970</v>
      </c>
      <c r="AS339" t="s">
        <v>971</v>
      </c>
      <c r="AT339" t="s">
        <v>68</v>
      </c>
      <c r="AV339" t="s">
        <v>972</v>
      </c>
      <c r="AW339" t="s">
        <v>973</v>
      </c>
      <c r="AX339" t="s">
        <v>974</v>
      </c>
      <c r="BA339" s="14" t="s">
        <v>72</v>
      </c>
      <c r="BB339" s="14" t="s">
        <v>73</v>
      </c>
      <c r="BC339" s="14" t="s">
        <v>74</v>
      </c>
    </row>
    <row r="340" spans="1:55" ht="15" customHeight="1" x14ac:dyDescent="0.4">
      <c r="A340" s="12">
        <v>2334</v>
      </c>
      <c r="B340" t="s">
        <v>975</v>
      </c>
      <c r="D340" t="s">
        <v>976</v>
      </c>
      <c r="E340" s="13"/>
      <c r="F340" s="41"/>
      <c r="G340" s="41"/>
      <c r="H340" s="41"/>
      <c r="I340" s="41"/>
      <c r="J340" s="41"/>
      <c r="K340" s="65" t="str">
        <f>IFERROR(VLOOKUP(D340,Sheet4!A$1:M$56,11,FALSE),"")</f>
        <v>Based on ADMIXTURE results of 78,187 SNPs, trace admixed (Q&lt;0.10) with Quercus bicolor</v>
      </c>
      <c r="L340" s="65" t="str">
        <f t="shared" si="5"/>
        <v>Based on ADMIXTURE results of 78,187 SNPs, trace admixed (Q&lt;0.10) with Quercus bicolor</v>
      </c>
      <c r="M340" s="14" t="s">
        <v>49</v>
      </c>
      <c r="N340" s="15">
        <v>42963</v>
      </c>
      <c r="O340" t="s">
        <v>870</v>
      </c>
      <c r="P340" t="s">
        <v>51</v>
      </c>
      <c r="Q340" s="15" t="s">
        <v>52</v>
      </c>
      <c r="R340" t="s">
        <v>53</v>
      </c>
      <c r="S340" t="s">
        <v>871</v>
      </c>
      <c r="T340" t="s">
        <v>872</v>
      </c>
      <c r="U340" t="s">
        <v>56</v>
      </c>
      <c r="V340" t="s">
        <v>873</v>
      </c>
      <c r="W340" s="16" t="s">
        <v>874</v>
      </c>
      <c r="X340" t="s">
        <v>875</v>
      </c>
      <c r="AC340" t="s">
        <v>60</v>
      </c>
      <c r="AE340" s="15"/>
      <c r="AG340" s="17">
        <v>43.856029999999997</v>
      </c>
      <c r="AH340" s="17">
        <v>-83.924869999999999</v>
      </c>
      <c r="AI340" t="s">
        <v>977</v>
      </c>
      <c r="AL340" t="s">
        <v>62</v>
      </c>
      <c r="AM340" t="s">
        <v>63</v>
      </c>
      <c r="AN340" t="s">
        <v>978</v>
      </c>
      <c r="AO340">
        <v>185917</v>
      </c>
      <c r="AQ340" t="s">
        <v>979</v>
      </c>
      <c r="AR340" t="s">
        <v>980</v>
      </c>
      <c r="AS340" t="s">
        <v>981</v>
      </c>
      <c r="AT340" t="s">
        <v>68</v>
      </c>
      <c r="AV340" t="s">
        <v>982</v>
      </c>
      <c r="AW340" t="s">
        <v>983</v>
      </c>
      <c r="AX340" t="s">
        <v>984</v>
      </c>
      <c r="BA340" s="14" t="s">
        <v>72</v>
      </c>
      <c r="BB340" s="14" t="s">
        <v>73</v>
      </c>
      <c r="BC340" s="14" t="s">
        <v>74</v>
      </c>
    </row>
    <row r="341" spans="1:55" ht="15" customHeight="1" x14ac:dyDescent="0.4">
      <c r="A341" s="12">
        <v>2335</v>
      </c>
      <c r="B341" t="s">
        <v>985</v>
      </c>
      <c r="D341" t="s">
        <v>986</v>
      </c>
      <c r="E341" s="13"/>
      <c r="F341" s="43" t="s">
        <v>49</v>
      </c>
      <c r="G341" s="43" t="s">
        <v>8110</v>
      </c>
      <c r="H341" s="43"/>
      <c r="I341" s="43"/>
      <c r="J341" s="43"/>
      <c r="K341" s="65" t="str">
        <f>IFERROR(VLOOKUP(D341,Sheet4!A$1:M$56,11,FALSE),"")</f>
        <v>Based on ADMIXTURE results of 78,187 SNPs, trace admixed (Q&lt;0.10) with Quercus bicolor</v>
      </c>
      <c r="L341" s="65" t="str">
        <f t="shared" si="5"/>
        <v>Based on ADMIXTURE results of 78,187 SNPs, trace admixed (Q&lt;0.10) with Quercus bicolor</v>
      </c>
      <c r="M341" s="14" t="s">
        <v>49</v>
      </c>
      <c r="N341" s="15">
        <v>42963</v>
      </c>
      <c r="O341" t="s">
        <v>870</v>
      </c>
      <c r="P341" t="s">
        <v>51</v>
      </c>
      <c r="Q341" s="15" t="s">
        <v>52</v>
      </c>
      <c r="R341" t="s">
        <v>53</v>
      </c>
      <c r="S341" t="s">
        <v>871</v>
      </c>
      <c r="T341" t="s">
        <v>872</v>
      </c>
      <c r="U341" t="s">
        <v>56</v>
      </c>
      <c r="V341" t="s">
        <v>873</v>
      </c>
      <c r="W341" s="16" t="s">
        <v>874</v>
      </c>
      <c r="X341" t="s">
        <v>875</v>
      </c>
      <c r="AC341" t="s">
        <v>78</v>
      </c>
      <c r="AD341" t="s">
        <v>79</v>
      </c>
      <c r="AE341" s="15">
        <v>45597</v>
      </c>
      <c r="AF341" t="s">
        <v>48</v>
      </c>
      <c r="AG341" s="17">
        <v>43.857140000000001</v>
      </c>
      <c r="AH341" s="17">
        <v>-83.925240000000002</v>
      </c>
      <c r="AI341" t="s">
        <v>987</v>
      </c>
      <c r="AL341" t="s">
        <v>62</v>
      </c>
      <c r="AM341" t="s">
        <v>63</v>
      </c>
      <c r="AN341" t="s">
        <v>988</v>
      </c>
      <c r="AO341">
        <v>185918</v>
      </c>
      <c r="AQ341" t="s">
        <v>989</v>
      </c>
      <c r="AR341" t="s">
        <v>990</v>
      </c>
      <c r="AS341" t="s">
        <v>991</v>
      </c>
      <c r="AT341" t="s">
        <v>68</v>
      </c>
      <c r="AV341" t="s">
        <v>992</v>
      </c>
      <c r="AW341" t="s">
        <v>993</v>
      </c>
      <c r="AX341" t="s">
        <v>994</v>
      </c>
      <c r="AY341" s="31" t="s">
        <v>995</v>
      </c>
      <c r="AZ341" s="31" t="s">
        <v>85</v>
      </c>
      <c r="BA341" s="14" t="s">
        <v>72</v>
      </c>
      <c r="BB341" s="14" t="s">
        <v>73</v>
      </c>
      <c r="BC341" s="14" t="s">
        <v>74</v>
      </c>
    </row>
    <row r="342" spans="1:55" ht="15" customHeight="1" x14ac:dyDescent="0.4">
      <c r="A342" s="12">
        <v>2056</v>
      </c>
      <c r="B342" t="s">
        <v>647</v>
      </c>
      <c r="D342" t="s">
        <v>648</v>
      </c>
      <c r="E342" s="13"/>
      <c r="F342" s="41"/>
      <c r="G342" s="41"/>
      <c r="H342" s="41"/>
      <c r="I342" s="41"/>
      <c r="J342" s="41"/>
      <c r="K342" s="65" t="str">
        <f>IFERROR(VLOOKUP(D342,Sheet4!A$1:M$56,11,FALSE),"")</f>
        <v/>
      </c>
      <c r="L342" s="65" t="str">
        <f t="shared" si="5"/>
        <v/>
      </c>
      <c r="M342" s="14" t="s">
        <v>49</v>
      </c>
      <c r="N342" s="15"/>
      <c r="O342" t="s">
        <v>649</v>
      </c>
      <c r="P342" t="s">
        <v>51</v>
      </c>
      <c r="Q342" s="15" t="s">
        <v>650</v>
      </c>
      <c r="R342" t="s">
        <v>53</v>
      </c>
      <c r="S342" t="s">
        <v>651</v>
      </c>
      <c r="T342" t="s">
        <v>652</v>
      </c>
      <c r="U342" t="s">
        <v>56</v>
      </c>
      <c r="V342" s="21" t="s">
        <v>653</v>
      </c>
      <c r="X342" t="s">
        <v>654</v>
      </c>
      <c r="Y342" t="s">
        <v>655</v>
      </c>
      <c r="AC342" t="s">
        <v>49</v>
      </c>
      <c r="AE342" s="15"/>
      <c r="AF342" t="s">
        <v>656</v>
      </c>
      <c r="AG342">
        <v>38.963585999999999</v>
      </c>
      <c r="AH342">
        <v>-98.589060000000003</v>
      </c>
      <c r="AL342" t="s">
        <v>62</v>
      </c>
      <c r="AM342" t="s">
        <v>63</v>
      </c>
      <c r="AN342" s="18" t="s">
        <v>657</v>
      </c>
      <c r="AO342" t="s">
        <v>658</v>
      </c>
      <c r="AP342" t="s">
        <v>659</v>
      </c>
      <c r="AQ342" t="s">
        <v>660</v>
      </c>
      <c r="AR342" t="s">
        <v>661</v>
      </c>
      <c r="AT342" t="s">
        <v>68</v>
      </c>
      <c r="AV342" t="s">
        <v>662</v>
      </c>
      <c r="AW342" t="s">
        <v>663</v>
      </c>
      <c r="AX342" t="s">
        <v>664</v>
      </c>
      <c r="BA342" s="14" t="s">
        <v>72</v>
      </c>
      <c r="BB342" s="14" t="s">
        <v>73</v>
      </c>
      <c r="BC342" s="14" t="s">
        <v>74</v>
      </c>
    </row>
    <row r="343" spans="1:55" ht="15" customHeight="1" x14ac:dyDescent="0.4">
      <c r="A343" s="12">
        <v>2065</v>
      </c>
      <c r="B343" t="s">
        <v>708</v>
      </c>
      <c r="D343" t="s">
        <v>709</v>
      </c>
      <c r="E343" s="13"/>
      <c r="F343" s="41"/>
      <c r="G343" s="41"/>
      <c r="H343" s="41"/>
      <c r="I343" s="41"/>
      <c r="J343" s="41"/>
      <c r="K343" s="65" t="str">
        <f>IFERROR(VLOOKUP(D343,Sheet4!A$1:M$56,11,FALSE),"")</f>
        <v/>
      </c>
      <c r="L343" s="65" t="str">
        <f t="shared" si="5"/>
        <v/>
      </c>
      <c r="M343" s="14" t="s">
        <v>49</v>
      </c>
      <c r="N343" s="15"/>
      <c r="O343" t="s">
        <v>649</v>
      </c>
      <c r="P343" t="s">
        <v>51</v>
      </c>
      <c r="Q343" s="15" t="s">
        <v>650</v>
      </c>
      <c r="R343" t="s">
        <v>53</v>
      </c>
      <c r="S343" t="s">
        <v>651</v>
      </c>
      <c r="T343" t="s">
        <v>652</v>
      </c>
      <c r="U343" t="s">
        <v>56</v>
      </c>
      <c r="V343" s="21" t="s">
        <v>653</v>
      </c>
      <c r="X343" t="s">
        <v>654</v>
      </c>
      <c r="Y343" t="s">
        <v>655</v>
      </c>
      <c r="AC343" t="s">
        <v>49</v>
      </c>
      <c r="AE343" s="15"/>
      <c r="AF343" t="s">
        <v>656</v>
      </c>
      <c r="AG343">
        <v>38.963585999999999</v>
      </c>
      <c r="AH343">
        <v>-98.589060000000003</v>
      </c>
      <c r="AL343" t="s">
        <v>62</v>
      </c>
      <c r="AM343" t="s">
        <v>63</v>
      </c>
      <c r="AN343" s="18" t="s">
        <v>657</v>
      </c>
      <c r="AO343" t="s">
        <v>658</v>
      </c>
      <c r="AP343" t="s">
        <v>659</v>
      </c>
      <c r="AQ343" t="s">
        <v>660</v>
      </c>
      <c r="AR343" t="s">
        <v>661</v>
      </c>
      <c r="AT343" t="s">
        <v>68</v>
      </c>
      <c r="AV343" t="s">
        <v>710</v>
      </c>
      <c r="AW343" t="s">
        <v>711</v>
      </c>
      <c r="AX343" t="s">
        <v>712</v>
      </c>
      <c r="BA343" s="14" t="s">
        <v>72</v>
      </c>
      <c r="BB343" s="14" t="s">
        <v>73</v>
      </c>
      <c r="BC343" s="14" t="s">
        <v>74</v>
      </c>
    </row>
    <row r="344" spans="1:55" ht="15" customHeight="1" x14ac:dyDescent="0.4">
      <c r="A344" s="12">
        <v>2057</v>
      </c>
      <c r="B344" t="s">
        <v>665</v>
      </c>
      <c r="D344" t="s">
        <v>666</v>
      </c>
      <c r="E344" s="13"/>
      <c r="F344" s="41"/>
      <c r="G344" s="41"/>
      <c r="H344" s="41"/>
      <c r="I344" s="41"/>
      <c r="J344" s="41"/>
      <c r="K344" s="65" t="str">
        <f>IFERROR(VLOOKUP(D344,Sheet4!A$1:M$56,11,FALSE),"")</f>
        <v/>
      </c>
      <c r="L344" s="65" t="str">
        <f t="shared" si="5"/>
        <v/>
      </c>
      <c r="M344" s="14" t="s">
        <v>49</v>
      </c>
      <c r="N344" s="15"/>
      <c r="O344" t="s">
        <v>649</v>
      </c>
      <c r="P344" t="s">
        <v>51</v>
      </c>
      <c r="Q344" s="15" t="s">
        <v>650</v>
      </c>
      <c r="R344" t="s">
        <v>53</v>
      </c>
      <c r="S344" t="s">
        <v>651</v>
      </c>
      <c r="T344" t="s">
        <v>652</v>
      </c>
      <c r="U344" t="s">
        <v>56</v>
      </c>
      <c r="V344" s="21" t="s">
        <v>653</v>
      </c>
      <c r="X344" t="s">
        <v>654</v>
      </c>
      <c r="Y344" t="s">
        <v>655</v>
      </c>
      <c r="AC344" t="s">
        <v>49</v>
      </c>
      <c r="AE344" s="15"/>
      <c r="AF344" t="s">
        <v>656</v>
      </c>
      <c r="AG344">
        <v>38.963585999999999</v>
      </c>
      <c r="AH344">
        <v>-98.589060000000003</v>
      </c>
      <c r="AL344" t="s">
        <v>62</v>
      </c>
      <c r="AM344" t="s">
        <v>63</v>
      </c>
      <c r="AN344" s="18" t="s">
        <v>657</v>
      </c>
      <c r="AO344" t="s">
        <v>658</v>
      </c>
      <c r="AP344" t="s">
        <v>659</v>
      </c>
      <c r="AQ344" t="s">
        <v>660</v>
      </c>
      <c r="AR344" t="s">
        <v>661</v>
      </c>
      <c r="AT344" t="s">
        <v>68</v>
      </c>
      <c r="AV344" t="s">
        <v>667</v>
      </c>
      <c r="AW344" t="s">
        <v>668</v>
      </c>
      <c r="AX344" t="s">
        <v>669</v>
      </c>
      <c r="AY344" s="31" t="s">
        <v>670</v>
      </c>
      <c r="AZ344" s="31" t="s">
        <v>85</v>
      </c>
      <c r="BA344" s="14" t="s">
        <v>72</v>
      </c>
      <c r="BB344" s="14" t="s">
        <v>73</v>
      </c>
      <c r="BC344" s="14" t="s">
        <v>74</v>
      </c>
    </row>
    <row r="345" spans="1:55" ht="15" customHeight="1" x14ac:dyDescent="0.4">
      <c r="A345" s="12">
        <v>2058</v>
      </c>
      <c r="B345" t="s">
        <v>671</v>
      </c>
      <c r="D345" t="s">
        <v>672</v>
      </c>
      <c r="E345" s="13"/>
      <c r="F345" s="41"/>
      <c r="G345" s="41"/>
      <c r="H345" s="41"/>
      <c r="I345" s="41"/>
      <c r="J345" s="41"/>
      <c r="K345" s="65" t="str">
        <f>IFERROR(VLOOKUP(D345,Sheet4!A$1:M$56,11,FALSE),"")</f>
        <v/>
      </c>
      <c r="L345" s="65" t="str">
        <f t="shared" si="5"/>
        <v/>
      </c>
      <c r="M345" s="14" t="s">
        <v>49</v>
      </c>
      <c r="N345" s="15"/>
      <c r="O345" t="s">
        <v>649</v>
      </c>
      <c r="P345" t="s">
        <v>51</v>
      </c>
      <c r="Q345" s="15" t="s">
        <v>650</v>
      </c>
      <c r="R345" t="s">
        <v>53</v>
      </c>
      <c r="S345" t="s">
        <v>651</v>
      </c>
      <c r="T345" t="s">
        <v>652</v>
      </c>
      <c r="U345" t="s">
        <v>56</v>
      </c>
      <c r="V345" s="21" t="s">
        <v>653</v>
      </c>
      <c r="X345" t="s">
        <v>654</v>
      </c>
      <c r="Y345" t="s">
        <v>655</v>
      </c>
      <c r="AC345" t="s">
        <v>49</v>
      </c>
      <c r="AE345" s="15"/>
      <c r="AF345" t="s">
        <v>656</v>
      </c>
      <c r="AG345">
        <v>38.963585999999999</v>
      </c>
      <c r="AH345">
        <v>-98.589060000000003</v>
      </c>
      <c r="AL345" t="s">
        <v>62</v>
      </c>
      <c r="AM345" t="s">
        <v>63</v>
      </c>
      <c r="AN345" s="18" t="s">
        <v>657</v>
      </c>
      <c r="AO345" t="s">
        <v>658</v>
      </c>
      <c r="AP345" t="s">
        <v>659</v>
      </c>
      <c r="AQ345" t="s">
        <v>660</v>
      </c>
      <c r="AR345" t="s">
        <v>661</v>
      </c>
      <c r="AT345" t="s">
        <v>68</v>
      </c>
      <c r="AV345" t="s">
        <v>673</v>
      </c>
      <c r="AW345" t="s">
        <v>674</v>
      </c>
      <c r="AX345" t="s">
        <v>675</v>
      </c>
      <c r="AY345" s="31" t="s">
        <v>676</v>
      </c>
      <c r="AZ345" s="31" t="s">
        <v>85</v>
      </c>
      <c r="BA345" s="14" t="s">
        <v>72</v>
      </c>
      <c r="BB345" s="14" t="s">
        <v>73</v>
      </c>
      <c r="BC345" s="14" t="s">
        <v>74</v>
      </c>
    </row>
    <row r="346" spans="1:55" ht="15" customHeight="1" x14ac:dyDescent="0.4">
      <c r="A346" s="12">
        <v>2059</v>
      </c>
      <c r="B346" t="s">
        <v>677</v>
      </c>
      <c r="D346" t="s">
        <v>678</v>
      </c>
      <c r="E346" s="13"/>
      <c r="F346" s="41"/>
      <c r="G346" s="41"/>
      <c r="H346" s="41"/>
      <c r="I346" s="41"/>
      <c r="J346" s="41"/>
      <c r="K346" s="65" t="str">
        <f>IFERROR(VLOOKUP(D346,Sheet4!A$1:M$56,11,FALSE),"")</f>
        <v/>
      </c>
      <c r="L346" s="65" t="str">
        <f t="shared" si="5"/>
        <v/>
      </c>
      <c r="M346" s="14" t="s">
        <v>49</v>
      </c>
      <c r="N346" s="15"/>
      <c r="O346" t="s">
        <v>649</v>
      </c>
      <c r="P346" t="s">
        <v>51</v>
      </c>
      <c r="Q346" s="15" t="s">
        <v>650</v>
      </c>
      <c r="R346" t="s">
        <v>53</v>
      </c>
      <c r="S346" t="s">
        <v>651</v>
      </c>
      <c r="T346" t="s">
        <v>652</v>
      </c>
      <c r="U346" t="s">
        <v>56</v>
      </c>
      <c r="V346" s="21" t="s">
        <v>653</v>
      </c>
      <c r="X346" t="s">
        <v>654</v>
      </c>
      <c r="Y346" t="s">
        <v>655</v>
      </c>
      <c r="AC346" t="s">
        <v>49</v>
      </c>
      <c r="AE346" s="15"/>
      <c r="AF346" t="s">
        <v>656</v>
      </c>
      <c r="AG346">
        <v>38.963585999999999</v>
      </c>
      <c r="AH346">
        <v>-98.589060000000003</v>
      </c>
      <c r="AL346" t="s">
        <v>62</v>
      </c>
      <c r="AM346" t="s">
        <v>63</v>
      </c>
      <c r="AN346" s="18" t="s">
        <v>657</v>
      </c>
      <c r="AO346" t="s">
        <v>658</v>
      </c>
      <c r="AP346" t="s">
        <v>659</v>
      </c>
      <c r="AQ346" t="s">
        <v>660</v>
      </c>
      <c r="AR346" t="s">
        <v>661</v>
      </c>
      <c r="AT346" t="s">
        <v>68</v>
      </c>
      <c r="AV346" t="s">
        <v>679</v>
      </c>
      <c r="AW346" t="s">
        <v>680</v>
      </c>
      <c r="AX346" t="s">
        <v>681</v>
      </c>
      <c r="AY346" s="31" t="s">
        <v>682</v>
      </c>
      <c r="AZ346" s="31" t="s">
        <v>85</v>
      </c>
      <c r="BA346" s="14" t="s">
        <v>72</v>
      </c>
      <c r="BB346" s="14" t="s">
        <v>73</v>
      </c>
      <c r="BC346" s="14" t="s">
        <v>74</v>
      </c>
    </row>
    <row r="347" spans="1:55" ht="15" customHeight="1" x14ac:dyDescent="0.4">
      <c r="A347" s="12">
        <v>2060</v>
      </c>
      <c r="B347" t="s">
        <v>683</v>
      </c>
      <c r="D347" t="s">
        <v>684</v>
      </c>
      <c r="E347" s="13"/>
      <c r="F347" s="41"/>
      <c r="G347" s="41"/>
      <c r="H347" s="41"/>
      <c r="I347" s="41"/>
      <c r="J347" s="41"/>
      <c r="K347" s="65" t="str">
        <f>IFERROR(VLOOKUP(D347,Sheet4!A$1:M$56,11,FALSE),"")</f>
        <v/>
      </c>
      <c r="L347" s="65" t="str">
        <f t="shared" si="5"/>
        <v/>
      </c>
      <c r="M347" s="14" t="s">
        <v>49</v>
      </c>
      <c r="N347" s="15"/>
      <c r="O347" t="s">
        <v>649</v>
      </c>
      <c r="P347" t="s">
        <v>51</v>
      </c>
      <c r="Q347" s="15" t="s">
        <v>650</v>
      </c>
      <c r="R347" t="s">
        <v>53</v>
      </c>
      <c r="S347" t="s">
        <v>651</v>
      </c>
      <c r="T347" t="s">
        <v>652</v>
      </c>
      <c r="U347" t="s">
        <v>56</v>
      </c>
      <c r="V347" s="21" t="s">
        <v>653</v>
      </c>
      <c r="X347" t="s">
        <v>654</v>
      </c>
      <c r="Y347" t="s">
        <v>655</v>
      </c>
      <c r="AC347" t="s">
        <v>49</v>
      </c>
      <c r="AE347" s="15"/>
      <c r="AF347" t="s">
        <v>656</v>
      </c>
      <c r="AG347">
        <v>38.963585999999999</v>
      </c>
      <c r="AH347">
        <v>-98.589060000000003</v>
      </c>
      <c r="AL347" t="s">
        <v>62</v>
      </c>
      <c r="AM347" t="s">
        <v>63</v>
      </c>
      <c r="AN347" s="18" t="s">
        <v>657</v>
      </c>
      <c r="AO347" t="s">
        <v>658</v>
      </c>
      <c r="AP347" t="s">
        <v>659</v>
      </c>
      <c r="AQ347" t="s">
        <v>660</v>
      </c>
      <c r="AR347" t="s">
        <v>661</v>
      </c>
      <c r="AT347" t="s">
        <v>68</v>
      </c>
      <c r="AV347" t="s">
        <v>685</v>
      </c>
      <c r="AW347" t="s">
        <v>686</v>
      </c>
      <c r="AX347" t="s">
        <v>687</v>
      </c>
      <c r="BA347" s="14" t="s">
        <v>72</v>
      </c>
      <c r="BB347" s="14" t="s">
        <v>73</v>
      </c>
      <c r="BC347" s="14" t="s">
        <v>74</v>
      </c>
    </row>
    <row r="348" spans="1:55" ht="15" customHeight="1" x14ac:dyDescent="0.4">
      <c r="A348" s="12">
        <v>2061</v>
      </c>
      <c r="B348" t="s">
        <v>688</v>
      </c>
      <c r="D348" t="s">
        <v>689</v>
      </c>
      <c r="E348" s="13"/>
      <c r="F348" s="41"/>
      <c r="G348" s="41"/>
      <c r="H348" s="41"/>
      <c r="I348" s="41"/>
      <c r="J348" s="41"/>
      <c r="K348" s="65" t="str">
        <f>IFERROR(VLOOKUP(D348,Sheet4!A$1:M$56,11,FALSE),"")</f>
        <v/>
      </c>
      <c r="L348" s="65" t="str">
        <f t="shared" si="5"/>
        <v/>
      </c>
      <c r="M348" s="14" t="s">
        <v>49</v>
      </c>
      <c r="N348" s="15"/>
      <c r="O348" t="s">
        <v>649</v>
      </c>
      <c r="P348" t="s">
        <v>51</v>
      </c>
      <c r="Q348" s="15" t="s">
        <v>650</v>
      </c>
      <c r="R348" t="s">
        <v>53</v>
      </c>
      <c r="S348" t="s">
        <v>651</v>
      </c>
      <c r="T348" t="s">
        <v>652</v>
      </c>
      <c r="U348" t="s">
        <v>56</v>
      </c>
      <c r="V348" s="21" t="s">
        <v>653</v>
      </c>
      <c r="X348" t="s">
        <v>654</v>
      </c>
      <c r="Y348" t="s">
        <v>655</v>
      </c>
      <c r="AC348" t="s">
        <v>49</v>
      </c>
      <c r="AE348" s="15"/>
      <c r="AF348" t="s">
        <v>656</v>
      </c>
      <c r="AG348">
        <v>38.963585999999999</v>
      </c>
      <c r="AH348">
        <v>-98.589060000000003</v>
      </c>
      <c r="AL348" t="s">
        <v>62</v>
      </c>
      <c r="AM348" t="s">
        <v>63</v>
      </c>
      <c r="AN348" s="18" t="s">
        <v>657</v>
      </c>
      <c r="AO348" t="s">
        <v>658</v>
      </c>
      <c r="AP348" t="s">
        <v>659</v>
      </c>
      <c r="AQ348" t="s">
        <v>660</v>
      </c>
      <c r="AR348" t="s">
        <v>661</v>
      </c>
      <c r="AT348" t="s">
        <v>68</v>
      </c>
      <c r="AV348" t="s">
        <v>690</v>
      </c>
      <c r="AW348" t="s">
        <v>691</v>
      </c>
      <c r="AX348" t="s">
        <v>692</v>
      </c>
      <c r="BA348" s="14" t="s">
        <v>72</v>
      </c>
      <c r="BB348" s="14" t="s">
        <v>73</v>
      </c>
      <c r="BC348" s="14" t="s">
        <v>74</v>
      </c>
    </row>
    <row r="349" spans="1:55" ht="15" customHeight="1" x14ac:dyDescent="0.4">
      <c r="A349" s="12">
        <v>2062</v>
      </c>
      <c r="B349" t="s">
        <v>693</v>
      </c>
      <c r="D349" t="s">
        <v>694</v>
      </c>
      <c r="E349" s="13"/>
      <c r="F349" s="41"/>
      <c r="G349" s="41"/>
      <c r="H349" s="41"/>
      <c r="I349" s="41"/>
      <c r="J349" s="41"/>
      <c r="K349" s="65" t="str">
        <f>IFERROR(VLOOKUP(D349,Sheet4!A$1:M$56,11,FALSE),"")</f>
        <v/>
      </c>
      <c r="L349" s="65" t="str">
        <f t="shared" si="5"/>
        <v/>
      </c>
      <c r="M349" s="14" t="s">
        <v>49</v>
      </c>
      <c r="N349" s="15"/>
      <c r="O349" t="s">
        <v>649</v>
      </c>
      <c r="P349" t="s">
        <v>51</v>
      </c>
      <c r="Q349" s="15" t="s">
        <v>650</v>
      </c>
      <c r="R349" t="s">
        <v>53</v>
      </c>
      <c r="S349" t="s">
        <v>651</v>
      </c>
      <c r="T349" t="s">
        <v>652</v>
      </c>
      <c r="U349" t="s">
        <v>56</v>
      </c>
      <c r="V349" s="21" t="s">
        <v>653</v>
      </c>
      <c r="X349" t="s">
        <v>654</v>
      </c>
      <c r="Y349" t="s">
        <v>655</v>
      </c>
      <c r="AC349" t="s">
        <v>49</v>
      </c>
      <c r="AE349" s="15"/>
      <c r="AF349" t="s">
        <v>656</v>
      </c>
      <c r="AG349">
        <v>38.963585999999999</v>
      </c>
      <c r="AH349">
        <v>-98.589060000000003</v>
      </c>
      <c r="AL349" t="s">
        <v>62</v>
      </c>
      <c r="AM349" t="s">
        <v>63</v>
      </c>
      <c r="AN349" s="18" t="s">
        <v>657</v>
      </c>
      <c r="AO349" t="s">
        <v>658</v>
      </c>
      <c r="AP349" t="s">
        <v>659</v>
      </c>
      <c r="AQ349" t="s">
        <v>660</v>
      </c>
      <c r="AR349" t="s">
        <v>661</v>
      </c>
      <c r="AT349" t="s">
        <v>68</v>
      </c>
      <c r="AV349" t="s">
        <v>695</v>
      </c>
      <c r="AW349" t="s">
        <v>696</v>
      </c>
      <c r="AX349" t="s">
        <v>697</v>
      </c>
      <c r="BA349" s="14" t="s">
        <v>72</v>
      </c>
      <c r="BB349" s="14" t="s">
        <v>73</v>
      </c>
      <c r="BC349" s="14" t="s">
        <v>74</v>
      </c>
    </row>
    <row r="350" spans="1:55" ht="15" customHeight="1" x14ac:dyDescent="0.4">
      <c r="A350" s="12">
        <v>2063</v>
      </c>
      <c r="B350" t="s">
        <v>698</v>
      </c>
      <c r="D350" t="s">
        <v>699</v>
      </c>
      <c r="E350" s="13"/>
      <c r="F350" s="41"/>
      <c r="G350" s="41"/>
      <c r="H350" s="41"/>
      <c r="I350" s="41"/>
      <c r="J350" s="41"/>
      <c r="K350" s="65" t="str">
        <f>IFERROR(VLOOKUP(D350,Sheet4!A$1:M$56,11,FALSE),"")</f>
        <v/>
      </c>
      <c r="L350" s="65" t="str">
        <f t="shared" si="5"/>
        <v/>
      </c>
      <c r="M350" s="14" t="s">
        <v>49</v>
      </c>
      <c r="N350" s="15"/>
      <c r="O350" t="s">
        <v>649</v>
      </c>
      <c r="P350" t="s">
        <v>51</v>
      </c>
      <c r="Q350" s="15" t="s">
        <v>650</v>
      </c>
      <c r="R350" t="s">
        <v>53</v>
      </c>
      <c r="S350" t="s">
        <v>651</v>
      </c>
      <c r="T350" t="s">
        <v>652</v>
      </c>
      <c r="U350" t="s">
        <v>56</v>
      </c>
      <c r="V350" s="21" t="s">
        <v>653</v>
      </c>
      <c r="X350" t="s">
        <v>654</v>
      </c>
      <c r="Y350" t="s">
        <v>655</v>
      </c>
      <c r="AC350" t="s">
        <v>49</v>
      </c>
      <c r="AE350" s="15"/>
      <c r="AF350" t="s">
        <v>656</v>
      </c>
      <c r="AG350">
        <v>38.963585999999999</v>
      </c>
      <c r="AH350">
        <v>-98.589060000000003</v>
      </c>
      <c r="AL350" t="s">
        <v>62</v>
      </c>
      <c r="AM350" t="s">
        <v>63</v>
      </c>
      <c r="AN350" s="18" t="s">
        <v>657</v>
      </c>
      <c r="AO350" t="s">
        <v>658</v>
      </c>
      <c r="AP350" t="s">
        <v>659</v>
      </c>
      <c r="AQ350" t="s">
        <v>660</v>
      </c>
      <c r="AR350" t="s">
        <v>661</v>
      </c>
      <c r="AT350" t="s">
        <v>68</v>
      </c>
      <c r="AV350" t="s">
        <v>700</v>
      </c>
      <c r="AW350" t="s">
        <v>701</v>
      </c>
      <c r="AX350" t="s">
        <v>702</v>
      </c>
      <c r="BA350" s="14" t="s">
        <v>72</v>
      </c>
      <c r="BB350" s="14" t="s">
        <v>73</v>
      </c>
      <c r="BC350" s="14" t="s">
        <v>74</v>
      </c>
    </row>
    <row r="351" spans="1:55" ht="15" customHeight="1" x14ac:dyDescent="0.4">
      <c r="A351" s="12">
        <v>2064</v>
      </c>
      <c r="B351" t="s">
        <v>703</v>
      </c>
      <c r="D351" t="s">
        <v>704</v>
      </c>
      <c r="E351" s="13"/>
      <c r="F351" s="41"/>
      <c r="G351" s="41"/>
      <c r="H351" s="41"/>
      <c r="I351" s="41"/>
      <c r="J351" s="41"/>
      <c r="K351" s="65" t="str">
        <f>IFERROR(VLOOKUP(D351,Sheet4!A$1:M$56,11,FALSE),"")</f>
        <v/>
      </c>
      <c r="L351" s="65" t="str">
        <f t="shared" si="5"/>
        <v/>
      </c>
      <c r="M351" s="14" t="s">
        <v>49</v>
      </c>
      <c r="N351" s="15"/>
      <c r="O351" t="s">
        <v>649</v>
      </c>
      <c r="P351" t="s">
        <v>51</v>
      </c>
      <c r="Q351" s="15" t="s">
        <v>650</v>
      </c>
      <c r="R351" t="s">
        <v>53</v>
      </c>
      <c r="S351" t="s">
        <v>651</v>
      </c>
      <c r="T351" t="s">
        <v>652</v>
      </c>
      <c r="U351" t="s">
        <v>56</v>
      </c>
      <c r="V351" s="21" t="s">
        <v>653</v>
      </c>
      <c r="X351" t="s">
        <v>654</v>
      </c>
      <c r="Y351" t="s">
        <v>655</v>
      </c>
      <c r="AC351" t="s">
        <v>49</v>
      </c>
      <c r="AE351" s="15"/>
      <c r="AF351" t="s">
        <v>656</v>
      </c>
      <c r="AG351">
        <v>38.963585999999999</v>
      </c>
      <c r="AH351">
        <v>-98.589060000000003</v>
      </c>
      <c r="AL351" t="s">
        <v>62</v>
      </c>
      <c r="AM351" t="s">
        <v>63</v>
      </c>
      <c r="AN351" s="18" t="s">
        <v>657</v>
      </c>
      <c r="AO351" t="s">
        <v>658</v>
      </c>
      <c r="AP351" t="s">
        <v>659</v>
      </c>
      <c r="AQ351" t="s">
        <v>660</v>
      </c>
      <c r="AR351" t="s">
        <v>661</v>
      </c>
      <c r="AT351" t="s">
        <v>68</v>
      </c>
      <c r="AV351" t="s">
        <v>705</v>
      </c>
      <c r="AW351" t="s">
        <v>706</v>
      </c>
      <c r="AX351" t="s">
        <v>707</v>
      </c>
      <c r="BA351" s="14" t="s">
        <v>72</v>
      </c>
      <c r="BB351" s="14" t="s">
        <v>73</v>
      </c>
      <c r="BC351" s="14" t="s">
        <v>74</v>
      </c>
    </row>
    <row r="352" spans="1:55" ht="15" customHeight="1" x14ac:dyDescent="0.4">
      <c r="A352" s="12">
        <v>4014</v>
      </c>
      <c r="B352" s="21" t="s">
        <v>7969</v>
      </c>
      <c r="C352" s="13" t="s">
        <v>7970</v>
      </c>
      <c r="D352" s="13" t="s">
        <v>7970</v>
      </c>
      <c r="E352" s="13"/>
      <c r="F352" s="41"/>
      <c r="G352" s="41"/>
      <c r="H352" s="41"/>
      <c r="I352" s="41"/>
      <c r="J352" s="41"/>
      <c r="K352" s="65" t="str">
        <f>IFERROR(VLOOKUP(D352,Sheet4!A$1:M$56,11,FALSE),"")</f>
        <v/>
      </c>
      <c r="L352" s="65" t="str">
        <f t="shared" si="5"/>
        <v/>
      </c>
      <c r="M352" s="14" t="s">
        <v>49</v>
      </c>
      <c r="N352" s="15">
        <v>44784</v>
      </c>
      <c r="O352" t="s">
        <v>7971</v>
      </c>
      <c r="P352" t="s">
        <v>51</v>
      </c>
      <c r="Q352" t="s">
        <v>7972</v>
      </c>
      <c r="R352" t="s">
        <v>53</v>
      </c>
      <c r="S352" t="s">
        <v>999</v>
      </c>
      <c r="T352" t="s">
        <v>7973</v>
      </c>
      <c r="U352" t="s">
        <v>56</v>
      </c>
      <c r="V352" s="21" t="s">
        <v>7974</v>
      </c>
      <c r="W352" s="21"/>
      <c r="X352" t="s">
        <v>7975</v>
      </c>
      <c r="Y352" t="s">
        <v>7976</v>
      </c>
      <c r="AC352" t="s">
        <v>60</v>
      </c>
      <c r="AE352" s="15"/>
      <c r="AG352">
        <v>45.398057999999999</v>
      </c>
      <c r="AH352">
        <v>-93.182768999999993</v>
      </c>
      <c r="AI352" t="s">
        <v>4928</v>
      </c>
      <c r="AL352" t="s">
        <v>1715</v>
      </c>
      <c r="AM352" t="s">
        <v>63</v>
      </c>
      <c r="AN352" t="s">
        <v>7977</v>
      </c>
      <c r="AO352">
        <v>194569</v>
      </c>
      <c r="AQ352" t="s">
        <v>7978</v>
      </c>
      <c r="AR352" t="s">
        <v>7979</v>
      </c>
      <c r="AS352" t="s">
        <v>7980</v>
      </c>
      <c r="AT352" t="s">
        <v>68</v>
      </c>
      <c r="AV352" t="s">
        <v>7981</v>
      </c>
      <c r="AW352" t="s">
        <v>7982</v>
      </c>
      <c r="AX352" t="s">
        <v>7983</v>
      </c>
      <c r="BA352" s="14" t="s">
        <v>72</v>
      </c>
      <c r="BB352" s="14" t="s">
        <v>73</v>
      </c>
      <c r="BC352" s="14" t="s">
        <v>74</v>
      </c>
    </row>
    <row r="353" spans="1:55" ht="15" customHeight="1" x14ac:dyDescent="0.4">
      <c r="A353" s="12">
        <v>4015</v>
      </c>
      <c r="B353" s="21" t="s">
        <v>7984</v>
      </c>
      <c r="C353" s="13" t="s">
        <v>7985</v>
      </c>
      <c r="D353" s="13" t="s">
        <v>7985</v>
      </c>
      <c r="E353" s="13"/>
      <c r="F353" s="41"/>
      <c r="G353" s="41"/>
      <c r="H353" s="41"/>
      <c r="I353" s="41"/>
      <c r="J353" s="41"/>
      <c r="K353" s="65" t="str">
        <f>IFERROR(VLOOKUP(D353,Sheet4!A$1:M$56,11,FALSE),"")</f>
        <v/>
      </c>
      <c r="L353" s="65" t="str">
        <f t="shared" si="5"/>
        <v/>
      </c>
      <c r="M353" s="14" t="s">
        <v>49</v>
      </c>
      <c r="N353" s="15">
        <v>44784</v>
      </c>
      <c r="O353" t="s">
        <v>7971</v>
      </c>
      <c r="P353" t="s">
        <v>51</v>
      </c>
      <c r="Q353" t="s">
        <v>7972</v>
      </c>
      <c r="R353" t="s">
        <v>53</v>
      </c>
      <c r="S353" t="s">
        <v>999</v>
      </c>
      <c r="T353" t="s">
        <v>7973</v>
      </c>
      <c r="U353" t="s">
        <v>56</v>
      </c>
      <c r="V353" s="21" t="s">
        <v>7974</v>
      </c>
      <c r="W353" s="21"/>
      <c r="X353" t="s">
        <v>7986</v>
      </c>
      <c r="Y353" t="s">
        <v>7987</v>
      </c>
      <c r="AB353" t="s">
        <v>1758</v>
      </c>
      <c r="AC353" t="s">
        <v>60</v>
      </c>
      <c r="AE353" s="15"/>
      <c r="AG353">
        <v>45.397713000000003</v>
      </c>
      <c r="AH353">
        <v>-93.182551000000004</v>
      </c>
      <c r="AI353" t="s">
        <v>4892</v>
      </c>
      <c r="AL353" t="s">
        <v>1715</v>
      </c>
      <c r="AM353" t="s">
        <v>63</v>
      </c>
      <c r="AN353" t="s">
        <v>7988</v>
      </c>
      <c r="AO353">
        <v>194570</v>
      </c>
      <c r="AQ353" t="s">
        <v>7989</v>
      </c>
      <c r="AR353" t="s">
        <v>7990</v>
      </c>
      <c r="AS353" t="s">
        <v>7991</v>
      </c>
      <c r="AT353" t="s">
        <v>68</v>
      </c>
      <c r="AV353" t="s">
        <v>7992</v>
      </c>
      <c r="AW353" t="s">
        <v>7993</v>
      </c>
      <c r="AX353" t="s">
        <v>7994</v>
      </c>
      <c r="BA353" s="14" t="s">
        <v>72</v>
      </c>
      <c r="BB353" s="14" t="s">
        <v>73</v>
      </c>
      <c r="BC353" s="14" t="s">
        <v>74</v>
      </c>
    </row>
    <row r="354" spans="1:55" ht="15" customHeight="1" x14ac:dyDescent="0.4">
      <c r="A354" s="12">
        <v>4016</v>
      </c>
      <c r="B354" s="21" t="s">
        <v>7995</v>
      </c>
      <c r="C354" s="13" t="s">
        <v>7996</v>
      </c>
      <c r="D354" s="13" t="s">
        <v>7996</v>
      </c>
      <c r="E354" s="13"/>
      <c r="F354" s="41"/>
      <c r="G354" s="41"/>
      <c r="H354" s="41"/>
      <c r="I354" s="41"/>
      <c r="J354" s="41"/>
      <c r="K354" s="65" t="str">
        <f>IFERROR(VLOOKUP(D354,Sheet4!A$1:M$56,11,FALSE),"")</f>
        <v/>
      </c>
      <c r="L354" s="65" t="str">
        <f t="shared" si="5"/>
        <v/>
      </c>
      <c r="M354" s="14" t="s">
        <v>49</v>
      </c>
      <c r="N354" s="15">
        <v>44784</v>
      </c>
      <c r="O354" t="s">
        <v>7971</v>
      </c>
      <c r="P354" t="s">
        <v>51</v>
      </c>
      <c r="Q354" t="s">
        <v>7972</v>
      </c>
      <c r="R354" t="s">
        <v>53</v>
      </c>
      <c r="S354" t="s">
        <v>999</v>
      </c>
      <c r="T354" t="s">
        <v>7973</v>
      </c>
      <c r="U354" t="s">
        <v>56</v>
      </c>
      <c r="V354" s="21" t="s">
        <v>7974</v>
      </c>
      <c r="W354" s="21"/>
      <c r="X354" t="s">
        <v>7997</v>
      </c>
      <c r="Y354" t="s">
        <v>7998</v>
      </c>
      <c r="AB354" t="s">
        <v>1758</v>
      </c>
      <c r="AC354" t="s">
        <v>60</v>
      </c>
      <c r="AE354" s="15"/>
      <c r="AG354">
        <v>45.398910999999998</v>
      </c>
      <c r="AH354">
        <v>-93.183117999999993</v>
      </c>
      <c r="AI354" t="s">
        <v>4916</v>
      </c>
      <c r="AL354" t="s">
        <v>1715</v>
      </c>
      <c r="AM354" t="s">
        <v>63</v>
      </c>
      <c r="AN354" t="s">
        <v>7999</v>
      </c>
      <c r="AO354">
        <v>194571</v>
      </c>
      <c r="AQ354" t="s">
        <v>8000</v>
      </c>
      <c r="AR354" t="s">
        <v>8001</v>
      </c>
      <c r="AS354" t="s">
        <v>8002</v>
      </c>
      <c r="AT354" t="s">
        <v>68</v>
      </c>
      <c r="AV354" t="s">
        <v>8003</v>
      </c>
      <c r="AW354" t="s">
        <v>8004</v>
      </c>
      <c r="AX354" t="s">
        <v>8005</v>
      </c>
      <c r="BA354" s="14" t="s">
        <v>72</v>
      </c>
      <c r="BB354" s="14" t="s">
        <v>73</v>
      </c>
      <c r="BC354" s="14" t="s">
        <v>74</v>
      </c>
    </row>
    <row r="355" spans="1:55" ht="15" customHeight="1" x14ac:dyDescent="0.4">
      <c r="A355" s="12">
        <v>4017</v>
      </c>
      <c r="B355" s="21" t="s">
        <v>8006</v>
      </c>
      <c r="C355" s="13" t="s">
        <v>8007</v>
      </c>
      <c r="D355" s="13" t="s">
        <v>8007</v>
      </c>
      <c r="E355" s="13"/>
      <c r="F355" s="41"/>
      <c r="G355" s="41"/>
      <c r="H355" s="41"/>
      <c r="I355" s="41"/>
      <c r="J355" s="41"/>
      <c r="K355" s="65" t="str">
        <f>IFERROR(VLOOKUP(D355,Sheet4!A$1:M$56,11,FALSE),"")</f>
        <v/>
      </c>
      <c r="L355" s="65" t="str">
        <f t="shared" si="5"/>
        <v/>
      </c>
      <c r="M355" s="14" t="s">
        <v>49</v>
      </c>
      <c r="N355" s="15">
        <v>44784</v>
      </c>
      <c r="O355" t="s">
        <v>7971</v>
      </c>
      <c r="P355" t="s">
        <v>51</v>
      </c>
      <c r="Q355" t="s">
        <v>7972</v>
      </c>
      <c r="R355" t="s">
        <v>53</v>
      </c>
      <c r="S355" t="s">
        <v>999</v>
      </c>
      <c r="T355" t="s">
        <v>7973</v>
      </c>
      <c r="U355" t="s">
        <v>56</v>
      </c>
      <c r="V355" s="21" t="s">
        <v>7974</v>
      </c>
      <c r="W355" s="21"/>
      <c r="X355" t="s">
        <v>8008</v>
      </c>
      <c r="Y355" t="s">
        <v>8009</v>
      </c>
      <c r="AB355" t="s">
        <v>1758</v>
      </c>
      <c r="AC355" t="s">
        <v>60</v>
      </c>
      <c r="AE355" s="15"/>
      <c r="AG355">
        <v>45.401020000000003</v>
      </c>
      <c r="AH355">
        <v>-93.183355000000006</v>
      </c>
      <c r="AI355" t="s">
        <v>8010</v>
      </c>
      <c r="AL355" t="s">
        <v>1715</v>
      </c>
      <c r="AM355" t="s">
        <v>63</v>
      </c>
      <c r="AN355" t="s">
        <v>8011</v>
      </c>
      <c r="AO355">
        <v>194568</v>
      </c>
      <c r="AQ355" t="s">
        <v>8012</v>
      </c>
      <c r="AR355" t="s">
        <v>8013</v>
      </c>
      <c r="AS355" t="s">
        <v>8014</v>
      </c>
      <c r="AT355" t="s">
        <v>68</v>
      </c>
      <c r="AV355" t="s">
        <v>8015</v>
      </c>
      <c r="AW355" t="s">
        <v>8016</v>
      </c>
      <c r="AX355" t="s">
        <v>8017</v>
      </c>
      <c r="BA355" s="14" t="s">
        <v>72</v>
      </c>
      <c r="BB355" s="14" t="s">
        <v>73</v>
      </c>
      <c r="BC355" s="14" t="s">
        <v>74</v>
      </c>
    </row>
    <row r="356" spans="1:55" ht="15" customHeight="1" x14ac:dyDescent="0.4">
      <c r="A356" s="12">
        <v>4018</v>
      </c>
      <c r="B356" s="21" t="s">
        <v>8018</v>
      </c>
      <c r="C356" s="13" t="s">
        <v>8019</v>
      </c>
      <c r="D356" s="13" t="s">
        <v>8019</v>
      </c>
      <c r="E356" s="13"/>
      <c r="F356" s="41"/>
      <c r="G356" s="41"/>
      <c r="H356" s="41"/>
      <c r="I356" s="41"/>
      <c r="J356" s="41"/>
      <c r="K356" s="65" t="str">
        <f>IFERROR(VLOOKUP(D356,Sheet4!A$1:M$56,11,FALSE),"")</f>
        <v/>
      </c>
      <c r="L356" s="65" t="str">
        <f t="shared" si="5"/>
        <v/>
      </c>
      <c r="M356" s="14" t="s">
        <v>49</v>
      </c>
      <c r="N356" s="15">
        <v>44784</v>
      </c>
      <c r="O356" t="s">
        <v>7971</v>
      </c>
      <c r="P356" t="s">
        <v>51</v>
      </c>
      <c r="Q356" t="s">
        <v>7972</v>
      </c>
      <c r="R356" t="s">
        <v>53</v>
      </c>
      <c r="S356" t="s">
        <v>999</v>
      </c>
      <c r="T356" t="s">
        <v>7973</v>
      </c>
      <c r="U356" t="s">
        <v>56</v>
      </c>
      <c r="V356" s="21" t="s">
        <v>7974</v>
      </c>
      <c r="W356" s="21"/>
      <c r="X356" t="s">
        <v>8020</v>
      </c>
      <c r="Y356" t="s">
        <v>8021</v>
      </c>
      <c r="AB356" t="s">
        <v>1758</v>
      </c>
      <c r="AC356" t="s">
        <v>60</v>
      </c>
      <c r="AE356" s="15"/>
      <c r="AG356">
        <v>45.400162000000002</v>
      </c>
      <c r="AH356">
        <v>-93.183261000000002</v>
      </c>
      <c r="AI356" t="s">
        <v>5221</v>
      </c>
      <c r="AL356" t="s">
        <v>1715</v>
      </c>
      <c r="AM356" t="s">
        <v>63</v>
      </c>
      <c r="AP356" t="s">
        <v>8022</v>
      </c>
      <c r="AT356" t="s">
        <v>68</v>
      </c>
      <c r="AV356" t="s">
        <v>8023</v>
      </c>
      <c r="AW356" t="s">
        <v>8024</v>
      </c>
      <c r="AX356" t="s">
        <v>8025</v>
      </c>
      <c r="BA356" s="14" t="s">
        <v>72</v>
      </c>
      <c r="BB356" s="14" t="s">
        <v>73</v>
      </c>
      <c r="BC356" s="14" t="s">
        <v>74</v>
      </c>
    </row>
    <row r="357" spans="1:55" ht="15" customHeight="1" x14ac:dyDescent="0.4">
      <c r="A357" s="12">
        <v>4020</v>
      </c>
      <c r="B357" s="21" t="s">
        <v>8035</v>
      </c>
      <c r="C357" s="13" t="s">
        <v>8036</v>
      </c>
      <c r="D357" s="13" t="s">
        <v>8036</v>
      </c>
      <c r="E357" s="13"/>
      <c r="F357" s="41"/>
      <c r="G357" s="41"/>
      <c r="H357" s="41"/>
      <c r="I357" s="41"/>
      <c r="J357" s="41"/>
      <c r="K357" s="65" t="str">
        <f>IFERROR(VLOOKUP(D357,Sheet4!A$1:M$56,11,FALSE),"")</f>
        <v>Based on ADMIXTURE results of 78,187 SNPs, trace admixed (Q&lt;0.10) with Quercus lobata</v>
      </c>
      <c r="L357" s="65" t="str">
        <f t="shared" si="5"/>
        <v>Based on ADMIXTURE results of 78,187 SNPs, trace admixed (Q&lt;0.10) with Quercus lobata</v>
      </c>
      <c r="M357" s="14" t="s">
        <v>1878</v>
      </c>
      <c r="N357" s="15">
        <v>44799</v>
      </c>
      <c r="O357" t="s">
        <v>7971</v>
      </c>
      <c r="P357" t="s">
        <v>51</v>
      </c>
      <c r="Q357" t="s">
        <v>7972</v>
      </c>
      <c r="R357" t="s">
        <v>53</v>
      </c>
      <c r="S357" t="s">
        <v>999</v>
      </c>
      <c r="T357" t="s">
        <v>7973</v>
      </c>
      <c r="U357" t="s">
        <v>56</v>
      </c>
      <c r="V357" s="21" t="s">
        <v>7974</v>
      </c>
      <c r="W357" s="21"/>
      <c r="X357" t="s">
        <v>8037</v>
      </c>
      <c r="Y357" t="s">
        <v>8038</v>
      </c>
      <c r="AC357" t="s">
        <v>1881</v>
      </c>
      <c r="AE357" s="15"/>
      <c r="AG357">
        <v>45.424425999999997</v>
      </c>
      <c r="AH357">
        <v>-93.200337000000005</v>
      </c>
      <c r="AI357" t="s">
        <v>8039</v>
      </c>
      <c r="AL357" t="s">
        <v>1715</v>
      </c>
      <c r="AM357" t="s">
        <v>63</v>
      </c>
      <c r="AN357" t="s">
        <v>8040</v>
      </c>
      <c r="AO357">
        <v>194540</v>
      </c>
      <c r="AQ357" t="s">
        <v>8041</v>
      </c>
      <c r="AR357" t="s">
        <v>8042</v>
      </c>
      <c r="AS357" t="s">
        <v>8043</v>
      </c>
      <c r="AT357" t="s">
        <v>68</v>
      </c>
      <c r="AV357" t="s">
        <v>8044</v>
      </c>
      <c r="AW357" t="s">
        <v>8045</v>
      </c>
      <c r="AX357" t="s">
        <v>8046</v>
      </c>
      <c r="BA357" s="14" t="s">
        <v>72</v>
      </c>
      <c r="BB357" s="14" t="s">
        <v>73</v>
      </c>
      <c r="BC357" s="14" t="s">
        <v>1723</v>
      </c>
    </row>
    <row r="358" spans="1:55" ht="15" customHeight="1" x14ac:dyDescent="0.4">
      <c r="A358" s="12">
        <v>4021</v>
      </c>
      <c r="B358" s="21" t="s">
        <v>8047</v>
      </c>
      <c r="C358" s="13" t="s">
        <v>8048</v>
      </c>
      <c r="D358" s="13" t="s">
        <v>8048</v>
      </c>
      <c r="E358" s="13"/>
      <c r="F358" s="41"/>
      <c r="G358" s="41"/>
      <c r="H358" s="41"/>
      <c r="I358" s="41"/>
      <c r="J358" s="41"/>
      <c r="K358" s="65" t="str">
        <f>IFERROR(VLOOKUP(D358,Sheet4!A$1:M$56,11,FALSE),"")</f>
        <v/>
      </c>
      <c r="L358" s="65" t="str">
        <f t="shared" si="5"/>
        <v/>
      </c>
      <c r="M358" s="14" t="s">
        <v>1878</v>
      </c>
      <c r="N358" s="15">
        <v>44799</v>
      </c>
      <c r="O358" t="s">
        <v>7971</v>
      </c>
      <c r="P358" t="s">
        <v>51</v>
      </c>
      <c r="Q358" t="s">
        <v>7972</v>
      </c>
      <c r="R358" t="s">
        <v>53</v>
      </c>
      <c r="S358" t="s">
        <v>999</v>
      </c>
      <c r="T358" t="s">
        <v>7973</v>
      </c>
      <c r="U358" t="s">
        <v>56</v>
      </c>
      <c r="V358" s="21" t="s">
        <v>7974</v>
      </c>
      <c r="W358" s="21"/>
      <c r="X358" t="s">
        <v>8049</v>
      </c>
      <c r="Y358" t="s">
        <v>8050</v>
      </c>
      <c r="AC358" t="s">
        <v>1881</v>
      </c>
      <c r="AE358" s="15"/>
      <c r="AG358">
        <v>45.424388</v>
      </c>
      <c r="AH358">
        <v>-93.200192000000001</v>
      </c>
      <c r="AI358" t="s">
        <v>1428</v>
      </c>
      <c r="AL358" t="s">
        <v>1715</v>
      </c>
      <c r="AM358" t="s">
        <v>63</v>
      </c>
      <c r="AN358" t="s">
        <v>8051</v>
      </c>
      <c r="AO358">
        <v>194541</v>
      </c>
      <c r="AQ358" t="s">
        <v>8052</v>
      </c>
      <c r="AR358" t="s">
        <v>8053</v>
      </c>
      <c r="AS358" t="s">
        <v>8054</v>
      </c>
      <c r="AT358" t="s">
        <v>68</v>
      </c>
      <c r="AV358" t="s">
        <v>8055</v>
      </c>
      <c r="AW358" t="s">
        <v>8056</v>
      </c>
      <c r="AX358" t="s">
        <v>8057</v>
      </c>
      <c r="BA358" s="14" t="s">
        <v>72</v>
      </c>
      <c r="BB358" s="14" t="s">
        <v>73</v>
      </c>
      <c r="BC358" s="14" t="s">
        <v>1723</v>
      </c>
    </row>
    <row r="359" spans="1:55" ht="15" customHeight="1" x14ac:dyDescent="0.4">
      <c r="A359" s="12">
        <v>4022</v>
      </c>
      <c r="B359" s="21" t="s">
        <v>8058</v>
      </c>
      <c r="C359" s="13" t="s">
        <v>8059</v>
      </c>
      <c r="D359" s="13" t="s">
        <v>8059</v>
      </c>
      <c r="E359" s="13"/>
      <c r="F359" s="41"/>
      <c r="G359" s="41"/>
      <c r="H359" s="41"/>
      <c r="I359" s="41"/>
      <c r="J359" s="41"/>
      <c r="K359" s="65" t="str">
        <f>IFERROR(VLOOKUP(D359,Sheet4!A$1:M$56,11,FALSE),"")</f>
        <v/>
      </c>
      <c r="L359" s="65" t="str">
        <f t="shared" si="5"/>
        <v/>
      </c>
      <c r="M359" s="14" t="s">
        <v>1878</v>
      </c>
      <c r="N359" s="15">
        <v>44799</v>
      </c>
      <c r="O359" t="s">
        <v>7971</v>
      </c>
      <c r="P359" t="s">
        <v>51</v>
      </c>
      <c r="Q359" t="s">
        <v>7972</v>
      </c>
      <c r="R359" t="s">
        <v>53</v>
      </c>
      <c r="S359" t="s">
        <v>999</v>
      </c>
      <c r="T359" t="s">
        <v>7973</v>
      </c>
      <c r="U359" t="s">
        <v>56</v>
      </c>
      <c r="V359" s="21" t="s">
        <v>7974</v>
      </c>
      <c r="W359" s="21"/>
      <c r="X359" t="s">
        <v>8060</v>
      </c>
      <c r="Y359" t="s">
        <v>8061</v>
      </c>
      <c r="AC359" t="s">
        <v>1881</v>
      </c>
      <c r="AE359" s="15"/>
      <c r="AG359">
        <v>45.424658999999998</v>
      </c>
      <c r="AH359">
        <v>-93.200742000000005</v>
      </c>
      <c r="AI359" t="s">
        <v>8062</v>
      </c>
      <c r="AL359" t="s">
        <v>1715</v>
      </c>
      <c r="AM359" t="s">
        <v>63</v>
      </c>
      <c r="AN359" t="s">
        <v>8063</v>
      </c>
      <c r="AO359">
        <v>194542</v>
      </c>
      <c r="AQ359" t="s">
        <v>8064</v>
      </c>
      <c r="AR359" t="s">
        <v>8065</v>
      </c>
      <c r="AS359" t="s">
        <v>8066</v>
      </c>
      <c r="AT359" t="s">
        <v>68</v>
      </c>
      <c r="AV359" t="s">
        <v>8067</v>
      </c>
      <c r="AW359" t="s">
        <v>8068</v>
      </c>
      <c r="AX359" t="s">
        <v>8069</v>
      </c>
      <c r="BA359" s="14" t="s">
        <v>72</v>
      </c>
      <c r="BB359" s="14" t="s">
        <v>73</v>
      </c>
      <c r="BC359" s="14" t="s">
        <v>1723</v>
      </c>
    </row>
    <row r="360" spans="1:55" ht="15" customHeight="1" x14ac:dyDescent="0.4">
      <c r="A360" s="12">
        <v>4023</v>
      </c>
      <c r="B360" s="21" t="s">
        <v>8070</v>
      </c>
      <c r="C360" s="13" t="s">
        <v>8071</v>
      </c>
      <c r="D360" s="13" t="s">
        <v>8071</v>
      </c>
      <c r="E360" s="13"/>
      <c r="F360" s="41"/>
      <c r="G360" s="41"/>
      <c r="H360" s="41"/>
      <c r="I360" s="41"/>
      <c r="J360" s="41"/>
      <c r="K360" s="65" t="str">
        <f>IFERROR(VLOOKUP(D360,Sheet4!A$1:M$56,11,FALSE),"")</f>
        <v/>
      </c>
      <c r="L360" s="65" t="str">
        <f t="shared" si="5"/>
        <v/>
      </c>
      <c r="M360" s="14" t="s">
        <v>1878</v>
      </c>
      <c r="N360" s="15">
        <v>44799</v>
      </c>
      <c r="O360" t="s">
        <v>7971</v>
      </c>
      <c r="P360" t="s">
        <v>51</v>
      </c>
      <c r="Q360" t="s">
        <v>7972</v>
      </c>
      <c r="R360" t="s">
        <v>53</v>
      </c>
      <c r="S360" t="s">
        <v>999</v>
      </c>
      <c r="T360" t="s">
        <v>7973</v>
      </c>
      <c r="U360" t="s">
        <v>56</v>
      </c>
      <c r="V360" s="21" t="s">
        <v>7974</v>
      </c>
      <c r="W360" s="21"/>
      <c r="X360" t="s">
        <v>8072</v>
      </c>
      <c r="Y360" t="s">
        <v>8073</v>
      </c>
      <c r="AC360" t="s">
        <v>1881</v>
      </c>
      <c r="AE360" s="15"/>
      <c r="AG360">
        <v>45.424821000000001</v>
      </c>
      <c r="AH360">
        <v>-93.201047000000003</v>
      </c>
      <c r="AI360" t="s">
        <v>6130</v>
      </c>
      <c r="AL360" t="s">
        <v>1715</v>
      </c>
      <c r="AM360" t="s">
        <v>63</v>
      </c>
      <c r="AN360" t="s">
        <v>8074</v>
      </c>
      <c r="AO360">
        <v>194543</v>
      </c>
      <c r="AQ360" t="s">
        <v>8075</v>
      </c>
      <c r="AR360" t="s">
        <v>8076</v>
      </c>
      <c r="AS360" t="s">
        <v>8077</v>
      </c>
      <c r="AT360" t="s">
        <v>68</v>
      </c>
      <c r="AV360" t="s">
        <v>8078</v>
      </c>
      <c r="AW360" t="s">
        <v>8079</v>
      </c>
      <c r="AX360" t="s">
        <v>8080</v>
      </c>
      <c r="BA360" s="14" t="s">
        <v>72</v>
      </c>
      <c r="BB360" s="14" t="s">
        <v>73</v>
      </c>
      <c r="BC360" s="14" t="s">
        <v>1723</v>
      </c>
    </row>
    <row r="361" spans="1:55" ht="15" customHeight="1" x14ac:dyDescent="0.4">
      <c r="A361" s="33">
        <v>4019</v>
      </c>
      <c r="B361" s="37" t="s">
        <v>8026</v>
      </c>
      <c r="C361" s="35" t="s">
        <v>8027</v>
      </c>
      <c r="D361" s="35" t="s">
        <v>8027</v>
      </c>
      <c r="E361" s="35" t="s">
        <v>8019</v>
      </c>
      <c r="F361" s="56" t="s">
        <v>1878</v>
      </c>
      <c r="G361" s="56" t="s">
        <v>8141</v>
      </c>
      <c r="H361" s="56" t="s">
        <v>8101</v>
      </c>
      <c r="I361" s="42"/>
      <c r="J361" s="42"/>
      <c r="K361" s="65" t="str">
        <f>IFERROR(VLOOKUP(D361,Sheet4!A$1:M$56,11,FALSE),"")</f>
        <v/>
      </c>
      <c r="L361" s="65" t="str">
        <f t="shared" si="5"/>
        <v/>
      </c>
      <c r="M361" s="34" t="s">
        <v>1878</v>
      </c>
      <c r="N361" s="36">
        <v>44799</v>
      </c>
      <c r="O361" s="34" t="s">
        <v>7971</v>
      </c>
      <c r="P361" s="34" t="s">
        <v>51</v>
      </c>
      <c r="Q361" s="34" t="s">
        <v>7972</v>
      </c>
      <c r="R361" s="34" t="s">
        <v>53</v>
      </c>
      <c r="S361" s="34" t="s">
        <v>999</v>
      </c>
      <c r="T361" s="34" t="s">
        <v>7973</v>
      </c>
      <c r="U361" s="34" t="s">
        <v>56</v>
      </c>
      <c r="V361" s="37" t="s">
        <v>7974</v>
      </c>
      <c r="W361" s="37"/>
      <c r="X361" s="34"/>
      <c r="Y361" s="34"/>
      <c r="Z361" s="34"/>
      <c r="AA361" s="34"/>
      <c r="AB361" s="34"/>
      <c r="AC361" s="34" t="s">
        <v>1881</v>
      </c>
      <c r="AD361" s="34"/>
      <c r="AE361" s="36"/>
      <c r="AF361" s="34"/>
      <c r="AG361" s="34">
        <v>45.400886</v>
      </c>
      <c r="AH361" s="34">
        <v>-93.200292000000005</v>
      </c>
      <c r="AI361" s="34" t="s">
        <v>4952</v>
      </c>
      <c r="AJ361" s="34"/>
      <c r="AK361" s="34"/>
      <c r="AL361" s="34" t="s">
        <v>1715</v>
      </c>
      <c r="AM361" s="34" t="s">
        <v>63</v>
      </c>
      <c r="AN361" s="34" t="s">
        <v>8028</v>
      </c>
      <c r="AO361" s="34">
        <v>194539</v>
      </c>
      <c r="AP361" s="34"/>
      <c r="AQ361" s="34" t="s">
        <v>8029</v>
      </c>
      <c r="AR361" s="34" t="s">
        <v>8030</v>
      </c>
      <c r="AS361" s="34" t="s">
        <v>8031</v>
      </c>
      <c r="AT361" s="34" t="s">
        <v>68</v>
      </c>
      <c r="AU361" s="34"/>
      <c r="AV361" s="34" t="s">
        <v>8032</v>
      </c>
      <c r="AW361" s="34" t="s">
        <v>8033</v>
      </c>
      <c r="AX361" s="34" t="s">
        <v>8034</v>
      </c>
      <c r="AY361" s="34"/>
      <c r="AZ361" s="34"/>
      <c r="BA361" s="34" t="s">
        <v>72</v>
      </c>
      <c r="BB361" s="34" t="s">
        <v>73</v>
      </c>
      <c r="BC361" s="34" t="s">
        <v>1723</v>
      </c>
    </row>
    <row r="362" spans="1:55" ht="15" customHeight="1" x14ac:dyDescent="0.4">
      <c r="A362" s="12">
        <v>3706</v>
      </c>
      <c r="B362" s="21" t="s">
        <v>4370</v>
      </c>
      <c r="C362" s="13" t="s">
        <v>4371</v>
      </c>
      <c r="D362" s="25" t="s">
        <v>4371</v>
      </c>
      <c r="E362" s="13"/>
      <c r="F362" s="41"/>
      <c r="G362" s="41"/>
      <c r="H362" s="41"/>
      <c r="I362" s="41"/>
      <c r="J362" s="41"/>
      <c r="K362" s="65" t="str">
        <f>IFERROR(VLOOKUP(D362,Sheet4!A$1:M$56,11,FALSE),"")</f>
        <v/>
      </c>
      <c r="L362" s="65" t="str">
        <f t="shared" si="5"/>
        <v/>
      </c>
      <c r="M362" s="14" t="s">
        <v>49</v>
      </c>
      <c r="N362" s="15">
        <v>44762</v>
      </c>
      <c r="O362" t="s">
        <v>2719</v>
      </c>
      <c r="P362" t="s">
        <v>51</v>
      </c>
      <c r="Q362" t="s">
        <v>52</v>
      </c>
      <c r="R362" t="s">
        <v>53</v>
      </c>
      <c r="S362" t="s">
        <v>999</v>
      </c>
      <c r="T362" t="s">
        <v>4372</v>
      </c>
      <c r="U362" t="s">
        <v>56</v>
      </c>
      <c r="V362" s="21" t="s">
        <v>4373</v>
      </c>
      <c r="W362" s="21"/>
      <c r="X362" t="s">
        <v>4374</v>
      </c>
      <c r="Y362" t="s">
        <v>4375</v>
      </c>
      <c r="AB362" t="s">
        <v>2336</v>
      </c>
      <c r="AC362" t="s">
        <v>60</v>
      </c>
      <c r="AE362" s="15"/>
      <c r="AG362">
        <v>43.902219000000002</v>
      </c>
      <c r="AH362">
        <v>-91.638919000000001</v>
      </c>
      <c r="AI362" t="s">
        <v>4376</v>
      </c>
      <c r="AL362" t="s">
        <v>1715</v>
      </c>
      <c r="AM362" t="s">
        <v>63</v>
      </c>
      <c r="AN362" t="s">
        <v>4377</v>
      </c>
      <c r="AO362">
        <v>192543</v>
      </c>
      <c r="AQ362" t="s">
        <v>4378</v>
      </c>
      <c r="AR362" t="s">
        <v>4379</v>
      </c>
      <c r="AS362" t="s">
        <v>4380</v>
      </c>
      <c r="AT362" t="s">
        <v>68</v>
      </c>
      <c r="AV362" t="s">
        <v>4381</v>
      </c>
      <c r="AW362" t="s">
        <v>4382</v>
      </c>
      <c r="AX362" t="s">
        <v>4383</v>
      </c>
      <c r="BA362" s="14" t="s">
        <v>72</v>
      </c>
      <c r="BB362" s="14" t="s">
        <v>73</v>
      </c>
      <c r="BC362" s="14" t="s">
        <v>74</v>
      </c>
    </row>
    <row r="363" spans="1:55" ht="15" customHeight="1" x14ac:dyDescent="0.4">
      <c r="A363" s="12">
        <v>3707</v>
      </c>
      <c r="B363" s="21" t="s">
        <v>4384</v>
      </c>
      <c r="C363" s="13" t="s">
        <v>4385</v>
      </c>
      <c r="D363" s="25" t="s">
        <v>4385</v>
      </c>
      <c r="E363" s="13"/>
      <c r="F363" s="41"/>
      <c r="G363" s="41"/>
      <c r="H363" s="41"/>
      <c r="I363" s="41"/>
      <c r="J363" s="41"/>
      <c r="K363" s="65" t="str">
        <f>IFERROR(VLOOKUP(D363,Sheet4!A$1:M$56,11,FALSE),"")</f>
        <v/>
      </c>
      <c r="L363" s="65" t="str">
        <f t="shared" si="5"/>
        <v/>
      </c>
      <c r="M363" s="14" t="s">
        <v>49</v>
      </c>
      <c r="N363" s="15">
        <v>44762</v>
      </c>
      <c r="O363" t="s">
        <v>2719</v>
      </c>
      <c r="P363" t="s">
        <v>51</v>
      </c>
      <c r="Q363" t="s">
        <v>52</v>
      </c>
      <c r="R363" t="s">
        <v>53</v>
      </c>
      <c r="S363" t="s">
        <v>999</v>
      </c>
      <c r="T363" t="s">
        <v>4372</v>
      </c>
      <c r="U363" t="s">
        <v>56</v>
      </c>
      <c r="V363" s="21" t="s">
        <v>4373</v>
      </c>
      <c r="W363" s="21"/>
      <c r="X363" t="s">
        <v>4386</v>
      </c>
      <c r="Y363" t="s">
        <v>4387</v>
      </c>
      <c r="AB363" t="s">
        <v>1758</v>
      </c>
      <c r="AC363" t="s">
        <v>60</v>
      </c>
      <c r="AE363" s="15"/>
      <c r="AG363">
        <v>43.903267</v>
      </c>
      <c r="AH363">
        <v>-91.640004000000005</v>
      </c>
      <c r="AI363" t="s">
        <v>4388</v>
      </c>
      <c r="AL363" t="s">
        <v>1715</v>
      </c>
      <c r="AM363" t="s">
        <v>63</v>
      </c>
      <c r="AN363" t="s">
        <v>4389</v>
      </c>
      <c r="AO363">
        <v>192575</v>
      </c>
      <c r="AQ363" t="s">
        <v>4390</v>
      </c>
      <c r="AR363" t="s">
        <v>4391</v>
      </c>
      <c r="AS363" t="s">
        <v>4392</v>
      </c>
      <c r="AT363" t="s">
        <v>68</v>
      </c>
      <c r="AV363" t="s">
        <v>4393</v>
      </c>
      <c r="AW363" t="s">
        <v>4394</v>
      </c>
      <c r="AX363" t="s">
        <v>4395</v>
      </c>
      <c r="BA363" s="14" t="s">
        <v>72</v>
      </c>
      <c r="BB363" s="14" t="s">
        <v>73</v>
      </c>
      <c r="BC363" s="14" t="s">
        <v>74</v>
      </c>
    </row>
    <row r="364" spans="1:55" ht="15" customHeight="1" x14ac:dyDescent="0.4">
      <c r="A364" s="12">
        <v>3708</v>
      </c>
      <c r="B364" s="21" t="s">
        <v>4396</v>
      </c>
      <c r="C364" s="13" t="s">
        <v>4397</v>
      </c>
      <c r="D364" s="25" t="s">
        <v>4397</v>
      </c>
      <c r="E364" s="13"/>
      <c r="F364" s="41"/>
      <c r="G364" s="41"/>
      <c r="H364" s="41"/>
      <c r="I364" s="41"/>
      <c r="J364" s="41"/>
      <c r="K364" s="65" t="str">
        <f>IFERROR(VLOOKUP(D364,Sheet4!A$1:M$56,11,FALSE),"")</f>
        <v/>
      </c>
      <c r="L364" s="65" t="str">
        <f t="shared" si="5"/>
        <v/>
      </c>
      <c r="M364" s="14" t="s">
        <v>49</v>
      </c>
      <c r="N364" s="15">
        <v>44762</v>
      </c>
      <c r="O364" t="s">
        <v>2719</v>
      </c>
      <c r="P364" t="s">
        <v>51</v>
      </c>
      <c r="Q364" t="s">
        <v>52</v>
      </c>
      <c r="R364" t="s">
        <v>53</v>
      </c>
      <c r="S364" t="s">
        <v>999</v>
      </c>
      <c r="T364" t="s">
        <v>4372</v>
      </c>
      <c r="U364" t="s">
        <v>56</v>
      </c>
      <c r="V364" s="21" t="s">
        <v>4373</v>
      </c>
      <c r="W364" s="21"/>
      <c r="X364" t="s">
        <v>4398</v>
      </c>
      <c r="Y364" t="s">
        <v>4399</v>
      </c>
      <c r="AC364" t="s">
        <v>60</v>
      </c>
      <c r="AE364" s="15"/>
      <c r="AG364">
        <v>43.904381999999998</v>
      </c>
      <c r="AH364">
        <v>-91.639274</v>
      </c>
      <c r="AI364" t="s">
        <v>4400</v>
      </c>
      <c r="AL364" t="s">
        <v>1715</v>
      </c>
      <c r="AM364" t="s">
        <v>63</v>
      </c>
      <c r="AN364" t="s">
        <v>4401</v>
      </c>
      <c r="AO364">
        <v>194471</v>
      </c>
      <c r="AQ364" t="s">
        <v>4402</v>
      </c>
      <c r="AR364" t="s">
        <v>4403</v>
      </c>
      <c r="AS364" t="s">
        <v>4404</v>
      </c>
      <c r="AT364" t="s">
        <v>68</v>
      </c>
      <c r="AV364" t="s">
        <v>4405</v>
      </c>
      <c r="AW364" t="s">
        <v>4406</v>
      </c>
      <c r="AX364" t="s">
        <v>4407</v>
      </c>
      <c r="BA364" s="14" t="s">
        <v>72</v>
      </c>
      <c r="BB364" s="14" t="s">
        <v>73</v>
      </c>
      <c r="BC364" s="14" t="s">
        <v>74</v>
      </c>
    </row>
    <row r="365" spans="1:55" ht="15" customHeight="1" x14ac:dyDescent="0.4">
      <c r="A365" s="12">
        <v>3709</v>
      </c>
      <c r="B365" s="21" t="s">
        <v>4408</v>
      </c>
      <c r="C365" s="13" t="s">
        <v>4409</v>
      </c>
      <c r="D365" s="25" t="s">
        <v>4409</v>
      </c>
      <c r="E365" s="13"/>
      <c r="F365" s="41"/>
      <c r="G365" s="41"/>
      <c r="H365" s="41"/>
      <c r="I365" s="41"/>
      <c r="J365" s="41"/>
      <c r="K365" s="65" t="str">
        <f>IFERROR(VLOOKUP(D365,Sheet4!A$1:M$56,11,FALSE),"")</f>
        <v/>
      </c>
      <c r="L365" s="65" t="str">
        <f t="shared" si="5"/>
        <v/>
      </c>
      <c r="M365" s="14" t="s">
        <v>1878</v>
      </c>
      <c r="N365" s="15">
        <v>44762</v>
      </c>
      <c r="O365" t="s">
        <v>2719</v>
      </c>
      <c r="P365" t="s">
        <v>51</v>
      </c>
      <c r="Q365" t="s">
        <v>52</v>
      </c>
      <c r="R365" t="s">
        <v>53</v>
      </c>
      <c r="S365" t="s">
        <v>999</v>
      </c>
      <c r="T365" t="s">
        <v>4372</v>
      </c>
      <c r="U365" t="s">
        <v>56</v>
      </c>
      <c r="V365" s="21" t="s">
        <v>4373</v>
      </c>
      <c r="W365" s="21"/>
      <c r="X365" t="s">
        <v>4410</v>
      </c>
      <c r="Y365" t="s">
        <v>4411</v>
      </c>
      <c r="AC365" t="s">
        <v>1881</v>
      </c>
      <c r="AE365" s="15"/>
      <c r="AG365">
        <v>43.904418</v>
      </c>
      <c r="AH365">
        <v>-91.639259999999993</v>
      </c>
      <c r="AI365" t="s">
        <v>4412</v>
      </c>
      <c r="AL365" t="s">
        <v>1715</v>
      </c>
      <c r="AM365" t="s">
        <v>63</v>
      </c>
      <c r="AN365" t="s">
        <v>4413</v>
      </c>
      <c r="AO365">
        <v>192539</v>
      </c>
      <c r="AQ365" t="s">
        <v>4414</v>
      </c>
      <c r="AR365" t="s">
        <v>4415</v>
      </c>
      <c r="AS365" t="s">
        <v>4416</v>
      </c>
      <c r="AT365" t="s">
        <v>68</v>
      </c>
      <c r="AV365" t="s">
        <v>4417</v>
      </c>
      <c r="AW365" t="s">
        <v>4418</v>
      </c>
      <c r="AX365" t="s">
        <v>4419</v>
      </c>
      <c r="BA365" s="14" t="s">
        <v>72</v>
      </c>
      <c r="BB365" s="14" t="s">
        <v>73</v>
      </c>
      <c r="BC365" s="14" t="s">
        <v>1723</v>
      </c>
    </row>
    <row r="366" spans="1:55" ht="15" customHeight="1" x14ac:dyDescent="0.4">
      <c r="A366" s="12">
        <v>3710</v>
      </c>
      <c r="B366" s="21" t="s">
        <v>4420</v>
      </c>
      <c r="C366" s="13" t="s">
        <v>4421</v>
      </c>
      <c r="D366" s="25" t="s">
        <v>4421</v>
      </c>
      <c r="E366" s="13"/>
      <c r="F366" s="41"/>
      <c r="G366" s="41"/>
      <c r="H366" s="41"/>
      <c r="I366" s="41"/>
      <c r="J366" s="41"/>
      <c r="K366" s="65" t="str">
        <f>IFERROR(VLOOKUP(D366,Sheet4!A$1:M$56,11,FALSE),"")</f>
        <v/>
      </c>
      <c r="L366" s="65" t="str">
        <f t="shared" si="5"/>
        <v/>
      </c>
      <c r="M366" s="14" t="s">
        <v>49</v>
      </c>
      <c r="N366" s="15">
        <v>44762</v>
      </c>
      <c r="O366" t="s">
        <v>2719</v>
      </c>
      <c r="P366" t="s">
        <v>51</v>
      </c>
      <c r="Q366" t="s">
        <v>52</v>
      </c>
      <c r="R366" t="s">
        <v>53</v>
      </c>
      <c r="S366" t="s">
        <v>999</v>
      </c>
      <c r="T366" t="s">
        <v>4372</v>
      </c>
      <c r="U366" t="s">
        <v>56</v>
      </c>
      <c r="V366" s="21" t="s">
        <v>4373</v>
      </c>
      <c r="W366" s="21"/>
      <c r="X366" t="s">
        <v>4398</v>
      </c>
      <c r="Y366" t="s">
        <v>4422</v>
      </c>
      <c r="AB366" t="s">
        <v>2321</v>
      </c>
      <c r="AC366" t="s">
        <v>60</v>
      </c>
      <c r="AE366" s="15"/>
      <c r="AG366">
        <v>43.904260999999998</v>
      </c>
      <c r="AH366">
        <v>-91.639259999999993</v>
      </c>
      <c r="AI366" t="s">
        <v>4423</v>
      </c>
      <c r="AL366" t="s">
        <v>1715</v>
      </c>
      <c r="AM366" t="s">
        <v>63</v>
      </c>
      <c r="AN366" t="s">
        <v>4424</v>
      </c>
      <c r="AO366">
        <v>192654</v>
      </c>
      <c r="AQ366" t="s">
        <v>4425</v>
      </c>
      <c r="AR366" t="s">
        <v>4426</v>
      </c>
      <c r="AS366" t="s">
        <v>4427</v>
      </c>
      <c r="AT366" t="s">
        <v>68</v>
      </c>
      <c r="AV366" t="s">
        <v>4428</v>
      </c>
      <c r="AW366" t="s">
        <v>4429</v>
      </c>
      <c r="AX366" t="s">
        <v>4430</v>
      </c>
      <c r="BA366" s="14" t="s">
        <v>72</v>
      </c>
      <c r="BB366" s="14" t="s">
        <v>73</v>
      </c>
      <c r="BC366" s="14" t="s">
        <v>74</v>
      </c>
    </row>
    <row r="367" spans="1:55" ht="15" customHeight="1" x14ac:dyDescent="0.4">
      <c r="A367" s="12">
        <v>3711</v>
      </c>
      <c r="B367" s="21" t="s">
        <v>4431</v>
      </c>
      <c r="C367" s="13" t="s">
        <v>4432</v>
      </c>
      <c r="D367" s="25" t="s">
        <v>4432</v>
      </c>
      <c r="E367" s="13"/>
      <c r="F367" s="41"/>
      <c r="G367" s="41"/>
      <c r="H367" s="41"/>
      <c r="I367" s="41"/>
      <c r="J367" s="41"/>
      <c r="K367" s="65" t="str">
        <f>IFERROR(VLOOKUP(D367,Sheet4!A$1:M$56,11,FALSE),"")</f>
        <v/>
      </c>
      <c r="L367" s="65" t="str">
        <f t="shared" si="5"/>
        <v/>
      </c>
      <c r="M367" s="14" t="s">
        <v>49</v>
      </c>
      <c r="N367" s="15">
        <v>44762</v>
      </c>
      <c r="O367" t="s">
        <v>2719</v>
      </c>
      <c r="P367" t="s">
        <v>51</v>
      </c>
      <c r="Q367" t="s">
        <v>52</v>
      </c>
      <c r="R367" t="s">
        <v>53</v>
      </c>
      <c r="S367" t="s">
        <v>999</v>
      </c>
      <c r="T367" t="s">
        <v>4372</v>
      </c>
      <c r="U367" t="s">
        <v>56</v>
      </c>
      <c r="V367" s="21" t="s">
        <v>4373</v>
      </c>
      <c r="W367" s="21"/>
      <c r="X367" t="s">
        <v>2271</v>
      </c>
      <c r="Y367" t="s">
        <v>4433</v>
      </c>
      <c r="AB367" t="s">
        <v>2321</v>
      </c>
      <c r="AC367" t="s">
        <v>60</v>
      </c>
      <c r="AE367" s="15"/>
      <c r="AG367">
        <v>43.892257999999998</v>
      </c>
      <c r="AH367">
        <v>-91.642792</v>
      </c>
      <c r="AI367" t="s">
        <v>4434</v>
      </c>
      <c r="AL367" t="s">
        <v>1715</v>
      </c>
      <c r="AM367" t="s">
        <v>63</v>
      </c>
      <c r="AN367" t="s">
        <v>4435</v>
      </c>
      <c r="AO367">
        <v>194464</v>
      </c>
      <c r="AQ367" t="s">
        <v>4436</v>
      </c>
      <c r="AR367" t="s">
        <v>4437</v>
      </c>
      <c r="AS367" t="s">
        <v>4438</v>
      </c>
      <c r="AT367" t="s">
        <v>68</v>
      </c>
      <c r="AV367" t="s">
        <v>4439</v>
      </c>
      <c r="AW367" t="s">
        <v>4440</v>
      </c>
      <c r="AX367" t="s">
        <v>4441</v>
      </c>
      <c r="BA367" s="14" t="s">
        <v>72</v>
      </c>
      <c r="BB367" s="14" t="s">
        <v>73</v>
      </c>
      <c r="BC367" s="14" t="s">
        <v>74</v>
      </c>
    </row>
    <row r="368" spans="1:55" ht="15" customHeight="1" x14ac:dyDescent="0.4">
      <c r="A368" s="12">
        <v>3712</v>
      </c>
      <c r="B368" s="21" t="s">
        <v>4442</v>
      </c>
      <c r="C368" s="13" t="s">
        <v>4443</v>
      </c>
      <c r="D368" s="25" t="s">
        <v>4443</v>
      </c>
      <c r="E368" s="13"/>
      <c r="F368" s="41" t="s">
        <v>8119</v>
      </c>
      <c r="G368" s="41"/>
      <c r="H368" s="41"/>
      <c r="I368" s="41"/>
      <c r="J368" s="41"/>
      <c r="K368" s="65" t="str">
        <f>IFERROR(VLOOKUP(D368,Sheet4!A$1:M$56,11,FALSE),"")</f>
        <v/>
      </c>
      <c r="L368" s="65" t="str">
        <f t="shared" si="5"/>
        <v/>
      </c>
      <c r="M368" s="14" t="s">
        <v>1878</v>
      </c>
      <c r="N368" s="15">
        <v>44762</v>
      </c>
      <c r="O368" t="s">
        <v>2719</v>
      </c>
      <c r="P368" t="s">
        <v>51</v>
      </c>
      <c r="Q368" t="s">
        <v>52</v>
      </c>
      <c r="R368" t="s">
        <v>53</v>
      </c>
      <c r="S368" t="s">
        <v>999</v>
      </c>
      <c r="T368" t="s">
        <v>4372</v>
      </c>
      <c r="U368" t="s">
        <v>56</v>
      </c>
      <c r="V368" s="21" t="s">
        <v>4373</v>
      </c>
      <c r="W368" s="21"/>
      <c r="X368" t="s">
        <v>4444</v>
      </c>
      <c r="Y368" t="s">
        <v>4445</v>
      </c>
      <c r="AB368" t="s">
        <v>2666</v>
      </c>
      <c r="AC368" t="s">
        <v>1881</v>
      </c>
      <c r="AE368" s="15"/>
      <c r="AG368">
        <v>43.896107999999998</v>
      </c>
      <c r="AH368">
        <v>-91.631756999999993</v>
      </c>
      <c r="AI368" t="s">
        <v>4446</v>
      </c>
      <c r="AL368" t="s">
        <v>1715</v>
      </c>
      <c r="AM368" t="s">
        <v>63</v>
      </c>
      <c r="AN368" t="s">
        <v>4447</v>
      </c>
      <c r="AO368">
        <v>192552</v>
      </c>
      <c r="AQ368" t="s">
        <v>4448</v>
      </c>
      <c r="AR368" t="s">
        <v>4449</v>
      </c>
      <c r="AS368" t="s">
        <v>4450</v>
      </c>
      <c r="AT368" t="s">
        <v>68</v>
      </c>
      <c r="AV368" t="s">
        <v>4451</v>
      </c>
      <c r="AW368" t="s">
        <v>4452</v>
      </c>
      <c r="AX368" t="s">
        <v>4453</v>
      </c>
      <c r="BA368" s="14" t="s">
        <v>72</v>
      </c>
      <c r="BB368" s="14" t="s">
        <v>73</v>
      </c>
      <c r="BC368" s="14" t="s">
        <v>1723</v>
      </c>
    </row>
    <row r="369" spans="1:55" ht="15" customHeight="1" x14ac:dyDescent="0.4">
      <c r="A369" s="12">
        <v>3713</v>
      </c>
      <c r="B369" s="21" t="s">
        <v>4454</v>
      </c>
      <c r="C369" s="13" t="s">
        <v>4455</v>
      </c>
      <c r="D369" s="25" t="s">
        <v>4455</v>
      </c>
      <c r="E369" s="13"/>
      <c r="F369" s="41"/>
      <c r="G369" s="41"/>
      <c r="H369" s="41"/>
      <c r="I369" s="41"/>
      <c r="J369" s="41"/>
      <c r="K369" s="65" t="str">
        <f>IFERROR(VLOOKUP(D369,Sheet4!A$1:M$56,11,FALSE),"")</f>
        <v/>
      </c>
      <c r="L369" s="65" t="str">
        <f t="shared" si="5"/>
        <v/>
      </c>
      <c r="M369" s="14" t="s">
        <v>1878</v>
      </c>
      <c r="N369" s="15">
        <v>44762</v>
      </c>
      <c r="O369" t="s">
        <v>2719</v>
      </c>
      <c r="P369" t="s">
        <v>51</v>
      </c>
      <c r="Q369" t="s">
        <v>52</v>
      </c>
      <c r="R369" t="s">
        <v>53</v>
      </c>
      <c r="S369" t="s">
        <v>999</v>
      </c>
      <c r="T369" t="s">
        <v>4372</v>
      </c>
      <c r="U369" t="s">
        <v>56</v>
      </c>
      <c r="V369" s="21" t="s">
        <v>4373</v>
      </c>
      <c r="W369" s="21"/>
      <c r="X369" t="s">
        <v>4456</v>
      </c>
      <c r="Y369" t="s">
        <v>4457</v>
      </c>
      <c r="AC369" t="s">
        <v>1881</v>
      </c>
      <c r="AE369" s="15"/>
      <c r="AG369">
        <v>43.892114999999997</v>
      </c>
      <c r="AH369">
        <v>-91.632148000000001</v>
      </c>
      <c r="AI369" t="s">
        <v>4446</v>
      </c>
      <c r="AL369" t="s">
        <v>1715</v>
      </c>
      <c r="AM369" t="s">
        <v>63</v>
      </c>
      <c r="AN369" t="s">
        <v>4458</v>
      </c>
      <c r="AO369">
        <v>192538</v>
      </c>
      <c r="AQ369" t="s">
        <v>4459</v>
      </c>
      <c r="AR369" t="s">
        <v>4460</v>
      </c>
      <c r="AS369" t="s">
        <v>4461</v>
      </c>
      <c r="AT369" t="s">
        <v>68</v>
      </c>
      <c r="AV369" t="s">
        <v>4462</v>
      </c>
      <c r="AW369" t="s">
        <v>4463</v>
      </c>
      <c r="AX369" t="s">
        <v>4464</v>
      </c>
      <c r="BA369" s="14" t="s">
        <v>72</v>
      </c>
      <c r="BB369" s="14" t="s">
        <v>73</v>
      </c>
      <c r="BC369" s="14" t="s">
        <v>1723</v>
      </c>
    </row>
    <row r="370" spans="1:55" ht="15" customHeight="1" x14ac:dyDescent="0.4">
      <c r="A370" s="12">
        <v>2424</v>
      </c>
      <c r="B370" t="s">
        <v>996</v>
      </c>
      <c r="D370" t="s">
        <v>997</v>
      </c>
      <c r="E370" s="13"/>
      <c r="F370" s="41"/>
      <c r="G370" s="41"/>
      <c r="H370" s="41"/>
      <c r="I370" s="41"/>
      <c r="J370" s="41"/>
      <c r="K370" s="65" t="str">
        <f>IFERROR(VLOOKUP(D370,Sheet4!A$1:M$56,11,FALSE),"")</f>
        <v/>
      </c>
      <c r="L370" s="65" t="str">
        <f t="shared" si="5"/>
        <v/>
      </c>
      <c r="M370" s="14" t="s">
        <v>49</v>
      </c>
      <c r="N370" s="15">
        <v>42974</v>
      </c>
      <c r="O370" t="s">
        <v>998</v>
      </c>
      <c r="P370" t="s">
        <v>51</v>
      </c>
      <c r="Q370" s="15" t="s">
        <v>52</v>
      </c>
      <c r="R370" t="s">
        <v>53</v>
      </c>
      <c r="S370" t="s">
        <v>999</v>
      </c>
      <c r="T370" t="s">
        <v>1000</v>
      </c>
      <c r="U370" t="s">
        <v>56</v>
      </c>
      <c r="V370" s="16" t="s">
        <v>1001</v>
      </c>
      <c r="W370" s="21"/>
      <c r="X370" t="s">
        <v>1002</v>
      </c>
      <c r="Y370" t="s">
        <v>1003</v>
      </c>
      <c r="AC370" t="s">
        <v>180</v>
      </c>
      <c r="AD370" t="s">
        <v>79</v>
      </c>
      <c r="AE370" s="15">
        <v>45597</v>
      </c>
      <c r="AF370" t="s">
        <v>48</v>
      </c>
      <c r="AG370" s="17">
        <v>44.363880000000002</v>
      </c>
      <c r="AH370" s="17">
        <v>-93.935429999999997</v>
      </c>
      <c r="AI370" t="s">
        <v>1004</v>
      </c>
      <c r="AL370" t="s">
        <v>62</v>
      </c>
      <c r="AM370" t="s">
        <v>63</v>
      </c>
      <c r="AN370" t="s">
        <v>1005</v>
      </c>
      <c r="AO370">
        <v>186406</v>
      </c>
      <c r="AQ370" t="s">
        <v>1006</v>
      </c>
      <c r="AR370" t="s">
        <v>1007</v>
      </c>
      <c r="AS370" t="s">
        <v>1008</v>
      </c>
      <c r="AT370" t="s">
        <v>68</v>
      </c>
      <c r="AV370" t="s">
        <v>1009</v>
      </c>
      <c r="AW370" t="s">
        <v>1010</v>
      </c>
      <c r="AX370" t="s">
        <v>1011</v>
      </c>
      <c r="AY370" s="31" t="s">
        <v>1012</v>
      </c>
      <c r="AZ370" s="31" t="s">
        <v>85</v>
      </c>
      <c r="BA370" s="14" t="s">
        <v>72</v>
      </c>
      <c r="BB370" s="14" t="s">
        <v>73</v>
      </c>
      <c r="BC370" s="14" t="s">
        <v>74</v>
      </c>
    </row>
    <row r="371" spans="1:55" ht="15" customHeight="1" x14ac:dyDescent="0.4">
      <c r="A371" s="12">
        <v>2425</v>
      </c>
      <c r="B371" t="s">
        <v>1013</v>
      </c>
      <c r="D371" t="s">
        <v>1014</v>
      </c>
      <c r="E371" s="13"/>
      <c r="F371" s="41"/>
      <c r="G371" s="41"/>
      <c r="H371" s="41"/>
      <c r="I371" s="41"/>
      <c r="J371" s="41"/>
      <c r="K371" s="65" t="str">
        <f>IFERROR(VLOOKUP(D371,Sheet4!A$1:M$56,11,FALSE),"")</f>
        <v/>
      </c>
      <c r="L371" s="65" t="str">
        <f t="shared" si="5"/>
        <v/>
      </c>
      <c r="M371" s="14" t="s">
        <v>49</v>
      </c>
      <c r="N371" s="15">
        <v>42974</v>
      </c>
      <c r="O371" t="s">
        <v>998</v>
      </c>
      <c r="P371" t="s">
        <v>51</v>
      </c>
      <c r="Q371" s="15" t="s">
        <v>52</v>
      </c>
      <c r="R371" t="s">
        <v>53</v>
      </c>
      <c r="S371" t="s">
        <v>999</v>
      </c>
      <c r="T371" t="s">
        <v>1000</v>
      </c>
      <c r="U371" t="s">
        <v>56</v>
      </c>
      <c r="V371" s="16" t="s">
        <v>1001</v>
      </c>
      <c r="W371" s="21"/>
      <c r="X371" t="s">
        <v>1002</v>
      </c>
      <c r="Y371" t="s">
        <v>1003</v>
      </c>
      <c r="AC371" t="s">
        <v>60</v>
      </c>
      <c r="AE371" s="15"/>
      <c r="AL371" t="s">
        <v>62</v>
      </c>
      <c r="AM371" t="s">
        <v>63</v>
      </c>
      <c r="AN371" t="s">
        <v>1015</v>
      </c>
      <c r="AO371" t="s">
        <v>1016</v>
      </c>
      <c r="AQ371" t="s">
        <v>1017</v>
      </c>
      <c r="AR371" t="s">
        <v>1018</v>
      </c>
      <c r="AS371" t="s">
        <v>1019</v>
      </c>
      <c r="AT371" t="s">
        <v>68</v>
      </c>
      <c r="AV371" t="s">
        <v>1020</v>
      </c>
      <c r="AW371" t="s">
        <v>1021</v>
      </c>
      <c r="AX371" t="s">
        <v>1022</v>
      </c>
      <c r="BA371" s="14" t="s">
        <v>72</v>
      </c>
      <c r="BB371" s="14" t="s">
        <v>73</v>
      </c>
      <c r="BC371" s="14" t="s">
        <v>74</v>
      </c>
    </row>
    <row r="372" spans="1:55" ht="15" customHeight="1" x14ac:dyDescent="0.4">
      <c r="A372" s="12">
        <v>2426</v>
      </c>
      <c r="B372" t="s">
        <v>1023</v>
      </c>
      <c r="D372" t="s">
        <v>1024</v>
      </c>
      <c r="E372" s="13"/>
      <c r="F372" s="41"/>
      <c r="G372" s="41"/>
      <c r="H372" s="41"/>
      <c r="I372" s="41"/>
      <c r="J372" s="41"/>
      <c r="K372" s="65" t="str">
        <f>IFERROR(VLOOKUP(D372,Sheet4!A$1:M$56,11,FALSE),"")</f>
        <v/>
      </c>
      <c r="L372" s="65" t="str">
        <f t="shared" si="5"/>
        <v/>
      </c>
      <c r="M372" s="14" t="s">
        <v>49</v>
      </c>
      <c r="N372" s="15">
        <v>42974</v>
      </c>
      <c r="O372" t="s">
        <v>998</v>
      </c>
      <c r="P372" t="s">
        <v>51</v>
      </c>
      <c r="Q372" s="15" t="s">
        <v>52</v>
      </c>
      <c r="R372" t="s">
        <v>53</v>
      </c>
      <c r="S372" t="s">
        <v>999</v>
      </c>
      <c r="T372" t="s">
        <v>1000</v>
      </c>
      <c r="U372" t="s">
        <v>56</v>
      </c>
      <c r="V372" s="16" t="s">
        <v>1001</v>
      </c>
      <c r="W372" s="21"/>
      <c r="X372" t="s">
        <v>1002</v>
      </c>
      <c r="Y372" t="s">
        <v>1003</v>
      </c>
      <c r="AC372" t="s">
        <v>60</v>
      </c>
      <c r="AE372" s="15"/>
      <c r="AL372" t="s">
        <v>62</v>
      </c>
      <c r="AM372" t="s">
        <v>63</v>
      </c>
      <c r="AN372" t="s">
        <v>1025</v>
      </c>
      <c r="AO372" t="s">
        <v>1026</v>
      </c>
      <c r="AQ372" t="s">
        <v>1027</v>
      </c>
      <c r="AR372" t="s">
        <v>1028</v>
      </c>
      <c r="AS372" t="s">
        <v>1029</v>
      </c>
      <c r="AT372" t="s">
        <v>68</v>
      </c>
      <c r="AV372" t="s">
        <v>1030</v>
      </c>
      <c r="AW372" t="s">
        <v>1031</v>
      </c>
      <c r="AX372" t="s">
        <v>1032</v>
      </c>
      <c r="BA372" s="14" t="s">
        <v>72</v>
      </c>
      <c r="BB372" s="14" t="s">
        <v>73</v>
      </c>
      <c r="BC372" s="14" t="s">
        <v>74</v>
      </c>
    </row>
    <row r="373" spans="1:55" ht="15" customHeight="1" x14ac:dyDescent="0.4">
      <c r="A373" s="12">
        <v>2427</v>
      </c>
      <c r="B373" t="s">
        <v>1033</v>
      </c>
      <c r="D373" t="s">
        <v>1034</v>
      </c>
      <c r="E373" s="13"/>
      <c r="F373" s="41"/>
      <c r="G373" s="41"/>
      <c r="H373" s="41"/>
      <c r="I373" s="41"/>
      <c r="J373" s="41"/>
      <c r="K373" s="65" t="str">
        <f>IFERROR(VLOOKUP(D373,Sheet4!A$1:M$56,11,FALSE),"")</f>
        <v/>
      </c>
      <c r="L373" s="65" t="str">
        <f t="shared" si="5"/>
        <v/>
      </c>
      <c r="M373" s="14" t="s">
        <v>49</v>
      </c>
      <c r="N373" s="15">
        <v>42974</v>
      </c>
      <c r="O373" t="s">
        <v>998</v>
      </c>
      <c r="P373" t="s">
        <v>51</v>
      </c>
      <c r="Q373" s="15" t="s">
        <v>52</v>
      </c>
      <c r="R373" t="s">
        <v>53</v>
      </c>
      <c r="S373" t="s">
        <v>999</v>
      </c>
      <c r="T373" t="s">
        <v>1000</v>
      </c>
      <c r="U373" t="s">
        <v>56</v>
      </c>
      <c r="V373" s="16" t="s">
        <v>1001</v>
      </c>
      <c r="W373" s="21"/>
      <c r="X373" t="s">
        <v>1002</v>
      </c>
      <c r="Y373" t="s">
        <v>1003</v>
      </c>
      <c r="AC373" t="s">
        <v>78</v>
      </c>
      <c r="AD373" t="s">
        <v>1035</v>
      </c>
      <c r="AE373" s="15">
        <v>45597</v>
      </c>
      <c r="AF373" t="s">
        <v>48</v>
      </c>
      <c r="AL373" t="s">
        <v>62</v>
      </c>
      <c r="AM373" t="s">
        <v>63</v>
      </c>
      <c r="AN373" t="s">
        <v>1036</v>
      </c>
      <c r="AO373">
        <v>186382</v>
      </c>
      <c r="AQ373" t="s">
        <v>1037</v>
      </c>
      <c r="AR373" t="s">
        <v>1038</v>
      </c>
      <c r="AS373" t="s">
        <v>1039</v>
      </c>
      <c r="AT373" t="s">
        <v>68</v>
      </c>
      <c r="AV373" t="s">
        <v>1040</v>
      </c>
      <c r="AW373" t="s">
        <v>1041</v>
      </c>
      <c r="AX373" t="s">
        <v>1042</v>
      </c>
      <c r="AY373" s="31" t="s">
        <v>1043</v>
      </c>
      <c r="AZ373" s="31" t="s">
        <v>85</v>
      </c>
      <c r="BA373" s="14" t="s">
        <v>72</v>
      </c>
      <c r="BB373" s="14" t="s">
        <v>73</v>
      </c>
      <c r="BC373" s="14" t="s">
        <v>74</v>
      </c>
    </row>
    <row r="374" spans="1:55" ht="15" customHeight="1" x14ac:dyDescent="0.4">
      <c r="A374" s="12">
        <v>2428</v>
      </c>
      <c r="B374" t="s">
        <v>1044</v>
      </c>
      <c r="D374" t="s">
        <v>1045</v>
      </c>
      <c r="E374" s="13"/>
      <c r="F374" s="41"/>
      <c r="G374" s="41"/>
      <c r="H374" s="41"/>
      <c r="I374" s="41"/>
      <c r="J374" s="41"/>
      <c r="K374" s="65" t="str">
        <f>IFERROR(VLOOKUP(D374,Sheet4!A$1:M$56,11,FALSE),"")</f>
        <v/>
      </c>
      <c r="L374" s="65" t="str">
        <f t="shared" si="5"/>
        <v/>
      </c>
      <c r="M374" s="14" t="s">
        <v>49</v>
      </c>
      <c r="N374" s="15">
        <v>42974</v>
      </c>
      <c r="O374" t="s">
        <v>998</v>
      </c>
      <c r="P374" t="s">
        <v>51</v>
      </c>
      <c r="Q374" s="15" t="s">
        <v>52</v>
      </c>
      <c r="R374" t="s">
        <v>53</v>
      </c>
      <c r="S374" t="s">
        <v>999</v>
      </c>
      <c r="T374" t="s">
        <v>1000</v>
      </c>
      <c r="U374" t="s">
        <v>56</v>
      </c>
      <c r="V374" s="16" t="s">
        <v>1001</v>
      </c>
      <c r="W374" s="21"/>
      <c r="X374" t="s">
        <v>1002</v>
      </c>
      <c r="Y374" t="s">
        <v>1003</v>
      </c>
      <c r="AC374" t="s">
        <v>60</v>
      </c>
      <c r="AE374" s="15"/>
      <c r="AG374">
        <v>44.364130000000003</v>
      </c>
      <c r="AH374">
        <v>-93.935509999999994</v>
      </c>
      <c r="AI374" t="s">
        <v>1046</v>
      </c>
      <c r="AL374" t="s">
        <v>62</v>
      </c>
      <c r="AM374" t="s">
        <v>63</v>
      </c>
      <c r="AN374" t="s">
        <v>1047</v>
      </c>
      <c r="AO374" t="s">
        <v>1048</v>
      </c>
      <c r="AQ374" t="s">
        <v>1049</v>
      </c>
      <c r="AR374" t="s">
        <v>1050</v>
      </c>
      <c r="AS374" t="s">
        <v>1051</v>
      </c>
      <c r="AT374" t="s">
        <v>68</v>
      </c>
      <c r="AV374" t="s">
        <v>1052</v>
      </c>
      <c r="AW374" t="s">
        <v>1053</v>
      </c>
      <c r="AX374" t="s">
        <v>1054</v>
      </c>
      <c r="BA374" s="14" t="s">
        <v>72</v>
      </c>
      <c r="BB374" s="14" t="s">
        <v>73</v>
      </c>
      <c r="BC374" s="14" t="s">
        <v>74</v>
      </c>
    </row>
    <row r="375" spans="1:55" ht="15" customHeight="1" x14ac:dyDescent="0.4">
      <c r="A375" s="12">
        <v>2429</v>
      </c>
      <c r="B375" t="s">
        <v>1055</v>
      </c>
      <c r="D375" t="s">
        <v>1056</v>
      </c>
      <c r="E375" s="13"/>
      <c r="F375" s="41"/>
      <c r="G375" s="41"/>
      <c r="H375" s="41"/>
      <c r="I375" s="41"/>
      <c r="J375" s="41"/>
      <c r="K375" s="65" t="str">
        <f>IFERROR(VLOOKUP(D375,Sheet4!A$1:M$56,11,FALSE),"")</f>
        <v/>
      </c>
      <c r="L375" s="65" t="str">
        <f t="shared" si="5"/>
        <v/>
      </c>
      <c r="M375" s="14" t="s">
        <v>49</v>
      </c>
      <c r="N375" s="15">
        <v>42974</v>
      </c>
      <c r="O375" t="s">
        <v>998</v>
      </c>
      <c r="P375" t="s">
        <v>51</v>
      </c>
      <c r="Q375" s="15" t="s">
        <v>52</v>
      </c>
      <c r="R375" t="s">
        <v>53</v>
      </c>
      <c r="S375" t="s">
        <v>999</v>
      </c>
      <c r="T375" t="s">
        <v>1000</v>
      </c>
      <c r="U375" t="s">
        <v>56</v>
      </c>
      <c r="V375" s="16" t="s">
        <v>1001</v>
      </c>
      <c r="W375" s="21"/>
      <c r="X375" t="s">
        <v>1002</v>
      </c>
      <c r="Y375" t="s">
        <v>1003</v>
      </c>
      <c r="AC375" t="s">
        <v>60</v>
      </c>
      <c r="AE375" s="15"/>
      <c r="AL375" t="s">
        <v>62</v>
      </c>
      <c r="AM375" t="s">
        <v>63</v>
      </c>
      <c r="AN375" t="s">
        <v>1057</v>
      </c>
      <c r="AO375" t="s">
        <v>1058</v>
      </c>
      <c r="AQ375" t="s">
        <v>1059</v>
      </c>
      <c r="AR375" t="s">
        <v>1060</v>
      </c>
      <c r="AS375" t="s">
        <v>1061</v>
      </c>
      <c r="AT375" t="s">
        <v>68</v>
      </c>
      <c r="AV375" t="s">
        <v>1062</v>
      </c>
      <c r="AW375" t="s">
        <v>1063</v>
      </c>
      <c r="AX375" t="s">
        <v>1064</v>
      </c>
      <c r="BA375" s="14" t="s">
        <v>72</v>
      </c>
      <c r="BB375" s="14" t="s">
        <v>73</v>
      </c>
      <c r="BC375" s="14" t="s">
        <v>74</v>
      </c>
    </row>
    <row r="376" spans="1:55" ht="15" customHeight="1" x14ac:dyDescent="0.4">
      <c r="A376" s="12">
        <v>2430</v>
      </c>
      <c r="B376" t="s">
        <v>1065</v>
      </c>
      <c r="D376" t="s">
        <v>1066</v>
      </c>
      <c r="E376" s="13"/>
      <c r="F376" s="41"/>
      <c r="G376" s="41"/>
      <c r="H376" s="41"/>
      <c r="I376" s="41"/>
      <c r="J376" s="41"/>
      <c r="K376" s="65" t="str">
        <f>IFERROR(VLOOKUP(D376,Sheet4!A$1:M$56,11,FALSE),"")</f>
        <v/>
      </c>
      <c r="L376" s="65" t="str">
        <f t="shared" si="5"/>
        <v/>
      </c>
      <c r="M376" s="14" t="s">
        <v>49</v>
      </c>
      <c r="N376" s="15">
        <v>42974</v>
      </c>
      <c r="O376" t="s">
        <v>998</v>
      </c>
      <c r="P376" t="s">
        <v>51</v>
      </c>
      <c r="Q376" s="15" t="s">
        <v>52</v>
      </c>
      <c r="R376" t="s">
        <v>53</v>
      </c>
      <c r="S376" t="s">
        <v>999</v>
      </c>
      <c r="T376" t="s">
        <v>1000</v>
      </c>
      <c r="U376" t="s">
        <v>56</v>
      </c>
      <c r="V376" s="16" t="s">
        <v>1001</v>
      </c>
      <c r="W376" s="21"/>
      <c r="X376" t="s">
        <v>1002</v>
      </c>
      <c r="Y376" t="s">
        <v>1003</v>
      </c>
      <c r="AC376" t="s">
        <v>78</v>
      </c>
      <c r="AD376" t="s">
        <v>79</v>
      </c>
      <c r="AE376" s="15">
        <v>45597</v>
      </c>
      <c r="AF376" t="s">
        <v>48</v>
      </c>
      <c r="AL376" t="s">
        <v>62</v>
      </c>
      <c r="AM376" t="s">
        <v>63</v>
      </c>
      <c r="AN376" t="s">
        <v>1067</v>
      </c>
      <c r="AO376">
        <v>186094</v>
      </c>
      <c r="AQ376" t="s">
        <v>1068</v>
      </c>
      <c r="AR376" t="s">
        <v>1069</v>
      </c>
      <c r="AS376" t="s">
        <v>1070</v>
      </c>
      <c r="AT376" t="s">
        <v>68</v>
      </c>
      <c r="AV376" t="s">
        <v>1071</v>
      </c>
      <c r="AW376" t="s">
        <v>1072</v>
      </c>
      <c r="AX376" t="s">
        <v>1073</v>
      </c>
      <c r="AY376" s="31" t="s">
        <v>1074</v>
      </c>
      <c r="AZ376" s="31" t="s">
        <v>85</v>
      </c>
      <c r="BA376" s="14" t="s">
        <v>72</v>
      </c>
      <c r="BB376" s="14" t="s">
        <v>73</v>
      </c>
      <c r="BC376" s="14" t="s">
        <v>74</v>
      </c>
    </row>
    <row r="377" spans="1:55" ht="15" customHeight="1" x14ac:dyDescent="0.4">
      <c r="A377" s="12">
        <v>2431</v>
      </c>
      <c r="B377" t="s">
        <v>1075</v>
      </c>
      <c r="D377" t="s">
        <v>1076</v>
      </c>
      <c r="E377" s="13"/>
      <c r="F377" s="41"/>
      <c r="G377" s="41"/>
      <c r="H377" s="41"/>
      <c r="I377" s="41"/>
      <c r="J377" s="41"/>
      <c r="K377" s="65" t="str">
        <f>IFERROR(VLOOKUP(D377,Sheet4!A$1:M$56,11,FALSE),"")</f>
        <v/>
      </c>
      <c r="L377" s="65" t="str">
        <f t="shared" si="5"/>
        <v/>
      </c>
      <c r="M377" s="14" t="s">
        <v>49</v>
      </c>
      <c r="N377" s="15">
        <v>42974</v>
      </c>
      <c r="O377" t="s">
        <v>998</v>
      </c>
      <c r="P377" t="s">
        <v>51</v>
      </c>
      <c r="Q377" s="15" t="s">
        <v>52</v>
      </c>
      <c r="R377" t="s">
        <v>53</v>
      </c>
      <c r="S377" t="s">
        <v>999</v>
      </c>
      <c r="T377" t="s">
        <v>1000</v>
      </c>
      <c r="U377" t="s">
        <v>56</v>
      </c>
      <c r="V377" s="16" t="s">
        <v>1001</v>
      </c>
      <c r="W377" s="21"/>
      <c r="X377" t="s">
        <v>1002</v>
      </c>
      <c r="Y377" t="s">
        <v>1003</v>
      </c>
      <c r="AC377" t="s">
        <v>60</v>
      </c>
      <c r="AE377" s="15"/>
      <c r="AL377" t="s">
        <v>62</v>
      </c>
      <c r="AM377" t="s">
        <v>63</v>
      </c>
      <c r="AN377" t="s">
        <v>1077</v>
      </c>
      <c r="AO377" t="s">
        <v>1078</v>
      </c>
      <c r="AQ377" t="s">
        <v>1079</v>
      </c>
      <c r="AR377" t="s">
        <v>1080</v>
      </c>
      <c r="AS377" t="s">
        <v>1081</v>
      </c>
      <c r="AT377" t="s">
        <v>68</v>
      </c>
      <c r="AV377" t="s">
        <v>1082</v>
      </c>
      <c r="AW377" t="s">
        <v>1083</v>
      </c>
      <c r="AX377" t="s">
        <v>1084</v>
      </c>
      <c r="BA377" s="14" t="s">
        <v>72</v>
      </c>
      <c r="BB377" s="14" t="s">
        <v>73</v>
      </c>
      <c r="BC377" s="14" t="s">
        <v>74</v>
      </c>
    </row>
    <row r="378" spans="1:55" ht="15" customHeight="1" x14ac:dyDescent="0.4">
      <c r="A378" s="12">
        <v>2432</v>
      </c>
      <c r="B378" t="s">
        <v>1085</v>
      </c>
      <c r="D378" t="s">
        <v>1086</v>
      </c>
      <c r="E378" s="13"/>
      <c r="F378" s="41"/>
      <c r="G378" s="41"/>
      <c r="H378" s="41"/>
      <c r="I378" s="41"/>
      <c r="J378" s="41"/>
      <c r="K378" s="65" t="str">
        <f>IFERROR(VLOOKUP(D378,Sheet4!A$1:M$56,11,FALSE),"")</f>
        <v/>
      </c>
      <c r="L378" s="65" t="str">
        <f t="shared" si="5"/>
        <v/>
      </c>
      <c r="M378" s="14" t="s">
        <v>49</v>
      </c>
      <c r="N378" s="15">
        <v>42974</v>
      </c>
      <c r="O378" t="s">
        <v>998</v>
      </c>
      <c r="P378" t="s">
        <v>51</v>
      </c>
      <c r="Q378" s="15" t="s">
        <v>52</v>
      </c>
      <c r="R378" t="s">
        <v>53</v>
      </c>
      <c r="S378" t="s">
        <v>999</v>
      </c>
      <c r="T378" t="s">
        <v>1000</v>
      </c>
      <c r="U378" t="s">
        <v>56</v>
      </c>
      <c r="V378" s="16" t="s">
        <v>1001</v>
      </c>
      <c r="W378" s="21"/>
      <c r="X378" t="s">
        <v>1002</v>
      </c>
      <c r="Y378" t="s">
        <v>1003</v>
      </c>
      <c r="AC378" t="s">
        <v>60</v>
      </c>
      <c r="AE378" s="15"/>
      <c r="AG378">
        <v>44.363889999999998</v>
      </c>
      <c r="AH378">
        <v>-93.935389999999998</v>
      </c>
      <c r="AI378" t="s">
        <v>1087</v>
      </c>
      <c r="AL378" t="s">
        <v>62</v>
      </c>
      <c r="AM378" t="s">
        <v>63</v>
      </c>
      <c r="AN378" t="s">
        <v>1088</v>
      </c>
      <c r="AO378" t="s">
        <v>1089</v>
      </c>
      <c r="AQ378" t="s">
        <v>1090</v>
      </c>
      <c r="AR378" t="s">
        <v>1091</v>
      </c>
      <c r="AS378" t="s">
        <v>1092</v>
      </c>
      <c r="AT378" t="s">
        <v>68</v>
      </c>
      <c r="AV378" t="s">
        <v>1093</v>
      </c>
      <c r="AW378" t="s">
        <v>1094</v>
      </c>
      <c r="AX378" t="s">
        <v>1095</v>
      </c>
      <c r="BA378" s="14" t="s">
        <v>72</v>
      </c>
      <c r="BB378" s="14" t="s">
        <v>73</v>
      </c>
      <c r="BC378" s="14" t="s">
        <v>74</v>
      </c>
    </row>
    <row r="379" spans="1:55" ht="15" customHeight="1" x14ac:dyDescent="0.4">
      <c r="A379" s="12">
        <v>2433</v>
      </c>
      <c r="B379" t="s">
        <v>1096</v>
      </c>
      <c r="D379" t="s">
        <v>1097</v>
      </c>
      <c r="E379" s="13"/>
      <c r="F379" s="41"/>
      <c r="G379" s="41"/>
      <c r="H379" s="41"/>
      <c r="I379" s="41"/>
      <c r="J379" s="41"/>
      <c r="K379" s="65" t="str">
        <f>IFERROR(VLOOKUP(D379,Sheet4!A$1:M$56,11,FALSE),"")</f>
        <v/>
      </c>
      <c r="L379" s="65" t="str">
        <f t="shared" si="5"/>
        <v/>
      </c>
      <c r="M379" s="14" t="s">
        <v>49</v>
      </c>
      <c r="N379" s="15">
        <v>42975</v>
      </c>
      <c r="O379" t="s">
        <v>998</v>
      </c>
      <c r="P379" t="s">
        <v>51</v>
      </c>
      <c r="Q379" s="15" t="s">
        <v>52</v>
      </c>
      <c r="R379" t="s">
        <v>53</v>
      </c>
      <c r="S379" t="s">
        <v>999</v>
      </c>
      <c r="T379" t="s">
        <v>1098</v>
      </c>
      <c r="U379" t="s">
        <v>56</v>
      </c>
      <c r="V379" s="16" t="s">
        <v>1099</v>
      </c>
      <c r="W379" s="21"/>
      <c r="X379" t="s">
        <v>1100</v>
      </c>
      <c r="AC379" t="s">
        <v>78</v>
      </c>
      <c r="AD379" t="s">
        <v>79</v>
      </c>
      <c r="AE379" s="15">
        <v>45597</v>
      </c>
      <c r="AF379" t="s">
        <v>48</v>
      </c>
      <c r="AG379">
        <v>45.53</v>
      </c>
      <c r="AH379">
        <v>-94.232910000000004</v>
      </c>
      <c r="AI379" t="s">
        <v>1101</v>
      </c>
      <c r="AL379" t="s">
        <v>62</v>
      </c>
      <c r="AM379" t="s">
        <v>63</v>
      </c>
      <c r="AN379" t="s">
        <v>1102</v>
      </c>
      <c r="AO379">
        <v>185922</v>
      </c>
      <c r="AQ379" t="s">
        <v>1103</v>
      </c>
      <c r="AR379" t="s">
        <v>1104</v>
      </c>
      <c r="AS379" t="s">
        <v>1105</v>
      </c>
      <c r="AT379" t="s">
        <v>68</v>
      </c>
      <c r="AV379" t="s">
        <v>1106</v>
      </c>
      <c r="AW379" t="s">
        <v>1107</v>
      </c>
      <c r="AX379" t="s">
        <v>1108</v>
      </c>
      <c r="AY379" s="31" t="s">
        <v>1109</v>
      </c>
      <c r="AZ379" s="31" t="s">
        <v>85</v>
      </c>
      <c r="BA379" s="14" t="s">
        <v>72</v>
      </c>
      <c r="BB379" s="14" t="s">
        <v>73</v>
      </c>
      <c r="BC379" s="14" t="s">
        <v>74</v>
      </c>
    </row>
    <row r="380" spans="1:55" ht="15" customHeight="1" x14ac:dyDescent="0.4">
      <c r="A380" s="12">
        <v>2434</v>
      </c>
      <c r="B380" t="s">
        <v>1110</v>
      </c>
      <c r="D380" t="s">
        <v>1111</v>
      </c>
      <c r="E380" s="13"/>
      <c r="F380" s="41"/>
      <c r="G380" s="41"/>
      <c r="H380" s="41"/>
      <c r="I380" s="41"/>
      <c r="J380" s="41"/>
      <c r="K380" s="65" t="str">
        <f>IFERROR(VLOOKUP(D380,Sheet4!A$1:M$56,11,FALSE),"")</f>
        <v/>
      </c>
      <c r="L380" s="65" t="str">
        <f t="shared" si="5"/>
        <v/>
      </c>
      <c r="M380" s="14" t="s">
        <v>49</v>
      </c>
      <c r="N380" s="15">
        <v>42975</v>
      </c>
      <c r="O380" t="s">
        <v>998</v>
      </c>
      <c r="P380" t="s">
        <v>51</v>
      </c>
      <c r="Q380" s="15" t="s">
        <v>52</v>
      </c>
      <c r="R380" t="s">
        <v>53</v>
      </c>
      <c r="S380" t="s">
        <v>999</v>
      </c>
      <c r="T380" t="s">
        <v>1098</v>
      </c>
      <c r="U380" t="s">
        <v>56</v>
      </c>
      <c r="V380" s="16" t="s">
        <v>1099</v>
      </c>
      <c r="W380" s="21"/>
      <c r="X380" t="s">
        <v>1100</v>
      </c>
      <c r="AC380" t="s">
        <v>60</v>
      </c>
      <c r="AE380" s="15"/>
      <c r="AG380">
        <v>45.529890000000002</v>
      </c>
      <c r="AH380">
        <v>-94.234070000000003</v>
      </c>
      <c r="AI380" t="s">
        <v>1112</v>
      </c>
      <c r="AL380" t="s">
        <v>62</v>
      </c>
      <c r="AM380" t="s">
        <v>63</v>
      </c>
      <c r="AN380" t="s">
        <v>1113</v>
      </c>
      <c r="AO380" t="s">
        <v>1114</v>
      </c>
      <c r="AQ380" t="s">
        <v>1115</v>
      </c>
      <c r="AR380" t="s">
        <v>1116</v>
      </c>
      <c r="AS380" t="s">
        <v>1117</v>
      </c>
      <c r="AT380" t="s">
        <v>68</v>
      </c>
      <c r="AV380" t="s">
        <v>1118</v>
      </c>
      <c r="AW380" t="s">
        <v>1119</v>
      </c>
      <c r="AX380" t="s">
        <v>1120</v>
      </c>
      <c r="BA380" s="14" t="s">
        <v>72</v>
      </c>
      <c r="BB380" s="14" t="s">
        <v>73</v>
      </c>
      <c r="BC380" s="14" t="s">
        <v>74</v>
      </c>
    </row>
    <row r="381" spans="1:55" ht="15" customHeight="1" x14ac:dyDescent="0.4">
      <c r="A381" s="12">
        <v>2435</v>
      </c>
      <c r="B381" t="s">
        <v>1121</v>
      </c>
      <c r="D381" t="s">
        <v>1122</v>
      </c>
      <c r="E381" s="13"/>
      <c r="F381" s="41"/>
      <c r="G381" s="41"/>
      <c r="H381" s="41"/>
      <c r="I381" s="41"/>
      <c r="J381" s="41"/>
      <c r="K381" s="65" t="str">
        <f>IFERROR(VLOOKUP(D381,Sheet4!A$1:M$56,11,FALSE),"")</f>
        <v/>
      </c>
      <c r="L381" s="65" t="str">
        <f t="shared" si="5"/>
        <v/>
      </c>
      <c r="M381" s="14" t="s">
        <v>49</v>
      </c>
      <c r="N381" s="15">
        <v>42975</v>
      </c>
      <c r="O381" t="s">
        <v>998</v>
      </c>
      <c r="P381" t="s">
        <v>51</v>
      </c>
      <c r="Q381" s="15" t="s">
        <v>52</v>
      </c>
      <c r="R381" t="s">
        <v>53</v>
      </c>
      <c r="S381" t="s">
        <v>999</v>
      </c>
      <c r="T381" t="s">
        <v>1098</v>
      </c>
      <c r="U381" t="s">
        <v>56</v>
      </c>
      <c r="V381" s="16" t="s">
        <v>1099</v>
      </c>
      <c r="W381" s="21"/>
      <c r="X381" t="s">
        <v>1100</v>
      </c>
      <c r="AC381" t="s">
        <v>60</v>
      </c>
      <c r="AE381" s="15"/>
      <c r="AG381">
        <v>45.530009999999997</v>
      </c>
      <c r="AH381">
        <v>-94.235330000000005</v>
      </c>
      <c r="AI381" t="s">
        <v>1123</v>
      </c>
      <c r="AL381" t="s">
        <v>62</v>
      </c>
      <c r="AM381" t="s">
        <v>63</v>
      </c>
      <c r="AN381" t="s">
        <v>1124</v>
      </c>
      <c r="AO381" t="s">
        <v>1125</v>
      </c>
      <c r="AQ381" t="s">
        <v>1126</v>
      </c>
      <c r="AR381" t="s">
        <v>1127</v>
      </c>
      <c r="AS381" t="s">
        <v>1128</v>
      </c>
      <c r="AT381" t="s">
        <v>68</v>
      </c>
      <c r="AV381" t="s">
        <v>1129</v>
      </c>
      <c r="AW381" t="s">
        <v>1130</v>
      </c>
      <c r="AX381" t="s">
        <v>1131</v>
      </c>
      <c r="BA381" s="14" t="s">
        <v>72</v>
      </c>
      <c r="BB381" s="14" t="s">
        <v>73</v>
      </c>
      <c r="BC381" s="14" t="s">
        <v>74</v>
      </c>
    </row>
    <row r="382" spans="1:55" ht="15" customHeight="1" x14ac:dyDescent="0.4">
      <c r="A382" s="12">
        <v>2436</v>
      </c>
      <c r="B382" t="s">
        <v>1132</v>
      </c>
      <c r="D382" t="s">
        <v>1133</v>
      </c>
      <c r="E382" s="13"/>
      <c r="F382" s="41"/>
      <c r="G382" s="41"/>
      <c r="H382" s="41"/>
      <c r="I382" s="41"/>
      <c r="J382" s="41"/>
      <c r="K382" s="65" t="str">
        <f>IFERROR(VLOOKUP(D382,Sheet4!A$1:M$56,11,FALSE),"")</f>
        <v/>
      </c>
      <c r="L382" s="65" t="str">
        <f t="shared" si="5"/>
        <v/>
      </c>
      <c r="M382" s="14" t="s">
        <v>49</v>
      </c>
      <c r="N382" s="15">
        <v>42975</v>
      </c>
      <c r="O382" t="s">
        <v>998</v>
      </c>
      <c r="P382" t="s">
        <v>51</v>
      </c>
      <c r="Q382" s="15" t="s">
        <v>52</v>
      </c>
      <c r="R382" t="s">
        <v>53</v>
      </c>
      <c r="S382" t="s">
        <v>999</v>
      </c>
      <c r="T382" t="s">
        <v>1098</v>
      </c>
      <c r="U382" t="s">
        <v>56</v>
      </c>
      <c r="V382" s="16" t="s">
        <v>1099</v>
      </c>
      <c r="W382" s="21"/>
      <c r="X382" t="s">
        <v>1100</v>
      </c>
      <c r="AC382" t="s">
        <v>78</v>
      </c>
      <c r="AD382" t="s">
        <v>562</v>
      </c>
      <c r="AE382" s="15">
        <v>45597</v>
      </c>
      <c r="AF382" t="s">
        <v>48</v>
      </c>
      <c r="AG382">
        <v>45.529969999999999</v>
      </c>
      <c r="AH382">
        <v>-94.236440000000002</v>
      </c>
      <c r="AI382" t="s">
        <v>1134</v>
      </c>
      <c r="AL382" t="s">
        <v>62</v>
      </c>
      <c r="AM382" t="s">
        <v>63</v>
      </c>
      <c r="AN382" t="s">
        <v>1135</v>
      </c>
      <c r="AO382">
        <v>186098</v>
      </c>
      <c r="AQ382" t="s">
        <v>1136</v>
      </c>
      <c r="AR382" t="s">
        <v>1137</v>
      </c>
      <c r="AS382" t="s">
        <v>1138</v>
      </c>
      <c r="AT382" t="s">
        <v>68</v>
      </c>
      <c r="AV382" t="s">
        <v>1139</v>
      </c>
      <c r="AW382" t="s">
        <v>1140</v>
      </c>
      <c r="AX382" t="s">
        <v>1141</v>
      </c>
      <c r="AY382" s="31" t="s">
        <v>1142</v>
      </c>
      <c r="AZ382" s="31" t="s">
        <v>85</v>
      </c>
      <c r="BA382" s="14" t="s">
        <v>72</v>
      </c>
      <c r="BB382" s="14" t="s">
        <v>73</v>
      </c>
      <c r="BC382" s="14" t="s">
        <v>74</v>
      </c>
    </row>
    <row r="383" spans="1:55" ht="15" customHeight="1" x14ac:dyDescent="0.4">
      <c r="A383" s="12">
        <v>2437</v>
      </c>
      <c r="B383" t="s">
        <v>1143</v>
      </c>
      <c r="D383" t="s">
        <v>1144</v>
      </c>
      <c r="E383" s="13"/>
      <c r="F383" s="41"/>
      <c r="G383" s="41"/>
      <c r="H383" s="41"/>
      <c r="I383" s="41"/>
      <c r="J383" s="41"/>
      <c r="K383" s="65" t="str">
        <f>IFERROR(VLOOKUP(D383,Sheet4!A$1:M$56,11,FALSE),"")</f>
        <v/>
      </c>
      <c r="L383" s="65" t="str">
        <f t="shared" si="5"/>
        <v/>
      </c>
      <c r="M383" s="14" t="s">
        <v>49</v>
      </c>
      <c r="N383" s="15">
        <v>42975</v>
      </c>
      <c r="O383" t="s">
        <v>998</v>
      </c>
      <c r="P383" t="s">
        <v>51</v>
      </c>
      <c r="Q383" s="15" t="s">
        <v>52</v>
      </c>
      <c r="R383" t="s">
        <v>53</v>
      </c>
      <c r="S383" t="s">
        <v>999</v>
      </c>
      <c r="T383" t="s">
        <v>1098</v>
      </c>
      <c r="U383" t="s">
        <v>56</v>
      </c>
      <c r="V383" s="16" t="s">
        <v>1099</v>
      </c>
      <c r="W383" s="21"/>
      <c r="X383" t="s">
        <v>1100</v>
      </c>
      <c r="AC383" t="s">
        <v>60</v>
      </c>
      <c r="AE383" s="15"/>
      <c r="AG383">
        <v>45.530110000000001</v>
      </c>
      <c r="AH383">
        <v>-94.238169999999997</v>
      </c>
      <c r="AI383" t="s">
        <v>1145</v>
      </c>
      <c r="AL383" t="s">
        <v>62</v>
      </c>
      <c r="AM383" t="s">
        <v>63</v>
      </c>
      <c r="AN383" t="s">
        <v>1146</v>
      </c>
      <c r="AO383" t="s">
        <v>1147</v>
      </c>
      <c r="AQ383" t="s">
        <v>1148</v>
      </c>
      <c r="AR383" t="s">
        <v>1149</v>
      </c>
      <c r="AS383" t="s">
        <v>1150</v>
      </c>
      <c r="AT383" t="s">
        <v>68</v>
      </c>
      <c r="AV383" t="s">
        <v>1151</v>
      </c>
      <c r="AW383" t="s">
        <v>1152</v>
      </c>
      <c r="AX383" t="s">
        <v>1153</v>
      </c>
      <c r="BA383" s="14" t="s">
        <v>72</v>
      </c>
      <c r="BB383" s="14" t="s">
        <v>73</v>
      </c>
      <c r="BC383" s="14" t="s">
        <v>74</v>
      </c>
    </row>
    <row r="384" spans="1:55" ht="15" customHeight="1" x14ac:dyDescent="0.4">
      <c r="A384" s="12">
        <v>2438</v>
      </c>
      <c r="B384" t="s">
        <v>1154</v>
      </c>
      <c r="D384" t="s">
        <v>1155</v>
      </c>
      <c r="E384" s="13"/>
      <c r="F384" s="41"/>
      <c r="G384" s="41"/>
      <c r="H384" s="41"/>
      <c r="I384" s="41"/>
      <c r="J384" s="41"/>
      <c r="K384" s="65" t="str">
        <f>IFERROR(VLOOKUP(D384,Sheet4!A$1:M$56,11,FALSE),"")</f>
        <v/>
      </c>
      <c r="L384" s="65" t="str">
        <f t="shared" si="5"/>
        <v/>
      </c>
      <c r="M384" s="14" t="s">
        <v>49</v>
      </c>
      <c r="N384" s="15">
        <v>42975</v>
      </c>
      <c r="O384" t="s">
        <v>998</v>
      </c>
      <c r="P384" t="s">
        <v>51</v>
      </c>
      <c r="Q384" s="15" t="s">
        <v>52</v>
      </c>
      <c r="R384" t="s">
        <v>53</v>
      </c>
      <c r="S384" t="s">
        <v>999</v>
      </c>
      <c r="T384" t="s">
        <v>1098</v>
      </c>
      <c r="U384" t="s">
        <v>56</v>
      </c>
      <c r="V384" s="16" t="s">
        <v>1099</v>
      </c>
      <c r="W384" s="21"/>
      <c r="X384" t="s">
        <v>1100</v>
      </c>
      <c r="AC384" t="s">
        <v>60</v>
      </c>
      <c r="AE384" s="15"/>
      <c r="AG384">
        <v>45.529989999999998</v>
      </c>
      <c r="AH384">
        <v>-94.239320000000006</v>
      </c>
      <c r="AI384" t="s">
        <v>1156</v>
      </c>
      <c r="AL384" t="s">
        <v>62</v>
      </c>
      <c r="AM384" t="s">
        <v>63</v>
      </c>
      <c r="AN384" t="s">
        <v>1157</v>
      </c>
      <c r="AO384" t="s">
        <v>1158</v>
      </c>
      <c r="AQ384" t="s">
        <v>1159</v>
      </c>
      <c r="AR384" t="s">
        <v>1160</v>
      </c>
      <c r="AS384" t="s">
        <v>1161</v>
      </c>
      <c r="AT384" t="s">
        <v>68</v>
      </c>
      <c r="AV384" t="s">
        <v>1162</v>
      </c>
      <c r="AW384" t="s">
        <v>1163</v>
      </c>
      <c r="AX384" t="s">
        <v>1164</v>
      </c>
      <c r="BA384" s="14" t="s">
        <v>72</v>
      </c>
      <c r="BB384" s="14" t="s">
        <v>73</v>
      </c>
      <c r="BC384" s="14" t="s">
        <v>74</v>
      </c>
    </row>
    <row r="385" spans="1:55" s="34" customFormat="1" ht="15" customHeight="1" x14ac:dyDescent="0.4">
      <c r="A385" s="12">
        <v>2439</v>
      </c>
      <c r="B385" t="s">
        <v>1165</v>
      </c>
      <c r="C385"/>
      <c r="D385" t="s">
        <v>1166</v>
      </c>
      <c r="E385" s="13"/>
      <c r="F385" s="41"/>
      <c r="G385" s="41"/>
      <c r="H385" s="41"/>
      <c r="I385" s="41"/>
      <c r="J385" s="41"/>
      <c r="K385" s="65" t="str">
        <f>IFERROR(VLOOKUP(D385,Sheet4!A$1:M$56,11,FALSE),"")</f>
        <v/>
      </c>
      <c r="L385" s="65" t="str">
        <f t="shared" si="5"/>
        <v/>
      </c>
      <c r="M385" s="14" t="s">
        <v>49</v>
      </c>
      <c r="N385" s="15">
        <v>42975</v>
      </c>
      <c r="O385" t="s">
        <v>998</v>
      </c>
      <c r="P385" t="s">
        <v>51</v>
      </c>
      <c r="Q385" s="15" t="s">
        <v>52</v>
      </c>
      <c r="R385" t="s">
        <v>53</v>
      </c>
      <c r="S385" t="s">
        <v>999</v>
      </c>
      <c r="T385" t="s">
        <v>1098</v>
      </c>
      <c r="U385" t="s">
        <v>56</v>
      </c>
      <c r="V385" s="16" t="s">
        <v>1099</v>
      </c>
      <c r="W385" s="21"/>
      <c r="X385" t="s">
        <v>1100</v>
      </c>
      <c r="Y385"/>
      <c r="Z385"/>
      <c r="AA385"/>
      <c r="AB385" t="s">
        <v>1167</v>
      </c>
      <c r="AC385" t="s">
        <v>60</v>
      </c>
      <c r="AD385"/>
      <c r="AE385" s="15"/>
      <c r="AF385"/>
      <c r="AG385">
        <v>45.529899999999998</v>
      </c>
      <c r="AH385">
        <v>-94.240179999999995</v>
      </c>
      <c r="AI385" t="s">
        <v>1168</v>
      </c>
      <c r="AJ385"/>
      <c r="AK385"/>
      <c r="AL385" t="s">
        <v>62</v>
      </c>
      <c r="AM385" t="s">
        <v>63</v>
      </c>
      <c r="AN385" t="s">
        <v>1169</v>
      </c>
      <c r="AO385" t="s">
        <v>1170</v>
      </c>
      <c r="AP385"/>
      <c r="AQ385" t="s">
        <v>1171</v>
      </c>
      <c r="AR385" t="s">
        <v>1172</v>
      </c>
      <c r="AS385" t="s">
        <v>1173</v>
      </c>
      <c r="AT385" t="s">
        <v>68</v>
      </c>
      <c r="AU385"/>
      <c r="AV385" t="s">
        <v>1174</v>
      </c>
      <c r="AW385" t="s">
        <v>1175</v>
      </c>
      <c r="AX385" t="s">
        <v>1176</v>
      </c>
      <c r="AY385" s="31"/>
      <c r="AZ385" s="31"/>
      <c r="BA385" s="14" t="s">
        <v>72</v>
      </c>
      <c r="BB385" s="14" t="s">
        <v>73</v>
      </c>
      <c r="BC385" s="14" t="s">
        <v>74</v>
      </c>
    </row>
    <row r="386" spans="1:55" ht="15" customHeight="1" x14ac:dyDescent="0.4">
      <c r="A386" s="12">
        <v>2440</v>
      </c>
      <c r="B386" t="s">
        <v>1177</v>
      </c>
      <c r="D386" t="s">
        <v>1178</v>
      </c>
      <c r="E386" s="13"/>
      <c r="F386" s="41"/>
      <c r="G386" s="41"/>
      <c r="H386" s="41"/>
      <c r="I386" s="41"/>
      <c r="J386" s="41"/>
      <c r="K386" s="65" t="str">
        <f>IFERROR(VLOOKUP(D386,Sheet4!A$1:M$56,11,FALSE),"")</f>
        <v/>
      </c>
      <c r="L386" s="65" t="str">
        <f t="shared" si="5"/>
        <v/>
      </c>
      <c r="M386" s="14" t="s">
        <v>49</v>
      </c>
      <c r="N386" s="15">
        <v>42975</v>
      </c>
      <c r="O386" t="s">
        <v>998</v>
      </c>
      <c r="P386" t="s">
        <v>51</v>
      </c>
      <c r="Q386" s="15" t="s">
        <v>52</v>
      </c>
      <c r="R386" t="s">
        <v>53</v>
      </c>
      <c r="S386" t="s">
        <v>999</v>
      </c>
      <c r="T386" t="s">
        <v>1098</v>
      </c>
      <c r="U386" t="s">
        <v>56</v>
      </c>
      <c r="V386" s="16" t="s">
        <v>1099</v>
      </c>
      <c r="W386" s="21"/>
      <c r="X386" t="s">
        <v>1100</v>
      </c>
      <c r="AB386" t="s">
        <v>1179</v>
      </c>
      <c r="AC386" t="s">
        <v>60</v>
      </c>
      <c r="AE386" s="15"/>
      <c r="AG386">
        <v>45.529899999999998</v>
      </c>
      <c r="AH386">
        <v>-94.240179999999995</v>
      </c>
      <c r="AI386" t="s">
        <v>1168</v>
      </c>
      <c r="AL386" t="s">
        <v>62</v>
      </c>
      <c r="AM386" t="s">
        <v>63</v>
      </c>
      <c r="AN386" t="s">
        <v>1180</v>
      </c>
      <c r="AO386" t="s">
        <v>1181</v>
      </c>
      <c r="AQ386" t="s">
        <v>1182</v>
      </c>
      <c r="AR386" t="s">
        <v>1183</v>
      </c>
      <c r="AS386" t="s">
        <v>1184</v>
      </c>
      <c r="AT386" t="s">
        <v>68</v>
      </c>
      <c r="AV386" t="s">
        <v>1185</v>
      </c>
      <c r="AW386" t="s">
        <v>1186</v>
      </c>
      <c r="AX386" t="s">
        <v>1187</v>
      </c>
      <c r="BA386" s="14" t="s">
        <v>72</v>
      </c>
      <c r="BB386" s="14" t="s">
        <v>73</v>
      </c>
      <c r="BC386" s="14" t="s">
        <v>74</v>
      </c>
    </row>
    <row r="387" spans="1:55" ht="15" customHeight="1" x14ac:dyDescent="0.4">
      <c r="A387" s="12">
        <v>2441</v>
      </c>
      <c r="B387" t="s">
        <v>1188</v>
      </c>
      <c r="D387" t="s">
        <v>1189</v>
      </c>
      <c r="E387" s="13"/>
      <c r="F387" s="41"/>
      <c r="G387" s="41"/>
      <c r="H387" s="41"/>
      <c r="I387" s="41"/>
      <c r="J387" s="41"/>
      <c r="K387" s="65" t="str">
        <f>IFERROR(VLOOKUP(D387,Sheet4!A$1:M$56,11,FALSE),"")</f>
        <v/>
      </c>
      <c r="L387" s="65" t="str">
        <f t="shared" ref="L387:L450" si="6">_xlfn.CONCAT(J387,K387)</f>
        <v/>
      </c>
      <c r="M387" s="14" t="s">
        <v>49</v>
      </c>
      <c r="N387" s="15">
        <v>42975</v>
      </c>
      <c r="O387" t="s">
        <v>998</v>
      </c>
      <c r="P387" t="s">
        <v>51</v>
      </c>
      <c r="Q387" s="15" t="s">
        <v>52</v>
      </c>
      <c r="R387" t="s">
        <v>53</v>
      </c>
      <c r="S387" t="s">
        <v>999</v>
      </c>
      <c r="T387" t="s">
        <v>1098</v>
      </c>
      <c r="U387" t="s">
        <v>56</v>
      </c>
      <c r="V387" s="16" t="s">
        <v>1099</v>
      </c>
      <c r="W387" s="21"/>
      <c r="X387" t="s">
        <v>1190</v>
      </c>
      <c r="Y387" t="s">
        <v>1191</v>
      </c>
      <c r="AC387" t="s">
        <v>60</v>
      </c>
      <c r="AE387" s="15"/>
      <c r="AG387">
        <v>45.529069999999997</v>
      </c>
      <c r="AH387">
        <v>-94.241209999999995</v>
      </c>
      <c r="AI387" t="s">
        <v>1192</v>
      </c>
      <c r="AL387" t="s">
        <v>62</v>
      </c>
      <c r="AM387" t="s">
        <v>63</v>
      </c>
      <c r="AN387" t="s">
        <v>1193</v>
      </c>
      <c r="AO387" t="s">
        <v>1194</v>
      </c>
      <c r="AQ387" t="s">
        <v>1195</v>
      </c>
      <c r="AR387" t="s">
        <v>1196</v>
      </c>
      <c r="AS387" t="s">
        <v>1197</v>
      </c>
      <c r="AT387" t="s">
        <v>68</v>
      </c>
      <c r="AV387" t="s">
        <v>1198</v>
      </c>
      <c r="AW387" t="s">
        <v>1199</v>
      </c>
      <c r="AX387" t="s">
        <v>1200</v>
      </c>
      <c r="BA387" s="14" t="s">
        <v>72</v>
      </c>
      <c r="BB387" s="14" t="s">
        <v>73</v>
      </c>
      <c r="BC387" s="14" t="s">
        <v>74</v>
      </c>
    </row>
    <row r="388" spans="1:55" ht="15" customHeight="1" x14ac:dyDescent="0.4">
      <c r="A388" s="12">
        <v>2442</v>
      </c>
      <c r="B388" t="s">
        <v>1201</v>
      </c>
      <c r="D388" t="s">
        <v>1202</v>
      </c>
      <c r="E388" s="13"/>
      <c r="F388" s="41"/>
      <c r="G388" s="41"/>
      <c r="H388" s="41"/>
      <c r="I388" s="41"/>
      <c r="J388" s="41"/>
      <c r="K388" s="65" t="str">
        <f>IFERROR(VLOOKUP(D388,Sheet4!A$1:M$56,11,FALSE),"")</f>
        <v/>
      </c>
      <c r="L388" s="65" t="str">
        <f t="shared" si="6"/>
        <v/>
      </c>
      <c r="M388" s="14" t="s">
        <v>49</v>
      </c>
      <c r="N388" s="15">
        <v>42975</v>
      </c>
      <c r="O388" t="s">
        <v>998</v>
      </c>
      <c r="P388" t="s">
        <v>51</v>
      </c>
      <c r="Q388" s="15" t="s">
        <v>52</v>
      </c>
      <c r="R388" t="s">
        <v>53</v>
      </c>
      <c r="S388" t="s">
        <v>999</v>
      </c>
      <c r="T388" t="s">
        <v>1098</v>
      </c>
      <c r="U388" t="s">
        <v>56</v>
      </c>
      <c r="V388" s="16" t="s">
        <v>1099</v>
      </c>
      <c r="W388" s="21"/>
      <c r="X388" t="s">
        <v>1190</v>
      </c>
      <c r="Y388" t="s">
        <v>1191</v>
      </c>
      <c r="AC388" t="s">
        <v>60</v>
      </c>
      <c r="AE388" s="15"/>
      <c r="AG388">
        <v>45.528869999999998</v>
      </c>
      <c r="AH388">
        <v>-94.240849999999995</v>
      </c>
      <c r="AI388" t="s">
        <v>1203</v>
      </c>
      <c r="AL388" t="s">
        <v>62</v>
      </c>
      <c r="AM388" t="s">
        <v>63</v>
      </c>
      <c r="AN388" t="s">
        <v>1204</v>
      </c>
      <c r="AO388" t="s">
        <v>1205</v>
      </c>
      <c r="AQ388" t="s">
        <v>1206</v>
      </c>
      <c r="AR388" t="s">
        <v>1207</v>
      </c>
      <c r="AS388" t="s">
        <v>1208</v>
      </c>
      <c r="AT388" t="s">
        <v>68</v>
      </c>
      <c r="AV388" t="s">
        <v>1209</v>
      </c>
      <c r="AW388" t="s">
        <v>1210</v>
      </c>
      <c r="AX388" t="s">
        <v>1211</v>
      </c>
      <c r="BA388" s="14" t="s">
        <v>72</v>
      </c>
      <c r="BB388" s="14" t="s">
        <v>73</v>
      </c>
      <c r="BC388" s="14" t="s">
        <v>74</v>
      </c>
    </row>
    <row r="389" spans="1:55" ht="15" customHeight="1" x14ac:dyDescent="0.4">
      <c r="A389" s="12">
        <v>2443</v>
      </c>
      <c r="B389" t="s">
        <v>1212</v>
      </c>
      <c r="D389" t="s">
        <v>1213</v>
      </c>
      <c r="E389" s="13"/>
      <c r="F389" s="41"/>
      <c r="G389" s="41"/>
      <c r="H389" s="41"/>
      <c r="I389" s="41"/>
      <c r="J389" s="41"/>
      <c r="K389" s="65" t="str">
        <f>IFERROR(VLOOKUP(D389,Sheet4!A$1:M$56,11,FALSE),"")</f>
        <v/>
      </c>
      <c r="L389" s="65" t="str">
        <f t="shared" si="6"/>
        <v/>
      </c>
      <c r="M389" s="14" t="s">
        <v>49</v>
      </c>
      <c r="N389" s="15">
        <v>42975</v>
      </c>
      <c r="O389" t="s">
        <v>998</v>
      </c>
      <c r="P389" t="s">
        <v>51</v>
      </c>
      <c r="Q389" s="15" t="s">
        <v>52</v>
      </c>
      <c r="R389" t="s">
        <v>53</v>
      </c>
      <c r="S389" t="s">
        <v>999</v>
      </c>
      <c r="T389" t="s">
        <v>1098</v>
      </c>
      <c r="U389" t="s">
        <v>56</v>
      </c>
      <c r="V389" s="16" t="s">
        <v>1099</v>
      </c>
      <c r="W389" s="21"/>
      <c r="X389" t="s">
        <v>1100</v>
      </c>
      <c r="AC389" t="s">
        <v>78</v>
      </c>
      <c r="AD389" t="s">
        <v>79</v>
      </c>
      <c r="AE389" s="15">
        <v>45597</v>
      </c>
      <c r="AF389" t="s">
        <v>48</v>
      </c>
      <c r="AG389">
        <v>45.530880000000003</v>
      </c>
      <c r="AH389">
        <v>-94.239890000000003</v>
      </c>
      <c r="AI389" t="s">
        <v>1214</v>
      </c>
      <c r="AL389" t="s">
        <v>62</v>
      </c>
      <c r="AM389" t="s">
        <v>63</v>
      </c>
      <c r="AN389" t="s">
        <v>1215</v>
      </c>
      <c r="AO389">
        <v>186103</v>
      </c>
      <c r="AQ389" t="s">
        <v>1216</v>
      </c>
      <c r="AR389" t="s">
        <v>1217</v>
      </c>
      <c r="AS389" t="s">
        <v>1218</v>
      </c>
      <c r="AT389" t="s">
        <v>68</v>
      </c>
      <c r="AV389" t="s">
        <v>1219</v>
      </c>
      <c r="AW389" t="s">
        <v>1220</v>
      </c>
      <c r="AX389" t="s">
        <v>1221</v>
      </c>
      <c r="AY389" s="31" t="s">
        <v>1222</v>
      </c>
      <c r="AZ389" s="31" t="s">
        <v>85</v>
      </c>
      <c r="BA389" s="14" t="s">
        <v>72</v>
      </c>
      <c r="BB389" s="14" t="s">
        <v>73</v>
      </c>
      <c r="BC389" s="14" t="s">
        <v>74</v>
      </c>
    </row>
    <row r="390" spans="1:55" ht="15" customHeight="1" x14ac:dyDescent="0.4">
      <c r="A390" s="12">
        <v>3319</v>
      </c>
      <c r="B390" s="21" t="s">
        <v>2097</v>
      </c>
      <c r="C390" s="13" t="s">
        <v>2098</v>
      </c>
      <c r="D390" s="25" t="s">
        <v>2098</v>
      </c>
      <c r="E390" s="13"/>
      <c r="F390" s="41"/>
      <c r="G390" s="41"/>
      <c r="H390" s="41"/>
      <c r="I390" s="41"/>
      <c r="J390" s="41"/>
      <c r="K390" s="65" t="str">
        <f>IFERROR(VLOOKUP(D390,Sheet4!A$1:M$56,11,FALSE),"")</f>
        <v/>
      </c>
      <c r="L390" s="65" t="str">
        <f t="shared" si="6"/>
        <v/>
      </c>
      <c r="M390" s="14" t="s">
        <v>49</v>
      </c>
      <c r="N390" s="15">
        <v>44714</v>
      </c>
      <c r="O390" s="15" t="s">
        <v>1992</v>
      </c>
      <c r="P390" t="s">
        <v>1705</v>
      </c>
      <c r="Q390" t="s">
        <v>1706</v>
      </c>
      <c r="R390" t="s">
        <v>53</v>
      </c>
      <c r="S390" t="s">
        <v>175</v>
      </c>
      <c r="T390" t="s">
        <v>2099</v>
      </c>
      <c r="U390" t="s">
        <v>56</v>
      </c>
      <c r="V390" s="21" t="s">
        <v>2100</v>
      </c>
      <c r="W390" s="21"/>
      <c r="X390" t="s">
        <v>2101</v>
      </c>
      <c r="Y390" t="s">
        <v>2102</v>
      </c>
      <c r="AC390" t="s">
        <v>60</v>
      </c>
      <c r="AE390" s="15"/>
      <c r="AG390">
        <v>36.644024999999999</v>
      </c>
      <c r="AH390">
        <v>-89.290899999999993</v>
      </c>
      <c r="AI390" t="s">
        <v>2103</v>
      </c>
      <c r="AL390" t="s">
        <v>1715</v>
      </c>
      <c r="AM390" t="s">
        <v>63</v>
      </c>
      <c r="AN390" t="s">
        <v>2104</v>
      </c>
      <c r="AO390">
        <v>192560</v>
      </c>
      <c r="AQ390" t="s">
        <v>2105</v>
      </c>
      <c r="AR390" t="s">
        <v>2106</v>
      </c>
      <c r="AS390" t="s">
        <v>2107</v>
      </c>
      <c r="AT390" t="s">
        <v>68</v>
      </c>
      <c r="AV390" t="s">
        <v>2108</v>
      </c>
      <c r="AW390" t="s">
        <v>2109</v>
      </c>
      <c r="AX390" t="s">
        <v>2110</v>
      </c>
      <c r="BA390" s="14" t="s">
        <v>72</v>
      </c>
      <c r="BB390" s="14" t="s">
        <v>73</v>
      </c>
      <c r="BC390" s="14" t="s">
        <v>74</v>
      </c>
    </row>
    <row r="391" spans="1:55" ht="15" customHeight="1" x14ac:dyDescent="0.4">
      <c r="A391" s="12">
        <v>3320</v>
      </c>
      <c r="B391" s="21" t="s">
        <v>2111</v>
      </c>
      <c r="C391" s="13" t="s">
        <v>2112</v>
      </c>
      <c r="D391" s="25" t="s">
        <v>2112</v>
      </c>
      <c r="E391" s="13"/>
      <c r="F391" s="41"/>
      <c r="G391" s="41"/>
      <c r="H391" s="41"/>
      <c r="I391" s="41"/>
      <c r="J391" s="41"/>
      <c r="K391" s="65" t="str">
        <f>IFERROR(VLOOKUP(D391,Sheet4!A$1:M$56,11,FALSE),"")</f>
        <v/>
      </c>
      <c r="L391" s="65" t="str">
        <f t="shared" si="6"/>
        <v/>
      </c>
      <c r="M391" s="14" t="s">
        <v>49</v>
      </c>
      <c r="N391" s="15">
        <v>44715</v>
      </c>
      <c r="O391" s="15" t="s">
        <v>1704</v>
      </c>
      <c r="P391" t="s">
        <v>1705</v>
      </c>
      <c r="Q391" t="s">
        <v>1706</v>
      </c>
      <c r="R391" t="s">
        <v>53</v>
      </c>
      <c r="S391" t="s">
        <v>175</v>
      </c>
      <c r="T391" t="s">
        <v>2099</v>
      </c>
      <c r="U391" t="s">
        <v>56</v>
      </c>
      <c r="V391" s="21" t="s">
        <v>2100</v>
      </c>
      <c r="W391" s="21"/>
      <c r="X391" t="s">
        <v>2113</v>
      </c>
      <c r="Y391" t="s">
        <v>2114</v>
      </c>
      <c r="AC391" t="s">
        <v>60</v>
      </c>
      <c r="AE391" s="15"/>
      <c r="AG391">
        <v>36.643929</v>
      </c>
      <c r="AH391">
        <v>-89.290992000000003</v>
      </c>
      <c r="AI391" t="s">
        <v>2103</v>
      </c>
      <c r="AL391" t="s">
        <v>1715</v>
      </c>
      <c r="AM391" t="s">
        <v>63</v>
      </c>
      <c r="AN391" t="s">
        <v>2115</v>
      </c>
      <c r="AO391">
        <v>192561</v>
      </c>
      <c r="AQ391" t="s">
        <v>2116</v>
      </c>
      <c r="AR391" t="s">
        <v>2117</v>
      </c>
      <c r="AS391" t="s">
        <v>2118</v>
      </c>
      <c r="AT391" t="s">
        <v>68</v>
      </c>
      <c r="AV391" t="s">
        <v>2119</v>
      </c>
      <c r="AW391" t="s">
        <v>2120</v>
      </c>
      <c r="AX391" t="s">
        <v>2121</v>
      </c>
      <c r="BA391" s="14" t="s">
        <v>72</v>
      </c>
      <c r="BB391" s="14" t="s">
        <v>73</v>
      </c>
      <c r="BC391" s="14" t="s">
        <v>74</v>
      </c>
    </row>
    <row r="392" spans="1:55" ht="15" customHeight="1" x14ac:dyDescent="0.4">
      <c r="A392" s="12">
        <v>4024</v>
      </c>
      <c r="B392" s="21" t="s">
        <v>8081</v>
      </c>
      <c r="C392" s="13" t="s">
        <v>8082</v>
      </c>
      <c r="D392" s="28" t="s">
        <v>8082</v>
      </c>
      <c r="E392" s="13"/>
      <c r="F392" s="41"/>
      <c r="G392" s="41"/>
      <c r="H392" s="41"/>
      <c r="I392" s="41"/>
      <c r="J392" s="41"/>
      <c r="K392" s="65" t="str">
        <f>IFERROR(VLOOKUP(D392,Sheet4!A$1:M$56,11,FALSE),"")</f>
        <v/>
      </c>
      <c r="L392" s="65" t="str">
        <f t="shared" si="6"/>
        <v/>
      </c>
      <c r="M392" s="14" t="s">
        <v>49</v>
      </c>
      <c r="N392" s="15">
        <v>44715</v>
      </c>
      <c r="O392" t="s">
        <v>1704</v>
      </c>
      <c r="P392" t="s">
        <v>51</v>
      </c>
      <c r="Q392" t="s">
        <v>7972</v>
      </c>
      <c r="R392" t="s">
        <v>53</v>
      </c>
      <c r="S392" t="s">
        <v>175</v>
      </c>
      <c r="T392" t="s">
        <v>2099</v>
      </c>
      <c r="U392" t="s">
        <v>56</v>
      </c>
      <c r="V392" s="21" t="s">
        <v>2100</v>
      </c>
      <c r="W392" s="21"/>
      <c r="X392" t="s">
        <v>8083</v>
      </c>
      <c r="Y392" t="s">
        <v>8084</v>
      </c>
      <c r="AC392" t="s">
        <v>60</v>
      </c>
      <c r="AE392" s="15"/>
      <c r="AG392">
        <v>36.644689</v>
      </c>
      <c r="AH392">
        <v>-89.290721000000005</v>
      </c>
      <c r="AI392" t="s">
        <v>2103</v>
      </c>
      <c r="AL392" t="s">
        <v>1715</v>
      </c>
      <c r="AM392" t="s">
        <v>63</v>
      </c>
      <c r="AN392" t="s">
        <v>8085</v>
      </c>
      <c r="AO392">
        <v>192562</v>
      </c>
      <c r="AQ392" t="s">
        <v>8086</v>
      </c>
      <c r="AR392" t="s">
        <v>8087</v>
      </c>
      <c r="AS392" t="s">
        <v>8088</v>
      </c>
      <c r="AT392" t="s">
        <v>68</v>
      </c>
      <c r="AV392" t="s">
        <v>8089</v>
      </c>
      <c r="AW392" t="s">
        <v>8090</v>
      </c>
      <c r="AX392" t="s">
        <v>8091</v>
      </c>
      <c r="BA392" s="14" t="s">
        <v>72</v>
      </c>
      <c r="BB392" s="14" t="s">
        <v>73</v>
      </c>
      <c r="BC392" s="14" t="s">
        <v>74</v>
      </c>
    </row>
    <row r="393" spans="1:55" ht="15" customHeight="1" x14ac:dyDescent="0.4">
      <c r="A393" s="12">
        <v>3321</v>
      </c>
      <c r="B393" s="21" t="s">
        <v>2122</v>
      </c>
      <c r="C393" s="13" t="s">
        <v>2123</v>
      </c>
      <c r="D393" s="25" t="s">
        <v>2123</v>
      </c>
      <c r="E393" s="13"/>
      <c r="F393" s="41"/>
      <c r="G393" s="41"/>
      <c r="H393" s="41"/>
      <c r="I393" s="41"/>
      <c r="J393" s="41"/>
      <c r="K393" s="65" t="str">
        <f>IFERROR(VLOOKUP(D393,Sheet4!A$1:M$56,11,FALSE),"")</f>
        <v/>
      </c>
      <c r="L393" s="65" t="str">
        <f t="shared" si="6"/>
        <v/>
      </c>
      <c r="M393" s="14" t="s">
        <v>2006</v>
      </c>
      <c r="N393" s="15">
        <v>44715</v>
      </c>
      <c r="O393" t="s">
        <v>1704</v>
      </c>
      <c r="P393" t="s">
        <v>1705</v>
      </c>
      <c r="Q393" t="s">
        <v>1706</v>
      </c>
      <c r="R393" t="s">
        <v>53</v>
      </c>
      <c r="S393" t="s">
        <v>175</v>
      </c>
      <c r="T393" t="s">
        <v>2099</v>
      </c>
      <c r="U393" t="s">
        <v>56</v>
      </c>
      <c r="V393" s="21" t="s">
        <v>2100</v>
      </c>
      <c r="W393" s="21"/>
      <c r="X393" t="s">
        <v>2124</v>
      </c>
      <c r="Y393" t="s">
        <v>2125</v>
      </c>
      <c r="AC393" t="s">
        <v>2009</v>
      </c>
      <c r="AE393" s="15"/>
      <c r="AG393">
        <v>36.644928</v>
      </c>
      <c r="AH393">
        <v>-89.292856</v>
      </c>
      <c r="AI393" t="s">
        <v>2126</v>
      </c>
      <c r="AL393" t="s">
        <v>1715</v>
      </c>
      <c r="AM393" t="s">
        <v>63</v>
      </c>
      <c r="AN393" t="s">
        <v>2127</v>
      </c>
      <c r="AO393">
        <v>194227</v>
      </c>
      <c r="AQ393" t="s">
        <v>2128</v>
      </c>
      <c r="AR393" t="s">
        <v>2129</v>
      </c>
      <c r="AS393" t="s">
        <v>2130</v>
      </c>
      <c r="AT393" t="s">
        <v>68</v>
      </c>
      <c r="AV393" t="s">
        <v>2131</v>
      </c>
      <c r="AW393" t="s">
        <v>2132</v>
      </c>
      <c r="AX393" t="s">
        <v>2133</v>
      </c>
      <c r="BA393" s="14" t="s">
        <v>72</v>
      </c>
      <c r="BB393" s="14" t="s">
        <v>73</v>
      </c>
      <c r="BC393" s="14" t="s">
        <v>74</v>
      </c>
    </row>
    <row r="394" spans="1:55" ht="15" customHeight="1" x14ac:dyDescent="0.4">
      <c r="A394" s="12">
        <v>3322</v>
      </c>
      <c r="B394" s="21" t="s">
        <v>2134</v>
      </c>
      <c r="C394" s="13" t="s">
        <v>2135</v>
      </c>
      <c r="D394" s="25" t="s">
        <v>2135</v>
      </c>
      <c r="E394" s="13"/>
      <c r="F394" s="41"/>
      <c r="G394" s="41"/>
      <c r="H394" s="41"/>
      <c r="I394" s="41"/>
      <c r="J394" s="41"/>
      <c r="K394" s="65" t="str">
        <f>IFERROR(VLOOKUP(D394,Sheet4!A$1:M$56,11,FALSE),"")</f>
        <v/>
      </c>
      <c r="L394" s="65" t="str">
        <f t="shared" si="6"/>
        <v/>
      </c>
      <c r="M394" s="14" t="s">
        <v>49</v>
      </c>
      <c r="N394" s="15">
        <v>44715</v>
      </c>
      <c r="O394" s="15" t="s">
        <v>1704</v>
      </c>
      <c r="P394" t="s">
        <v>1705</v>
      </c>
      <c r="Q394" t="s">
        <v>1706</v>
      </c>
      <c r="R394" t="s">
        <v>53</v>
      </c>
      <c r="S394" t="s">
        <v>175</v>
      </c>
      <c r="T394" t="s">
        <v>2099</v>
      </c>
      <c r="U394" t="s">
        <v>56</v>
      </c>
      <c r="V394" s="21" t="s">
        <v>2100</v>
      </c>
      <c r="W394" s="21"/>
      <c r="X394" t="s">
        <v>2124</v>
      </c>
      <c r="Y394" t="s">
        <v>2136</v>
      </c>
      <c r="AC394" t="s">
        <v>60</v>
      </c>
      <c r="AE394" s="15"/>
      <c r="AG394">
        <v>36.644964999999999</v>
      </c>
      <c r="AH394">
        <v>-89.292918999999998</v>
      </c>
      <c r="AI394" t="s">
        <v>2126</v>
      </c>
      <c r="AL394" t="s">
        <v>1715</v>
      </c>
      <c r="AM394" t="s">
        <v>63</v>
      </c>
      <c r="AN394" t="s">
        <v>2137</v>
      </c>
      <c r="AO394">
        <v>192563</v>
      </c>
      <c r="AQ394" t="s">
        <v>2138</v>
      </c>
      <c r="AR394" t="s">
        <v>2139</v>
      </c>
      <c r="AS394" t="s">
        <v>2140</v>
      </c>
      <c r="AT394" t="s">
        <v>68</v>
      </c>
      <c r="AV394" t="s">
        <v>2141</v>
      </c>
      <c r="AW394" t="s">
        <v>2142</v>
      </c>
      <c r="AX394" t="s">
        <v>2143</v>
      </c>
      <c r="BA394" s="14" t="s">
        <v>72</v>
      </c>
      <c r="BB394" s="14" t="s">
        <v>73</v>
      </c>
      <c r="BC394" s="14" t="s">
        <v>74</v>
      </c>
    </row>
    <row r="395" spans="1:55" ht="15" customHeight="1" x14ac:dyDescent="0.4">
      <c r="A395" s="12">
        <v>3323</v>
      </c>
      <c r="B395" s="21" t="s">
        <v>2144</v>
      </c>
      <c r="C395" s="13" t="s">
        <v>2145</v>
      </c>
      <c r="D395" s="25" t="s">
        <v>2145</v>
      </c>
      <c r="E395" s="13"/>
      <c r="F395" s="41"/>
      <c r="G395" s="41"/>
      <c r="H395" s="41"/>
      <c r="I395" s="41"/>
      <c r="J395" s="41"/>
      <c r="K395" s="65" t="str">
        <f>IFERROR(VLOOKUP(D395,Sheet4!A$1:M$56,11,FALSE),"")</f>
        <v/>
      </c>
      <c r="L395" s="65" t="str">
        <f t="shared" si="6"/>
        <v/>
      </c>
      <c r="M395" s="14" t="s">
        <v>2006</v>
      </c>
      <c r="N395" s="15">
        <v>44715</v>
      </c>
      <c r="O395" t="s">
        <v>1704</v>
      </c>
      <c r="P395" t="s">
        <v>1705</v>
      </c>
      <c r="Q395" t="s">
        <v>1706</v>
      </c>
      <c r="R395" t="s">
        <v>53</v>
      </c>
      <c r="S395" t="s">
        <v>175</v>
      </c>
      <c r="T395" t="s">
        <v>2099</v>
      </c>
      <c r="U395" t="s">
        <v>56</v>
      </c>
      <c r="V395" s="21" t="s">
        <v>2100</v>
      </c>
      <c r="W395" s="21"/>
      <c r="Y395" t="s">
        <v>2146</v>
      </c>
      <c r="AC395" t="s">
        <v>2009</v>
      </c>
      <c r="AE395" s="15"/>
      <c r="AG395">
        <v>36.644699000000003</v>
      </c>
      <c r="AH395">
        <v>-89.294887000000003</v>
      </c>
      <c r="AI395" t="s">
        <v>2147</v>
      </c>
      <c r="AL395" t="s">
        <v>1715</v>
      </c>
      <c r="AM395" t="s">
        <v>63</v>
      </c>
      <c r="AN395" t="s">
        <v>2148</v>
      </c>
      <c r="AO395">
        <v>194228</v>
      </c>
      <c r="AQ395" t="s">
        <v>2149</v>
      </c>
      <c r="AR395" t="s">
        <v>2150</v>
      </c>
      <c r="AS395" t="s">
        <v>2151</v>
      </c>
      <c r="AT395" t="s">
        <v>68</v>
      </c>
      <c r="AV395" t="s">
        <v>2152</v>
      </c>
      <c r="AW395" t="s">
        <v>2153</v>
      </c>
      <c r="AX395" t="s">
        <v>2154</v>
      </c>
      <c r="BA395" s="14" t="s">
        <v>72</v>
      </c>
      <c r="BB395" s="14" t="s">
        <v>73</v>
      </c>
      <c r="BC395" s="14" t="s">
        <v>74</v>
      </c>
    </row>
    <row r="396" spans="1:55" ht="15" customHeight="1" x14ac:dyDescent="0.4">
      <c r="A396" s="12">
        <v>3324</v>
      </c>
      <c r="B396" s="21" t="s">
        <v>2155</v>
      </c>
      <c r="C396" s="13" t="s">
        <v>2156</v>
      </c>
      <c r="D396" s="25" t="s">
        <v>2156</v>
      </c>
      <c r="E396" s="13"/>
      <c r="F396" s="43" t="s">
        <v>49</v>
      </c>
      <c r="G396" s="43" t="s">
        <v>8098</v>
      </c>
      <c r="H396" s="43" t="s">
        <v>8101</v>
      </c>
      <c r="I396" s="43"/>
      <c r="J396" s="43"/>
      <c r="K396" s="65" t="str">
        <f>IFERROR(VLOOKUP(D396,Sheet4!A$1:M$56,11,FALSE),"")</f>
        <v/>
      </c>
      <c r="L396" s="65" t="str">
        <f t="shared" si="6"/>
        <v/>
      </c>
      <c r="M396" s="14" t="s">
        <v>49</v>
      </c>
      <c r="N396" s="15">
        <v>44715</v>
      </c>
      <c r="O396" s="15" t="s">
        <v>1704</v>
      </c>
      <c r="P396" t="s">
        <v>1705</v>
      </c>
      <c r="Q396" t="s">
        <v>1706</v>
      </c>
      <c r="R396" t="s">
        <v>53</v>
      </c>
      <c r="S396" t="s">
        <v>175</v>
      </c>
      <c r="T396" t="s">
        <v>2099</v>
      </c>
      <c r="U396" t="s">
        <v>56</v>
      </c>
      <c r="V396" s="21" t="s">
        <v>2100</v>
      </c>
      <c r="W396" s="21"/>
      <c r="Y396" t="s">
        <v>2157</v>
      </c>
      <c r="AC396" t="s">
        <v>60</v>
      </c>
      <c r="AE396" s="15"/>
      <c r="AG396">
        <v>36.645049999999998</v>
      </c>
      <c r="AH396">
        <v>-89.294533000000001</v>
      </c>
      <c r="AI396" t="s">
        <v>2158</v>
      </c>
      <c r="AL396" t="s">
        <v>1715</v>
      </c>
      <c r="AM396" t="s">
        <v>63</v>
      </c>
      <c r="AN396" t="s">
        <v>2159</v>
      </c>
      <c r="AO396">
        <v>194182</v>
      </c>
      <c r="AQ396" t="s">
        <v>2160</v>
      </c>
      <c r="AR396" t="s">
        <v>2161</v>
      </c>
      <c r="AS396" t="s">
        <v>2162</v>
      </c>
      <c r="AT396" t="s">
        <v>68</v>
      </c>
      <c r="AV396" t="s">
        <v>2163</v>
      </c>
      <c r="AW396" t="s">
        <v>2164</v>
      </c>
      <c r="AX396" t="s">
        <v>2165</v>
      </c>
      <c r="BA396" s="14" t="s">
        <v>72</v>
      </c>
      <c r="BB396" s="14" t="s">
        <v>73</v>
      </c>
      <c r="BC396" s="14" t="s">
        <v>74</v>
      </c>
    </row>
    <row r="397" spans="1:55" ht="15" customHeight="1" x14ac:dyDescent="0.4">
      <c r="A397" s="12">
        <v>3325</v>
      </c>
      <c r="B397" s="21" t="s">
        <v>2166</v>
      </c>
      <c r="C397" s="13" t="s">
        <v>2167</v>
      </c>
      <c r="D397" s="25" t="s">
        <v>2167</v>
      </c>
      <c r="E397" s="13"/>
      <c r="F397" s="41"/>
      <c r="G397" s="41"/>
      <c r="H397" s="41"/>
      <c r="I397" s="41"/>
      <c r="J397" s="41"/>
      <c r="K397" s="65" t="str">
        <f>IFERROR(VLOOKUP(D397,Sheet4!A$1:M$56,11,FALSE),"")</f>
        <v/>
      </c>
      <c r="L397" s="65" t="str">
        <f t="shared" si="6"/>
        <v/>
      </c>
      <c r="M397" s="14" t="s">
        <v>49</v>
      </c>
      <c r="N397" s="15">
        <v>44715</v>
      </c>
      <c r="O397" t="s">
        <v>1704</v>
      </c>
      <c r="P397" t="s">
        <v>1705</v>
      </c>
      <c r="Q397" t="s">
        <v>1706</v>
      </c>
      <c r="R397" t="s">
        <v>53</v>
      </c>
      <c r="S397" t="s">
        <v>175</v>
      </c>
      <c r="T397" t="s">
        <v>2099</v>
      </c>
      <c r="U397" t="s">
        <v>56</v>
      </c>
      <c r="V397" s="21" t="s">
        <v>2100</v>
      </c>
      <c r="W397" s="21"/>
      <c r="X397" t="s">
        <v>2168</v>
      </c>
      <c r="Y397" t="s">
        <v>2169</v>
      </c>
      <c r="AC397" t="s">
        <v>60</v>
      </c>
      <c r="AE397" s="15"/>
      <c r="AL397" t="s">
        <v>1715</v>
      </c>
      <c r="AM397" t="s">
        <v>63</v>
      </c>
      <c r="AN397" t="s">
        <v>2170</v>
      </c>
      <c r="AO397">
        <v>192665</v>
      </c>
      <c r="AQ397" t="s">
        <v>2171</v>
      </c>
      <c r="AR397" t="s">
        <v>2172</v>
      </c>
      <c r="AS397" t="s">
        <v>2173</v>
      </c>
      <c r="AT397" t="s">
        <v>68</v>
      </c>
      <c r="AV397" t="s">
        <v>2174</v>
      </c>
      <c r="AW397" t="s">
        <v>2175</v>
      </c>
      <c r="AX397" t="s">
        <v>2176</v>
      </c>
      <c r="BA397" s="14" t="s">
        <v>72</v>
      </c>
      <c r="BB397" s="14" t="s">
        <v>73</v>
      </c>
      <c r="BC397" s="14" t="s">
        <v>74</v>
      </c>
    </row>
    <row r="398" spans="1:55" ht="15" customHeight="1" x14ac:dyDescent="0.4">
      <c r="A398" s="12">
        <v>3326</v>
      </c>
      <c r="B398" s="21" t="s">
        <v>2177</v>
      </c>
      <c r="C398" s="13" t="s">
        <v>2178</v>
      </c>
      <c r="D398" s="25" t="s">
        <v>2178</v>
      </c>
      <c r="E398" s="13"/>
      <c r="F398" s="41"/>
      <c r="G398" s="41"/>
      <c r="H398" s="41"/>
      <c r="I398" s="41"/>
      <c r="J398" s="41"/>
      <c r="K398" s="65" t="str">
        <f>IFERROR(VLOOKUP(D398,Sheet4!A$1:M$56,11,FALSE),"")</f>
        <v/>
      </c>
      <c r="L398" s="65" t="str">
        <f t="shared" si="6"/>
        <v/>
      </c>
      <c r="M398" s="14" t="s">
        <v>1703</v>
      </c>
      <c r="N398" s="15">
        <v>44715</v>
      </c>
      <c r="O398" s="15" t="s">
        <v>1704</v>
      </c>
      <c r="P398" t="s">
        <v>1705</v>
      </c>
      <c r="Q398" t="s">
        <v>1706</v>
      </c>
      <c r="R398" t="s">
        <v>53</v>
      </c>
      <c r="S398" t="s">
        <v>175</v>
      </c>
      <c r="T398" t="s">
        <v>2099</v>
      </c>
      <c r="U398" t="s">
        <v>56</v>
      </c>
      <c r="V398" s="21" t="s">
        <v>2100</v>
      </c>
      <c r="W398" s="21"/>
      <c r="X398" t="s">
        <v>2179</v>
      </c>
      <c r="Y398" t="s">
        <v>2180</v>
      </c>
      <c r="AC398" t="s">
        <v>1713</v>
      </c>
      <c r="AE398" s="15"/>
      <c r="AL398" t="s">
        <v>1715</v>
      </c>
      <c r="AM398" t="s">
        <v>63</v>
      </c>
      <c r="AN398" t="s">
        <v>2181</v>
      </c>
      <c r="AO398">
        <v>193763</v>
      </c>
      <c r="AQ398" t="s">
        <v>2182</v>
      </c>
      <c r="AR398" t="s">
        <v>2183</v>
      </c>
      <c r="AS398" t="s">
        <v>2184</v>
      </c>
      <c r="AT398" t="s">
        <v>68</v>
      </c>
      <c r="AV398" t="s">
        <v>2185</v>
      </c>
      <c r="AW398" t="s">
        <v>2186</v>
      </c>
      <c r="AX398" t="s">
        <v>2187</v>
      </c>
      <c r="BA398" s="14" t="s">
        <v>72</v>
      </c>
      <c r="BB398" s="14" t="s">
        <v>73</v>
      </c>
      <c r="BC398" s="14" t="s">
        <v>1723</v>
      </c>
    </row>
    <row r="399" spans="1:55" ht="15" customHeight="1" x14ac:dyDescent="0.4">
      <c r="A399" s="12">
        <v>3327</v>
      </c>
      <c r="B399" s="21" t="s">
        <v>2188</v>
      </c>
      <c r="C399" s="13" t="s">
        <v>2189</v>
      </c>
      <c r="D399" s="25" t="s">
        <v>2189</v>
      </c>
      <c r="E399" s="13"/>
      <c r="F399" s="41"/>
      <c r="G399" s="41"/>
      <c r="H399" s="41"/>
      <c r="I399" s="41"/>
      <c r="J399" s="41"/>
      <c r="K399" s="65" t="str">
        <f>IFERROR(VLOOKUP(D399,Sheet4!A$1:M$56,11,FALSE),"")</f>
        <v/>
      </c>
      <c r="L399" s="65" t="str">
        <f t="shared" si="6"/>
        <v/>
      </c>
      <c r="M399" s="14" t="s">
        <v>49</v>
      </c>
      <c r="N399" s="15">
        <v>44715</v>
      </c>
      <c r="O399" t="s">
        <v>1704</v>
      </c>
      <c r="P399" t="s">
        <v>1705</v>
      </c>
      <c r="Q399" t="s">
        <v>1706</v>
      </c>
      <c r="R399" t="s">
        <v>53</v>
      </c>
      <c r="S399" t="s">
        <v>175</v>
      </c>
      <c r="T399" t="s">
        <v>2099</v>
      </c>
      <c r="U399" t="s">
        <v>56</v>
      </c>
      <c r="V399" s="21" t="s">
        <v>2100</v>
      </c>
      <c r="W399" s="21"/>
      <c r="X399" t="s">
        <v>2190</v>
      </c>
      <c r="Y399" t="s">
        <v>2191</v>
      </c>
      <c r="AC399" t="s">
        <v>60</v>
      </c>
      <c r="AE399" s="15"/>
      <c r="AL399" t="s">
        <v>1715</v>
      </c>
      <c r="AM399" t="s">
        <v>63</v>
      </c>
      <c r="AN399" t="s">
        <v>2192</v>
      </c>
      <c r="AO399">
        <v>192664</v>
      </c>
      <c r="AQ399" t="s">
        <v>2193</v>
      </c>
      <c r="AR399" t="s">
        <v>2194</v>
      </c>
      <c r="AS399" t="s">
        <v>2195</v>
      </c>
      <c r="AT399" t="s">
        <v>68</v>
      </c>
      <c r="AV399" t="s">
        <v>2196</v>
      </c>
      <c r="AW399" t="s">
        <v>2197</v>
      </c>
      <c r="AX399" t="s">
        <v>2198</v>
      </c>
      <c r="BA399" s="14" t="s">
        <v>72</v>
      </c>
      <c r="BB399" s="14" t="s">
        <v>73</v>
      </c>
      <c r="BC399" s="14" t="s">
        <v>74</v>
      </c>
    </row>
    <row r="400" spans="1:55" ht="15" customHeight="1" x14ac:dyDescent="0.4">
      <c r="A400" s="12">
        <v>3328</v>
      </c>
      <c r="B400" s="21" t="s">
        <v>2199</v>
      </c>
      <c r="C400" s="13" t="s">
        <v>2200</v>
      </c>
      <c r="D400" s="25" t="s">
        <v>2200</v>
      </c>
      <c r="E400" s="13"/>
      <c r="F400" s="41"/>
      <c r="G400" s="41"/>
      <c r="H400" s="41"/>
      <c r="I400" s="41"/>
      <c r="J400" s="41"/>
      <c r="K400" s="65" t="str">
        <f>IFERROR(VLOOKUP(D400,Sheet4!A$1:M$56,11,FALSE),"")</f>
        <v/>
      </c>
      <c r="L400" s="65" t="str">
        <f t="shared" si="6"/>
        <v/>
      </c>
      <c r="M400" s="14" t="s">
        <v>1703</v>
      </c>
      <c r="N400" s="15">
        <v>44715</v>
      </c>
      <c r="O400" s="15" t="s">
        <v>1704</v>
      </c>
      <c r="P400" t="s">
        <v>1705</v>
      </c>
      <c r="Q400" t="s">
        <v>1706</v>
      </c>
      <c r="R400" t="s">
        <v>53</v>
      </c>
      <c r="S400" t="s">
        <v>175</v>
      </c>
      <c r="T400" t="s">
        <v>2099</v>
      </c>
      <c r="U400" t="s">
        <v>56</v>
      </c>
      <c r="V400" s="21" t="s">
        <v>2100</v>
      </c>
      <c r="W400" s="21"/>
      <c r="X400" t="s">
        <v>2201</v>
      </c>
      <c r="Y400">
        <v>0</v>
      </c>
      <c r="AC400" t="s">
        <v>1713</v>
      </c>
      <c r="AE400" s="15"/>
      <c r="AL400" t="s">
        <v>1715</v>
      </c>
      <c r="AM400" t="s">
        <v>63</v>
      </c>
      <c r="AN400" t="s">
        <v>2202</v>
      </c>
      <c r="AO400">
        <v>193764</v>
      </c>
      <c r="AQ400" t="s">
        <v>2203</v>
      </c>
      <c r="AR400" t="s">
        <v>2204</v>
      </c>
      <c r="AS400" t="s">
        <v>2205</v>
      </c>
      <c r="AT400" t="s">
        <v>68</v>
      </c>
      <c r="AV400" t="s">
        <v>2206</v>
      </c>
      <c r="AW400" t="s">
        <v>2207</v>
      </c>
      <c r="AX400" t="s">
        <v>2208</v>
      </c>
      <c r="BA400" s="14" t="s">
        <v>72</v>
      </c>
      <c r="BB400" s="14" t="s">
        <v>73</v>
      </c>
      <c r="BC400" s="14" t="s">
        <v>1723</v>
      </c>
    </row>
    <row r="401" spans="1:55" ht="15" customHeight="1" x14ac:dyDescent="0.4">
      <c r="A401" s="12">
        <v>3329</v>
      </c>
      <c r="B401" s="21" t="s">
        <v>2209</v>
      </c>
      <c r="C401" s="13" t="s">
        <v>2210</v>
      </c>
      <c r="D401" s="25" t="s">
        <v>2210</v>
      </c>
      <c r="E401" s="13"/>
      <c r="F401" s="43" t="s">
        <v>1703</v>
      </c>
      <c r="G401" s="43" t="s">
        <v>8099</v>
      </c>
      <c r="H401" s="43"/>
      <c r="I401" s="43"/>
      <c r="J401" s="43"/>
      <c r="K401" s="65" t="str">
        <f>IFERROR(VLOOKUP(D401,Sheet4!A$1:M$56,11,FALSE),"")</f>
        <v>Based on ADMIXTURE results of 78,187 SNPs, admixed with Quercus macrocarpa</v>
      </c>
      <c r="L401" s="65" t="str">
        <f t="shared" si="6"/>
        <v>Based on ADMIXTURE results of 78,187 SNPs, admixed with Quercus macrocarpa</v>
      </c>
      <c r="M401" s="14" t="s">
        <v>1703</v>
      </c>
      <c r="N401" s="15">
        <v>44715</v>
      </c>
      <c r="O401" t="s">
        <v>1704</v>
      </c>
      <c r="P401" t="s">
        <v>1705</v>
      </c>
      <c r="Q401" t="s">
        <v>1706</v>
      </c>
      <c r="R401" t="s">
        <v>53</v>
      </c>
      <c r="S401" t="s">
        <v>175</v>
      </c>
      <c r="T401" t="s">
        <v>2099</v>
      </c>
      <c r="U401" t="s">
        <v>56</v>
      </c>
      <c r="V401" s="21" t="s">
        <v>2100</v>
      </c>
      <c r="W401" s="21"/>
      <c r="X401" t="s">
        <v>2211</v>
      </c>
      <c r="Y401" t="s">
        <v>2212</v>
      </c>
      <c r="AC401" t="s">
        <v>1713</v>
      </c>
      <c r="AE401" s="15"/>
      <c r="AL401" t="s">
        <v>1715</v>
      </c>
      <c r="AM401" t="s">
        <v>63</v>
      </c>
      <c r="AN401" t="s">
        <v>2213</v>
      </c>
      <c r="AO401">
        <v>192574</v>
      </c>
      <c r="AQ401" t="s">
        <v>2214</v>
      </c>
      <c r="AR401" t="s">
        <v>2215</v>
      </c>
      <c r="AS401" t="s">
        <v>2216</v>
      </c>
      <c r="AT401" t="s">
        <v>68</v>
      </c>
      <c r="AV401" t="s">
        <v>2217</v>
      </c>
      <c r="AW401" t="s">
        <v>2218</v>
      </c>
      <c r="AX401" t="s">
        <v>2219</v>
      </c>
      <c r="BA401" s="14" t="s">
        <v>72</v>
      </c>
      <c r="BB401" s="14" t="s">
        <v>73</v>
      </c>
      <c r="BC401" s="14" t="s">
        <v>1723</v>
      </c>
    </row>
    <row r="402" spans="1:55" ht="15" customHeight="1" x14ac:dyDescent="0.4">
      <c r="A402" s="12">
        <v>3330</v>
      </c>
      <c r="B402" s="21" t="s">
        <v>2220</v>
      </c>
      <c r="C402" s="13" t="s">
        <v>2221</v>
      </c>
      <c r="D402" s="25" t="s">
        <v>2221</v>
      </c>
      <c r="E402" s="13"/>
      <c r="F402" s="41" t="s">
        <v>49</v>
      </c>
      <c r="G402" s="41"/>
      <c r="H402" s="41"/>
      <c r="I402" s="41"/>
      <c r="J402" s="41"/>
      <c r="K402" s="65" t="str">
        <f>IFERROR(VLOOKUP(D402,Sheet4!A$1:M$56,11,FALSE),"")</f>
        <v/>
      </c>
      <c r="L402" s="65" t="str">
        <f t="shared" si="6"/>
        <v/>
      </c>
      <c r="M402" s="14" t="s">
        <v>2222</v>
      </c>
      <c r="N402" s="15">
        <v>44715</v>
      </c>
      <c r="O402" s="15" t="s">
        <v>1704</v>
      </c>
      <c r="P402" t="s">
        <v>1705</v>
      </c>
      <c r="Q402" t="s">
        <v>1706</v>
      </c>
      <c r="R402" t="s">
        <v>53</v>
      </c>
      <c r="S402" t="s">
        <v>175</v>
      </c>
      <c r="T402" t="s">
        <v>2099</v>
      </c>
      <c r="U402" t="s">
        <v>56</v>
      </c>
      <c r="V402" s="21" t="s">
        <v>2100</v>
      </c>
      <c r="W402" s="21"/>
      <c r="X402" t="s">
        <v>2223</v>
      </c>
      <c r="Y402" t="s">
        <v>2224</v>
      </c>
      <c r="AC402" t="s">
        <v>2225</v>
      </c>
      <c r="AE402" s="15"/>
      <c r="AL402" t="s">
        <v>1715</v>
      </c>
      <c r="AM402" t="s">
        <v>63</v>
      </c>
      <c r="AN402" t="s">
        <v>2226</v>
      </c>
      <c r="AO402">
        <v>192675</v>
      </c>
      <c r="AQ402" t="s">
        <v>2227</v>
      </c>
      <c r="AR402" t="s">
        <v>2228</v>
      </c>
      <c r="AS402" t="s">
        <v>2229</v>
      </c>
      <c r="AT402" t="s">
        <v>68</v>
      </c>
      <c r="AV402" t="s">
        <v>2230</v>
      </c>
      <c r="AW402" t="s">
        <v>2231</v>
      </c>
      <c r="AX402" t="s">
        <v>2232</v>
      </c>
      <c r="BA402" s="14" t="s">
        <v>72</v>
      </c>
      <c r="BB402" s="14" t="s">
        <v>73</v>
      </c>
      <c r="BC402" s="14" t="s">
        <v>74</v>
      </c>
    </row>
    <row r="403" spans="1:55" ht="15" customHeight="1" x14ac:dyDescent="0.4">
      <c r="A403" s="12">
        <v>3331</v>
      </c>
      <c r="B403" s="21" t="s">
        <v>2233</v>
      </c>
      <c r="C403" s="13" t="s">
        <v>2234</v>
      </c>
      <c r="D403" s="25" t="s">
        <v>2234</v>
      </c>
      <c r="E403" s="13"/>
      <c r="F403" s="41"/>
      <c r="G403" s="41"/>
      <c r="H403" s="41"/>
      <c r="I403" s="41"/>
      <c r="J403" s="41"/>
      <c r="K403" s="65" t="str">
        <f>IFERROR(VLOOKUP(D403,Sheet4!A$1:M$56,11,FALSE),"")</f>
        <v/>
      </c>
      <c r="L403" s="65" t="str">
        <f t="shared" si="6"/>
        <v/>
      </c>
      <c r="M403" s="14" t="s">
        <v>2006</v>
      </c>
      <c r="N403" s="15">
        <v>44715</v>
      </c>
      <c r="O403" t="s">
        <v>1704</v>
      </c>
      <c r="P403" t="s">
        <v>1705</v>
      </c>
      <c r="Q403" t="s">
        <v>1706</v>
      </c>
      <c r="R403" t="s">
        <v>53</v>
      </c>
      <c r="S403" t="s">
        <v>175</v>
      </c>
      <c r="T403" t="s">
        <v>2099</v>
      </c>
      <c r="U403" t="s">
        <v>56</v>
      </c>
      <c r="V403" s="21" t="s">
        <v>2100</v>
      </c>
      <c r="W403" s="21"/>
      <c r="X403" t="s">
        <v>2235</v>
      </c>
      <c r="Y403" t="s">
        <v>2236</v>
      </c>
      <c r="AC403" t="s">
        <v>2009</v>
      </c>
      <c r="AE403" s="15"/>
      <c r="AL403" t="s">
        <v>1715</v>
      </c>
      <c r="AM403" t="s">
        <v>63</v>
      </c>
      <c r="AN403" t="s">
        <v>2237</v>
      </c>
      <c r="AO403">
        <v>194229</v>
      </c>
      <c r="AQ403" t="s">
        <v>2238</v>
      </c>
      <c r="AR403" t="s">
        <v>2239</v>
      </c>
      <c r="AS403" t="s">
        <v>2240</v>
      </c>
      <c r="AT403" t="s">
        <v>68</v>
      </c>
      <c r="AV403" t="s">
        <v>2241</v>
      </c>
      <c r="AW403" t="s">
        <v>2242</v>
      </c>
      <c r="AX403" t="s">
        <v>2243</v>
      </c>
      <c r="BA403" s="14" t="s">
        <v>72</v>
      </c>
      <c r="BB403" s="14" t="s">
        <v>73</v>
      </c>
      <c r="BC403" s="14" t="s">
        <v>74</v>
      </c>
    </row>
    <row r="404" spans="1:55" ht="15" customHeight="1" x14ac:dyDescent="0.4">
      <c r="A404" s="12">
        <v>3332</v>
      </c>
      <c r="B404" s="21" t="s">
        <v>2244</v>
      </c>
      <c r="C404" s="13" t="s">
        <v>2245</v>
      </c>
      <c r="D404" s="25" t="s">
        <v>2245</v>
      </c>
      <c r="E404" s="13"/>
      <c r="F404" s="44" t="s">
        <v>49</v>
      </c>
      <c r="G404" s="44" t="s">
        <v>8100</v>
      </c>
      <c r="H404" s="44"/>
      <c r="I404" s="44"/>
      <c r="J404" s="44"/>
      <c r="K404" s="65" t="str">
        <f>IFERROR(VLOOKUP(D404,Sheet4!A$1:M$56,11,FALSE),"")</f>
        <v>Based on ADMIXTURE results of 78,187 SNPs, admixed with Quercus michauxii</v>
      </c>
      <c r="L404" s="65" t="str">
        <f t="shared" si="6"/>
        <v>Based on ADMIXTURE results of 78,187 SNPs, admixed with Quercus michauxii</v>
      </c>
      <c r="M404" s="14" t="s">
        <v>2222</v>
      </c>
      <c r="N404" s="15">
        <v>44715</v>
      </c>
      <c r="O404" s="15" t="s">
        <v>1704</v>
      </c>
      <c r="P404" t="s">
        <v>1705</v>
      </c>
      <c r="Q404" t="s">
        <v>1706</v>
      </c>
      <c r="R404" t="s">
        <v>53</v>
      </c>
      <c r="S404" t="s">
        <v>175</v>
      </c>
      <c r="T404" t="s">
        <v>2099</v>
      </c>
      <c r="U404" t="s">
        <v>56</v>
      </c>
      <c r="V404" s="21" t="s">
        <v>2100</v>
      </c>
      <c r="X404" t="s">
        <v>2246</v>
      </c>
      <c r="Y404" t="s">
        <v>2247</v>
      </c>
      <c r="AC404" t="s">
        <v>2225</v>
      </c>
      <c r="AE404" s="15"/>
      <c r="AL404" t="s">
        <v>1715</v>
      </c>
      <c r="AM404" t="s">
        <v>63</v>
      </c>
      <c r="AN404" t="s">
        <v>2248</v>
      </c>
      <c r="AO404">
        <v>192571</v>
      </c>
      <c r="AQ404" t="s">
        <v>2249</v>
      </c>
      <c r="AR404" t="s">
        <v>2250</v>
      </c>
      <c r="AS404" t="s">
        <v>2251</v>
      </c>
      <c r="AT404" t="s">
        <v>68</v>
      </c>
      <c r="AV404" t="s">
        <v>2252</v>
      </c>
      <c r="AW404" t="s">
        <v>2253</v>
      </c>
      <c r="AX404" t="s">
        <v>2254</v>
      </c>
      <c r="BA404" s="14" t="s">
        <v>72</v>
      </c>
      <c r="BB404" s="14" t="s">
        <v>73</v>
      </c>
      <c r="BC404" s="14" t="s">
        <v>74</v>
      </c>
    </row>
    <row r="405" spans="1:55" ht="15" customHeight="1" x14ac:dyDescent="0.4">
      <c r="A405" s="12">
        <v>3566</v>
      </c>
      <c r="B405" s="21" t="s">
        <v>2717</v>
      </c>
      <c r="C405" s="13" t="s">
        <v>2718</v>
      </c>
      <c r="D405" s="25" t="s">
        <v>2718</v>
      </c>
      <c r="E405" s="13"/>
      <c r="F405" s="41"/>
      <c r="G405" s="41"/>
      <c r="H405" s="41"/>
      <c r="I405" s="41"/>
      <c r="J405" s="41"/>
      <c r="K405" s="65" t="str">
        <f>IFERROR(VLOOKUP(D405,Sheet4!A$1:M$56,11,FALSE),"")</f>
        <v/>
      </c>
      <c r="L405" s="65" t="str">
        <f t="shared" si="6"/>
        <v/>
      </c>
      <c r="M405" s="14" t="s">
        <v>49</v>
      </c>
      <c r="N405" s="15">
        <v>44732</v>
      </c>
      <c r="O405" t="s">
        <v>2719</v>
      </c>
      <c r="P405" t="s">
        <v>51</v>
      </c>
      <c r="Q405" t="s">
        <v>52</v>
      </c>
      <c r="R405" t="s">
        <v>53</v>
      </c>
      <c r="S405" t="s">
        <v>175</v>
      </c>
      <c r="T405" t="s">
        <v>2720</v>
      </c>
      <c r="U405" t="s">
        <v>56</v>
      </c>
      <c r="V405" s="21" t="s">
        <v>2721</v>
      </c>
      <c r="W405" s="21"/>
      <c r="X405" t="s">
        <v>2722</v>
      </c>
      <c r="Y405" t="s">
        <v>2723</v>
      </c>
      <c r="AC405" t="s">
        <v>60</v>
      </c>
      <c r="AE405" s="15"/>
      <c r="AG405">
        <v>38.545696999999997</v>
      </c>
      <c r="AH405">
        <v>-90.535657</v>
      </c>
      <c r="AI405" t="s">
        <v>2724</v>
      </c>
      <c r="AL405" t="s">
        <v>1715</v>
      </c>
      <c r="AM405" t="s">
        <v>63</v>
      </c>
      <c r="AN405" t="s">
        <v>2725</v>
      </c>
      <c r="AO405">
        <v>192542</v>
      </c>
      <c r="AQ405" t="s">
        <v>2726</v>
      </c>
      <c r="AR405" t="s">
        <v>2727</v>
      </c>
      <c r="AS405" t="s">
        <v>2728</v>
      </c>
      <c r="AT405" t="s">
        <v>68</v>
      </c>
      <c r="AV405" t="s">
        <v>2729</v>
      </c>
      <c r="AW405" t="s">
        <v>2730</v>
      </c>
      <c r="AX405" t="s">
        <v>2731</v>
      </c>
      <c r="BA405" s="14" t="s">
        <v>72</v>
      </c>
      <c r="BB405" s="14" t="s">
        <v>73</v>
      </c>
      <c r="BC405" s="14" t="s">
        <v>74</v>
      </c>
    </row>
    <row r="406" spans="1:55" ht="15" customHeight="1" x14ac:dyDescent="0.4">
      <c r="A406" s="12">
        <v>3567</v>
      </c>
      <c r="B406" s="21" t="s">
        <v>2732</v>
      </c>
      <c r="C406" s="13" t="s">
        <v>2733</v>
      </c>
      <c r="D406" s="25" t="s">
        <v>2733</v>
      </c>
      <c r="E406" s="13"/>
      <c r="F406" s="41"/>
      <c r="G406" s="41"/>
      <c r="H406" s="41"/>
      <c r="I406" s="41"/>
      <c r="J406" s="41"/>
      <c r="K406" s="65" t="str">
        <f>IFERROR(VLOOKUP(D406,Sheet4!A$1:M$56,11,FALSE),"")</f>
        <v/>
      </c>
      <c r="L406" s="65" t="str">
        <f t="shared" si="6"/>
        <v/>
      </c>
      <c r="M406" s="14" t="s">
        <v>49</v>
      </c>
      <c r="N406" s="15">
        <v>44732</v>
      </c>
      <c r="O406" t="s">
        <v>2719</v>
      </c>
      <c r="P406" t="s">
        <v>51</v>
      </c>
      <c r="Q406" t="s">
        <v>52</v>
      </c>
      <c r="R406" t="s">
        <v>53</v>
      </c>
      <c r="S406" t="s">
        <v>175</v>
      </c>
      <c r="T406" t="s">
        <v>2720</v>
      </c>
      <c r="U406" t="s">
        <v>56</v>
      </c>
      <c r="V406" s="21" t="s">
        <v>2721</v>
      </c>
      <c r="W406" s="21"/>
      <c r="X406" t="s">
        <v>2734</v>
      </c>
      <c r="Y406" t="s">
        <v>2735</v>
      </c>
      <c r="AC406" t="s">
        <v>60</v>
      </c>
      <c r="AE406" s="15"/>
      <c r="AG406">
        <v>38.546835000000002</v>
      </c>
      <c r="AH406">
        <v>-90.537024000000002</v>
      </c>
      <c r="AI406" t="s">
        <v>2736</v>
      </c>
      <c r="AL406" t="s">
        <v>1715</v>
      </c>
      <c r="AM406" t="s">
        <v>63</v>
      </c>
      <c r="AN406" t="s">
        <v>2737</v>
      </c>
      <c r="AO406">
        <v>194183</v>
      </c>
      <c r="AQ406" t="s">
        <v>2738</v>
      </c>
      <c r="AR406" t="s">
        <v>2739</v>
      </c>
      <c r="AS406" t="s">
        <v>2740</v>
      </c>
      <c r="AT406" t="s">
        <v>68</v>
      </c>
      <c r="AV406" t="s">
        <v>2741</v>
      </c>
      <c r="AW406" t="s">
        <v>2742</v>
      </c>
      <c r="AX406" t="s">
        <v>2743</v>
      </c>
      <c r="BA406" s="14" t="s">
        <v>72</v>
      </c>
      <c r="BB406" s="14" t="s">
        <v>73</v>
      </c>
      <c r="BC406" s="14" t="s">
        <v>74</v>
      </c>
    </row>
    <row r="407" spans="1:55" ht="15" customHeight="1" x14ac:dyDescent="0.4">
      <c r="A407" s="12">
        <v>3568</v>
      </c>
      <c r="B407" s="21" t="s">
        <v>2744</v>
      </c>
      <c r="C407" s="13" t="s">
        <v>2745</v>
      </c>
      <c r="D407" s="25" t="s">
        <v>2745</v>
      </c>
      <c r="E407" s="13"/>
      <c r="F407" s="41"/>
      <c r="G407" s="41"/>
      <c r="H407" s="41"/>
      <c r="I407" s="41"/>
      <c r="J407" s="41"/>
      <c r="K407" s="65" t="str">
        <f>IFERROR(VLOOKUP(D407,Sheet4!A$1:M$56,11,FALSE),"")</f>
        <v/>
      </c>
      <c r="L407" s="65" t="str">
        <f t="shared" si="6"/>
        <v/>
      </c>
      <c r="M407" s="14" t="s">
        <v>49</v>
      </c>
      <c r="N407" s="15">
        <v>44732</v>
      </c>
      <c r="O407" t="s">
        <v>2719</v>
      </c>
      <c r="P407" t="s">
        <v>51</v>
      </c>
      <c r="Q407" t="s">
        <v>52</v>
      </c>
      <c r="R407" t="s">
        <v>53</v>
      </c>
      <c r="S407" t="s">
        <v>175</v>
      </c>
      <c r="T407" t="s">
        <v>2720</v>
      </c>
      <c r="U407" t="s">
        <v>56</v>
      </c>
      <c r="V407" s="21" t="s">
        <v>2721</v>
      </c>
      <c r="W407" s="21"/>
      <c r="X407" t="s">
        <v>2746</v>
      </c>
      <c r="Y407" t="s">
        <v>2747</v>
      </c>
      <c r="AB407" t="s">
        <v>1758</v>
      </c>
      <c r="AC407" t="s">
        <v>60</v>
      </c>
      <c r="AE407" s="15"/>
      <c r="AG407">
        <v>38.547165999999997</v>
      </c>
      <c r="AH407">
        <v>-90.536985999999999</v>
      </c>
      <c r="AI407" t="s">
        <v>2748</v>
      </c>
      <c r="AL407" t="s">
        <v>1715</v>
      </c>
      <c r="AM407" t="s">
        <v>63</v>
      </c>
      <c r="AN407" t="s">
        <v>2749</v>
      </c>
      <c r="AO407">
        <v>194184</v>
      </c>
      <c r="AQ407" t="s">
        <v>2750</v>
      </c>
      <c r="AR407" t="s">
        <v>2751</v>
      </c>
      <c r="AS407" t="s">
        <v>2752</v>
      </c>
      <c r="AT407" t="s">
        <v>68</v>
      </c>
      <c r="AV407" t="s">
        <v>2753</v>
      </c>
      <c r="AW407" t="s">
        <v>2754</v>
      </c>
      <c r="AX407" t="s">
        <v>2755</v>
      </c>
      <c r="BA407" s="14" t="s">
        <v>72</v>
      </c>
      <c r="BB407" s="14" t="s">
        <v>73</v>
      </c>
      <c r="BC407" s="14" t="s">
        <v>74</v>
      </c>
    </row>
    <row r="408" spans="1:55" ht="15" customHeight="1" x14ac:dyDescent="0.4">
      <c r="A408" s="12">
        <v>3584</v>
      </c>
      <c r="B408" s="21" t="s">
        <v>2934</v>
      </c>
      <c r="C408" s="13" t="s">
        <v>2935</v>
      </c>
      <c r="D408" s="25" t="s">
        <v>2935</v>
      </c>
      <c r="E408" s="13"/>
      <c r="F408" s="41"/>
      <c r="G408" s="41"/>
      <c r="H408" s="41"/>
      <c r="I408" s="41"/>
      <c r="J408" s="41"/>
      <c r="K408" s="65" t="str">
        <f>IFERROR(VLOOKUP(D408,Sheet4!A$1:M$56,11,FALSE),"")</f>
        <v/>
      </c>
      <c r="L408" s="65" t="str">
        <f t="shared" si="6"/>
        <v/>
      </c>
      <c r="M408" s="14" t="s">
        <v>49</v>
      </c>
      <c r="N408" s="15">
        <v>44734</v>
      </c>
      <c r="O408" t="s">
        <v>2719</v>
      </c>
      <c r="P408" t="s">
        <v>51</v>
      </c>
      <c r="Q408" t="s">
        <v>52</v>
      </c>
      <c r="R408" t="s">
        <v>53</v>
      </c>
      <c r="S408" t="s">
        <v>175</v>
      </c>
      <c r="T408" t="s">
        <v>2936</v>
      </c>
      <c r="U408" t="s">
        <v>56</v>
      </c>
      <c r="V408" s="21" t="s">
        <v>2937</v>
      </c>
      <c r="W408" s="21"/>
      <c r="X408" t="s">
        <v>2938</v>
      </c>
      <c r="Y408" t="s">
        <v>2939</v>
      </c>
      <c r="AB408" t="s">
        <v>2440</v>
      </c>
      <c r="AC408" t="s">
        <v>60</v>
      </c>
      <c r="AE408" s="15"/>
      <c r="AG408">
        <v>37.990282000000001</v>
      </c>
      <c r="AH408">
        <v>-92.774439000000001</v>
      </c>
      <c r="AL408" t="s">
        <v>1715</v>
      </c>
      <c r="AM408" t="s">
        <v>63</v>
      </c>
      <c r="AN408" t="s">
        <v>2940</v>
      </c>
      <c r="AO408">
        <v>194185</v>
      </c>
      <c r="AQ408" t="s">
        <v>2941</v>
      </c>
      <c r="AR408" t="s">
        <v>2942</v>
      </c>
      <c r="AS408" t="s">
        <v>2943</v>
      </c>
      <c r="AT408" t="s">
        <v>68</v>
      </c>
      <c r="AV408" t="s">
        <v>2944</v>
      </c>
      <c r="AW408" t="s">
        <v>2945</v>
      </c>
      <c r="AX408" t="s">
        <v>2946</v>
      </c>
      <c r="BA408" s="14" t="s">
        <v>72</v>
      </c>
      <c r="BB408" s="14" t="s">
        <v>73</v>
      </c>
      <c r="BC408" s="14" t="s">
        <v>74</v>
      </c>
    </row>
    <row r="409" spans="1:55" ht="15" customHeight="1" x14ac:dyDescent="0.4">
      <c r="A409" s="12">
        <v>3585</v>
      </c>
      <c r="B409" s="21" t="s">
        <v>2947</v>
      </c>
      <c r="C409" s="13" t="s">
        <v>2948</v>
      </c>
      <c r="D409" s="25" t="s">
        <v>2948</v>
      </c>
      <c r="E409" s="13"/>
      <c r="F409" s="41"/>
      <c r="G409" s="41"/>
      <c r="H409" s="41"/>
      <c r="I409" s="41"/>
      <c r="J409" s="41"/>
      <c r="K409" s="65" t="str">
        <f>IFERROR(VLOOKUP(D409,Sheet4!A$1:M$56,11,FALSE),"")</f>
        <v/>
      </c>
      <c r="L409" s="65" t="str">
        <f t="shared" si="6"/>
        <v/>
      </c>
      <c r="M409" s="14" t="s">
        <v>1878</v>
      </c>
      <c r="N409" s="15">
        <v>44734</v>
      </c>
      <c r="O409" t="s">
        <v>2719</v>
      </c>
      <c r="P409" t="s">
        <v>51</v>
      </c>
      <c r="Q409" t="s">
        <v>52</v>
      </c>
      <c r="R409" t="s">
        <v>53</v>
      </c>
      <c r="S409" t="s">
        <v>175</v>
      </c>
      <c r="T409" t="s">
        <v>2936</v>
      </c>
      <c r="U409" t="s">
        <v>56</v>
      </c>
      <c r="V409" s="21" t="s">
        <v>2937</v>
      </c>
      <c r="W409" s="21"/>
      <c r="X409" t="s">
        <v>2949</v>
      </c>
      <c r="Y409" t="s">
        <v>2950</v>
      </c>
      <c r="AB409" t="s">
        <v>2951</v>
      </c>
      <c r="AC409" t="s">
        <v>1881</v>
      </c>
      <c r="AE409" s="15"/>
      <c r="AG409">
        <v>37.978319999999997</v>
      </c>
      <c r="AH409">
        <v>-92.768426000000005</v>
      </c>
      <c r="AI409" t="s">
        <v>2952</v>
      </c>
      <c r="AL409" t="s">
        <v>1715</v>
      </c>
      <c r="AM409" t="s">
        <v>63</v>
      </c>
      <c r="AN409" t="s">
        <v>2953</v>
      </c>
      <c r="AO409">
        <v>193915</v>
      </c>
      <c r="AQ409" t="s">
        <v>2954</v>
      </c>
      <c r="AR409" t="s">
        <v>2955</v>
      </c>
      <c r="AS409" t="s">
        <v>2956</v>
      </c>
      <c r="AT409" t="s">
        <v>68</v>
      </c>
      <c r="AV409" t="s">
        <v>2957</v>
      </c>
      <c r="AW409" t="s">
        <v>2958</v>
      </c>
      <c r="AX409" t="s">
        <v>2959</v>
      </c>
      <c r="BA409" s="14" t="s">
        <v>72</v>
      </c>
      <c r="BB409" s="14" t="s">
        <v>73</v>
      </c>
      <c r="BC409" s="14" t="s">
        <v>1723</v>
      </c>
    </row>
    <row r="410" spans="1:55" ht="15" customHeight="1" x14ac:dyDescent="0.4">
      <c r="A410" s="12">
        <v>3586</v>
      </c>
      <c r="B410" s="21" t="s">
        <v>2960</v>
      </c>
      <c r="C410" s="13" t="s">
        <v>2961</v>
      </c>
      <c r="D410" s="25" t="s">
        <v>2961</v>
      </c>
      <c r="E410" s="13"/>
      <c r="F410" s="41"/>
      <c r="G410" s="41"/>
      <c r="H410" s="41"/>
      <c r="I410" s="41"/>
      <c r="J410" s="41"/>
      <c r="K410" s="65" t="str">
        <f>IFERROR(VLOOKUP(D410,Sheet4!A$1:M$56,11,FALSE),"")</f>
        <v/>
      </c>
      <c r="L410" s="65" t="str">
        <f t="shared" si="6"/>
        <v/>
      </c>
      <c r="M410" s="14" t="s">
        <v>1752</v>
      </c>
      <c r="N410" s="15">
        <v>44734</v>
      </c>
      <c r="O410" t="s">
        <v>2719</v>
      </c>
      <c r="P410" t="s">
        <v>51</v>
      </c>
      <c r="Q410" t="s">
        <v>52</v>
      </c>
      <c r="R410" t="s">
        <v>53</v>
      </c>
      <c r="S410" t="s">
        <v>175</v>
      </c>
      <c r="T410" t="s">
        <v>2936</v>
      </c>
      <c r="U410" t="s">
        <v>56</v>
      </c>
      <c r="V410" s="21" t="s">
        <v>2937</v>
      </c>
      <c r="W410" s="21"/>
      <c r="X410" t="s">
        <v>2949</v>
      </c>
      <c r="Y410" t="s">
        <v>2962</v>
      </c>
      <c r="AB410" t="s">
        <v>2440</v>
      </c>
      <c r="AC410" t="s">
        <v>1759</v>
      </c>
      <c r="AE410" s="15"/>
      <c r="AG410">
        <v>37.978319999999997</v>
      </c>
      <c r="AH410">
        <v>-92.768446999999995</v>
      </c>
      <c r="AI410" t="s">
        <v>2963</v>
      </c>
      <c r="AL410" t="s">
        <v>1715</v>
      </c>
      <c r="AM410" t="s">
        <v>63</v>
      </c>
      <c r="AN410" t="s">
        <v>2964</v>
      </c>
      <c r="AO410">
        <v>193516</v>
      </c>
      <c r="AQ410" t="s">
        <v>2965</v>
      </c>
      <c r="AR410" t="s">
        <v>2966</v>
      </c>
      <c r="AS410" t="s">
        <v>2967</v>
      </c>
      <c r="AT410" t="s">
        <v>68</v>
      </c>
      <c r="AV410" t="s">
        <v>2968</v>
      </c>
      <c r="AW410" t="s">
        <v>2969</v>
      </c>
      <c r="AX410" t="s">
        <v>2970</v>
      </c>
      <c r="BA410" s="14" t="s">
        <v>72</v>
      </c>
      <c r="BB410" s="14" t="s">
        <v>73</v>
      </c>
      <c r="BC410" s="14" t="s">
        <v>1768</v>
      </c>
    </row>
    <row r="411" spans="1:55" ht="15" customHeight="1" x14ac:dyDescent="0.4">
      <c r="A411" s="12">
        <v>3587</v>
      </c>
      <c r="B411" s="21" t="s">
        <v>2971</v>
      </c>
      <c r="C411" s="13" t="s">
        <v>2972</v>
      </c>
      <c r="D411" s="25" t="s">
        <v>2972</v>
      </c>
      <c r="E411" s="13"/>
      <c r="F411" s="41"/>
      <c r="G411" s="41"/>
      <c r="H411" s="41"/>
      <c r="I411" s="41"/>
      <c r="J411" s="41"/>
      <c r="K411" s="65" t="str">
        <f>IFERROR(VLOOKUP(D411,Sheet4!A$1:M$56,11,FALSE),"")</f>
        <v/>
      </c>
      <c r="L411" s="65" t="str">
        <f t="shared" si="6"/>
        <v/>
      </c>
      <c r="M411" s="14" t="s">
        <v>1878</v>
      </c>
      <c r="N411" s="15">
        <v>44734</v>
      </c>
      <c r="O411" t="s">
        <v>2719</v>
      </c>
      <c r="P411" t="s">
        <v>51</v>
      </c>
      <c r="Q411" t="s">
        <v>52</v>
      </c>
      <c r="R411" t="s">
        <v>53</v>
      </c>
      <c r="S411" t="s">
        <v>175</v>
      </c>
      <c r="T411" t="s">
        <v>2936</v>
      </c>
      <c r="U411" t="s">
        <v>56</v>
      </c>
      <c r="V411" s="21" t="s">
        <v>2937</v>
      </c>
      <c r="W411" s="21"/>
      <c r="X411" t="s">
        <v>2973</v>
      </c>
      <c r="Y411" t="s">
        <v>2974</v>
      </c>
      <c r="AB411" t="s">
        <v>2951</v>
      </c>
      <c r="AC411" t="s">
        <v>1881</v>
      </c>
      <c r="AE411" s="15"/>
      <c r="AG411">
        <v>37.980251000000003</v>
      </c>
      <c r="AH411">
        <v>-92.768297000000004</v>
      </c>
      <c r="AI411" t="s">
        <v>2975</v>
      </c>
      <c r="AL411" t="s">
        <v>1715</v>
      </c>
      <c r="AM411" t="s">
        <v>63</v>
      </c>
      <c r="AN411" t="s">
        <v>2976</v>
      </c>
      <c r="AO411">
        <v>193916</v>
      </c>
      <c r="AQ411" t="s">
        <v>2977</v>
      </c>
      <c r="AR411" t="s">
        <v>2978</v>
      </c>
      <c r="AS411" t="s">
        <v>2979</v>
      </c>
      <c r="AT411" t="s">
        <v>68</v>
      </c>
      <c r="AV411" t="s">
        <v>2980</v>
      </c>
      <c r="AW411" t="s">
        <v>2981</v>
      </c>
      <c r="AX411" t="s">
        <v>2982</v>
      </c>
      <c r="BA411" s="14" t="s">
        <v>72</v>
      </c>
      <c r="BB411" s="14" t="s">
        <v>73</v>
      </c>
      <c r="BC411" s="14" t="s">
        <v>1723</v>
      </c>
    </row>
    <row r="412" spans="1:55" ht="15" customHeight="1" x14ac:dyDescent="0.4">
      <c r="A412" s="12">
        <v>3588</v>
      </c>
      <c r="B412" s="21" t="s">
        <v>2983</v>
      </c>
      <c r="C412" s="13" t="s">
        <v>2984</v>
      </c>
      <c r="D412" s="25" t="s">
        <v>2984</v>
      </c>
      <c r="E412" s="13"/>
      <c r="F412" s="41"/>
      <c r="G412" s="41"/>
      <c r="H412" s="41"/>
      <c r="I412" s="41"/>
      <c r="J412" s="41"/>
      <c r="K412" s="65" t="str">
        <f>IFERROR(VLOOKUP(D412,Sheet4!A$1:M$56,11,FALSE),"")</f>
        <v/>
      </c>
      <c r="L412" s="65" t="str">
        <f t="shared" si="6"/>
        <v/>
      </c>
      <c r="M412" s="14" t="s">
        <v>1752</v>
      </c>
      <c r="N412" s="15">
        <v>44734</v>
      </c>
      <c r="O412" t="s">
        <v>2719</v>
      </c>
      <c r="P412" t="s">
        <v>51</v>
      </c>
      <c r="Q412" t="s">
        <v>52</v>
      </c>
      <c r="R412" t="s">
        <v>53</v>
      </c>
      <c r="S412" t="s">
        <v>175</v>
      </c>
      <c r="T412" t="s">
        <v>2936</v>
      </c>
      <c r="U412" t="s">
        <v>56</v>
      </c>
      <c r="V412" s="21" t="s">
        <v>2937</v>
      </c>
      <c r="W412" s="21"/>
      <c r="X412" t="s">
        <v>2973</v>
      </c>
      <c r="Y412" t="s">
        <v>2985</v>
      </c>
      <c r="AB412" t="s">
        <v>2440</v>
      </c>
      <c r="AC412" t="s">
        <v>1759</v>
      </c>
      <c r="AE412" s="15"/>
      <c r="AG412">
        <v>37.980395999999999</v>
      </c>
      <c r="AH412">
        <v>-92.768258000000003</v>
      </c>
      <c r="AI412" t="s">
        <v>2975</v>
      </c>
      <c r="AL412" t="s">
        <v>1715</v>
      </c>
      <c r="AM412" t="s">
        <v>63</v>
      </c>
      <c r="AN412" t="s">
        <v>2986</v>
      </c>
      <c r="AO412">
        <v>193517</v>
      </c>
      <c r="AQ412" t="s">
        <v>2987</v>
      </c>
      <c r="AR412" t="s">
        <v>2988</v>
      </c>
      <c r="AS412" t="s">
        <v>2989</v>
      </c>
      <c r="AT412" t="s">
        <v>68</v>
      </c>
      <c r="AV412" t="s">
        <v>2990</v>
      </c>
      <c r="AW412" t="s">
        <v>2991</v>
      </c>
      <c r="AX412" t="s">
        <v>2992</v>
      </c>
      <c r="BA412" s="14" t="s">
        <v>72</v>
      </c>
      <c r="BB412" s="14" t="s">
        <v>73</v>
      </c>
      <c r="BC412" s="14" t="s">
        <v>1768</v>
      </c>
    </row>
    <row r="413" spans="1:55" ht="15" customHeight="1" x14ac:dyDescent="0.4">
      <c r="A413" s="12">
        <v>3589</v>
      </c>
      <c r="B413" s="21" t="s">
        <v>2993</v>
      </c>
      <c r="C413" s="13" t="s">
        <v>2994</v>
      </c>
      <c r="D413" s="25" t="s">
        <v>2994</v>
      </c>
      <c r="E413" s="13"/>
      <c r="F413" s="41"/>
      <c r="G413" s="41"/>
      <c r="H413" s="41"/>
      <c r="I413" s="41"/>
      <c r="J413" s="41"/>
      <c r="K413" s="65" t="str">
        <f>IFERROR(VLOOKUP(D413,Sheet4!A$1:M$56,11,FALSE),"")</f>
        <v/>
      </c>
      <c r="L413" s="65" t="str">
        <f t="shared" si="6"/>
        <v/>
      </c>
      <c r="M413" s="14" t="s">
        <v>1752</v>
      </c>
      <c r="N413" s="15">
        <v>44734</v>
      </c>
      <c r="O413" t="s">
        <v>2719</v>
      </c>
      <c r="P413" t="s">
        <v>51</v>
      </c>
      <c r="Q413" t="s">
        <v>52</v>
      </c>
      <c r="R413" t="s">
        <v>53</v>
      </c>
      <c r="S413" t="s">
        <v>175</v>
      </c>
      <c r="T413" t="s">
        <v>2936</v>
      </c>
      <c r="U413" t="s">
        <v>56</v>
      </c>
      <c r="V413" s="21" t="s">
        <v>2937</v>
      </c>
      <c r="W413" s="21"/>
      <c r="X413" t="s">
        <v>2973</v>
      </c>
      <c r="Y413" t="s">
        <v>2995</v>
      </c>
      <c r="AB413" t="s">
        <v>2452</v>
      </c>
      <c r="AC413" t="s">
        <v>1759</v>
      </c>
      <c r="AE413" s="15"/>
      <c r="AG413">
        <v>37.980251000000003</v>
      </c>
      <c r="AH413">
        <v>-92.769240999999994</v>
      </c>
      <c r="AI413" t="s">
        <v>2996</v>
      </c>
      <c r="AL413" t="s">
        <v>1715</v>
      </c>
      <c r="AM413" t="s">
        <v>63</v>
      </c>
      <c r="AN413" t="s">
        <v>2997</v>
      </c>
      <c r="AO413">
        <v>193518</v>
      </c>
      <c r="AQ413" t="s">
        <v>2998</v>
      </c>
      <c r="AR413" t="s">
        <v>2999</v>
      </c>
      <c r="AS413" t="s">
        <v>3000</v>
      </c>
      <c r="AT413" t="s">
        <v>68</v>
      </c>
      <c r="AV413" t="s">
        <v>3001</v>
      </c>
      <c r="AW413" t="s">
        <v>3002</v>
      </c>
      <c r="AX413" t="s">
        <v>3003</v>
      </c>
      <c r="BA413" s="14" t="s">
        <v>72</v>
      </c>
      <c r="BB413" s="14" t="s">
        <v>73</v>
      </c>
      <c r="BC413" s="14" t="s">
        <v>1768</v>
      </c>
    </row>
    <row r="414" spans="1:55" ht="15" customHeight="1" x14ac:dyDescent="0.4">
      <c r="A414" s="12">
        <v>3590</v>
      </c>
      <c r="B414" s="21" t="s">
        <v>3004</v>
      </c>
      <c r="C414" s="13" t="s">
        <v>3005</v>
      </c>
      <c r="D414" s="25" t="s">
        <v>3005</v>
      </c>
      <c r="E414" s="13"/>
      <c r="F414" s="41"/>
      <c r="G414" s="41"/>
      <c r="H414" s="41"/>
      <c r="I414" s="41"/>
      <c r="J414" s="41"/>
      <c r="K414" s="65" t="str">
        <f>IFERROR(VLOOKUP(D414,Sheet4!A$1:M$56,11,FALSE),"")</f>
        <v/>
      </c>
      <c r="L414" s="65" t="str">
        <f t="shared" si="6"/>
        <v/>
      </c>
      <c r="M414" s="14" t="s">
        <v>1829</v>
      </c>
      <c r="N414" s="15">
        <v>44734</v>
      </c>
      <c r="O414" t="s">
        <v>2719</v>
      </c>
      <c r="P414" t="s">
        <v>51</v>
      </c>
      <c r="Q414" t="s">
        <v>52</v>
      </c>
      <c r="R414" t="s">
        <v>53</v>
      </c>
      <c r="S414" t="s">
        <v>175</v>
      </c>
      <c r="T414" t="s">
        <v>2936</v>
      </c>
      <c r="U414" t="s">
        <v>56</v>
      </c>
      <c r="V414" s="21" t="s">
        <v>2937</v>
      </c>
      <c r="W414" s="21"/>
      <c r="X414" t="s">
        <v>3006</v>
      </c>
      <c r="Y414" t="s">
        <v>3007</v>
      </c>
      <c r="AB414" t="s">
        <v>2452</v>
      </c>
      <c r="AC414" t="s">
        <v>1832</v>
      </c>
      <c r="AE414" s="15"/>
      <c r="AG414">
        <v>37.980144000000003</v>
      </c>
      <c r="AH414">
        <v>-92.770184999999998</v>
      </c>
      <c r="AI414" t="s">
        <v>3008</v>
      </c>
      <c r="AL414" t="s">
        <v>1715</v>
      </c>
      <c r="AM414" t="s">
        <v>63</v>
      </c>
      <c r="AN414" t="s">
        <v>3009</v>
      </c>
      <c r="AO414">
        <v>194425</v>
      </c>
      <c r="AQ414" t="s">
        <v>3010</v>
      </c>
      <c r="AR414" t="s">
        <v>3011</v>
      </c>
      <c r="AS414" t="s">
        <v>3012</v>
      </c>
      <c r="AT414" t="s">
        <v>68</v>
      </c>
      <c r="AV414" t="s">
        <v>3013</v>
      </c>
      <c r="AW414" t="s">
        <v>3014</v>
      </c>
      <c r="AX414" t="s">
        <v>3015</v>
      </c>
      <c r="BA414" s="14" t="s">
        <v>72</v>
      </c>
      <c r="BB414" s="14" t="s">
        <v>73</v>
      </c>
      <c r="BC414" s="14" t="s">
        <v>74</v>
      </c>
    </row>
    <row r="415" spans="1:55" ht="15" customHeight="1" x14ac:dyDescent="0.4">
      <c r="A415" s="12">
        <v>3591</v>
      </c>
      <c r="B415" s="21" t="s">
        <v>3016</v>
      </c>
      <c r="C415" s="13" t="s">
        <v>3017</v>
      </c>
      <c r="D415" s="25" t="s">
        <v>3017</v>
      </c>
      <c r="E415" s="13"/>
      <c r="F415" s="41"/>
      <c r="G415" s="41"/>
      <c r="H415" s="41"/>
      <c r="I415" s="41"/>
      <c r="J415" s="41"/>
      <c r="K415" s="65" t="str">
        <f>IFERROR(VLOOKUP(D415,Sheet4!A$1:M$56,11,FALSE),"")</f>
        <v/>
      </c>
      <c r="L415" s="65" t="str">
        <f t="shared" si="6"/>
        <v/>
      </c>
      <c r="M415" s="14" t="s">
        <v>1829</v>
      </c>
      <c r="N415" s="15">
        <v>44734</v>
      </c>
      <c r="O415" t="s">
        <v>2719</v>
      </c>
      <c r="P415" t="s">
        <v>51</v>
      </c>
      <c r="Q415" t="s">
        <v>52</v>
      </c>
      <c r="R415" t="s">
        <v>53</v>
      </c>
      <c r="S415" t="s">
        <v>175</v>
      </c>
      <c r="T415" t="s">
        <v>2936</v>
      </c>
      <c r="U415" t="s">
        <v>56</v>
      </c>
      <c r="V415" s="21" t="s">
        <v>2937</v>
      </c>
      <c r="W415" s="21"/>
      <c r="X415" t="s">
        <v>3018</v>
      </c>
      <c r="Y415" t="s">
        <v>3019</v>
      </c>
      <c r="AC415" t="s">
        <v>1832</v>
      </c>
      <c r="AE415" s="15"/>
      <c r="AG415">
        <v>37.979585999999998</v>
      </c>
      <c r="AH415">
        <v>-92.770871999999997</v>
      </c>
      <c r="AI415" t="s">
        <v>3020</v>
      </c>
      <c r="AL415" t="s">
        <v>1715</v>
      </c>
      <c r="AM415" t="s">
        <v>63</v>
      </c>
      <c r="AN415" t="s">
        <v>3021</v>
      </c>
      <c r="AO415">
        <v>194426</v>
      </c>
      <c r="AQ415" t="s">
        <v>3022</v>
      </c>
      <c r="AR415" t="s">
        <v>3023</v>
      </c>
      <c r="AS415" t="s">
        <v>3024</v>
      </c>
      <c r="AT415" t="s">
        <v>68</v>
      </c>
      <c r="AV415" t="s">
        <v>3025</v>
      </c>
      <c r="AW415" t="s">
        <v>3026</v>
      </c>
      <c r="AX415" t="s">
        <v>3027</v>
      </c>
      <c r="BA415" s="14" t="s">
        <v>72</v>
      </c>
      <c r="BB415" s="14" t="s">
        <v>73</v>
      </c>
      <c r="BC415" s="14" t="s">
        <v>74</v>
      </c>
    </row>
    <row r="416" spans="1:55" ht="15" customHeight="1" x14ac:dyDescent="0.4">
      <c r="A416" s="12">
        <v>3592</v>
      </c>
      <c r="B416" s="21" t="s">
        <v>3028</v>
      </c>
      <c r="C416" s="13" t="s">
        <v>3029</v>
      </c>
      <c r="D416" s="25" t="s">
        <v>3029</v>
      </c>
      <c r="E416" s="13"/>
      <c r="F416" s="41"/>
      <c r="G416" s="41"/>
      <c r="H416" s="41"/>
      <c r="I416" s="41"/>
      <c r="J416" s="41"/>
      <c r="K416" s="65" t="str">
        <f>IFERROR(VLOOKUP(D416,Sheet4!A$1:M$56,11,FALSE),"")</f>
        <v/>
      </c>
      <c r="L416" s="65" t="str">
        <f t="shared" si="6"/>
        <v/>
      </c>
      <c r="M416" s="14" t="s">
        <v>1829</v>
      </c>
      <c r="N416" s="15">
        <v>44734</v>
      </c>
      <c r="O416" t="s">
        <v>2719</v>
      </c>
      <c r="P416" t="s">
        <v>51</v>
      </c>
      <c r="Q416" t="s">
        <v>52</v>
      </c>
      <c r="R416" t="s">
        <v>53</v>
      </c>
      <c r="S416" t="s">
        <v>175</v>
      </c>
      <c r="T416" t="s">
        <v>2936</v>
      </c>
      <c r="U416" t="s">
        <v>56</v>
      </c>
      <c r="V416" s="21" t="s">
        <v>2937</v>
      </c>
      <c r="W416" s="21"/>
      <c r="X416" t="s">
        <v>2973</v>
      </c>
      <c r="Y416" t="s">
        <v>3030</v>
      </c>
      <c r="AC416" t="s">
        <v>1832</v>
      </c>
      <c r="AE416" s="15"/>
      <c r="AG416">
        <v>37.980251000000003</v>
      </c>
      <c r="AH416">
        <v>-92.771752000000006</v>
      </c>
      <c r="AI416" t="s">
        <v>3031</v>
      </c>
      <c r="AL416" t="s">
        <v>1715</v>
      </c>
      <c r="AM416" t="s">
        <v>63</v>
      </c>
      <c r="AN416" t="s">
        <v>3032</v>
      </c>
      <c r="AO416">
        <v>194427</v>
      </c>
      <c r="AQ416" t="s">
        <v>3033</v>
      </c>
      <c r="AR416" t="s">
        <v>3034</v>
      </c>
      <c r="AS416" t="s">
        <v>3035</v>
      </c>
      <c r="AT416" t="s">
        <v>68</v>
      </c>
      <c r="AV416" t="s">
        <v>3036</v>
      </c>
      <c r="AW416" t="s">
        <v>3037</v>
      </c>
      <c r="AX416" t="s">
        <v>3038</v>
      </c>
      <c r="BA416" s="14" t="s">
        <v>72</v>
      </c>
      <c r="BB416" s="14" t="s">
        <v>73</v>
      </c>
      <c r="BC416" s="14" t="s">
        <v>74</v>
      </c>
    </row>
    <row r="417" spans="1:55" ht="15" customHeight="1" x14ac:dyDescent="0.4">
      <c r="A417" s="12">
        <v>3593</v>
      </c>
      <c r="B417" s="21" t="s">
        <v>3039</v>
      </c>
      <c r="C417" s="13" t="s">
        <v>3040</v>
      </c>
      <c r="D417" s="25" t="s">
        <v>3040</v>
      </c>
      <c r="E417" s="13"/>
      <c r="F417" s="41"/>
      <c r="G417" s="41"/>
      <c r="H417" s="41"/>
      <c r="I417" s="41"/>
      <c r="J417" s="41"/>
      <c r="K417" s="65" t="str">
        <f>IFERROR(VLOOKUP(D417,Sheet4!A$1:M$56,11,FALSE),"")</f>
        <v/>
      </c>
      <c r="L417" s="65" t="str">
        <f t="shared" si="6"/>
        <v/>
      </c>
      <c r="M417" s="14" t="s">
        <v>1829</v>
      </c>
      <c r="N417" s="15">
        <v>44734</v>
      </c>
      <c r="O417" t="s">
        <v>2719</v>
      </c>
      <c r="P417" t="s">
        <v>51</v>
      </c>
      <c r="Q417" t="s">
        <v>52</v>
      </c>
      <c r="R417" t="s">
        <v>53</v>
      </c>
      <c r="S417" t="s">
        <v>175</v>
      </c>
      <c r="T417" t="s">
        <v>2936</v>
      </c>
      <c r="U417" t="s">
        <v>56</v>
      </c>
      <c r="V417" s="21" t="s">
        <v>2937</v>
      </c>
      <c r="W417" s="21"/>
      <c r="X417" t="s">
        <v>3041</v>
      </c>
      <c r="Y417" t="s">
        <v>3042</v>
      </c>
      <c r="AB417" t="s">
        <v>1758</v>
      </c>
      <c r="AC417" t="s">
        <v>1832</v>
      </c>
      <c r="AE417" s="15"/>
      <c r="AG417">
        <v>37.980058</v>
      </c>
      <c r="AH417">
        <v>-92.772782000000007</v>
      </c>
      <c r="AI417" t="s">
        <v>3043</v>
      </c>
      <c r="AL417" t="s">
        <v>1715</v>
      </c>
      <c r="AM417" t="s">
        <v>63</v>
      </c>
      <c r="AN417" t="s">
        <v>3044</v>
      </c>
      <c r="AO417">
        <v>194428</v>
      </c>
      <c r="AQ417" t="s">
        <v>3045</v>
      </c>
      <c r="AR417" t="s">
        <v>3046</v>
      </c>
      <c r="AS417" t="s">
        <v>3047</v>
      </c>
      <c r="AT417" t="s">
        <v>68</v>
      </c>
      <c r="AV417" t="s">
        <v>3048</v>
      </c>
      <c r="AW417" t="s">
        <v>3049</v>
      </c>
      <c r="AX417" t="s">
        <v>3050</v>
      </c>
      <c r="BA417" s="14" t="s">
        <v>72</v>
      </c>
      <c r="BB417" s="14" t="s">
        <v>73</v>
      </c>
      <c r="BC417" s="14" t="s">
        <v>74</v>
      </c>
    </row>
    <row r="418" spans="1:55" ht="15" customHeight="1" x14ac:dyDescent="0.4">
      <c r="A418" s="12">
        <v>3594</v>
      </c>
      <c r="B418" s="21" t="s">
        <v>3051</v>
      </c>
      <c r="C418" s="13" t="s">
        <v>3052</v>
      </c>
      <c r="D418" s="25" t="s">
        <v>3052</v>
      </c>
      <c r="E418" s="13"/>
      <c r="F418" s="41"/>
      <c r="G418" s="41"/>
      <c r="H418" s="41"/>
      <c r="I418" s="41"/>
      <c r="J418" s="41"/>
      <c r="K418" s="65" t="str">
        <f>IFERROR(VLOOKUP(D418,Sheet4!A$1:M$56,11,FALSE),"")</f>
        <v/>
      </c>
      <c r="L418" s="65" t="str">
        <f t="shared" si="6"/>
        <v/>
      </c>
      <c r="M418" s="14" t="s">
        <v>1878</v>
      </c>
      <c r="N418" s="15">
        <v>44734</v>
      </c>
      <c r="O418" t="s">
        <v>2719</v>
      </c>
      <c r="P418" t="s">
        <v>51</v>
      </c>
      <c r="Q418" t="s">
        <v>52</v>
      </c>
      <c r="R418" t="s">
        <v>53</v>
      </c>
      <c r="S418" t="s">
        <v>175</v>
      </c>
      <c r="T418" t="s">
        <v>2936</v>
      </c>
      <c r="U418" t="s">
        <v>56</v>
      </c>
      <c r="V418" s="21" t="s">
        <v>2937</v>
      </c>
      <c r="W418" s="21"/>
      <c r="X418" t="s">
        <v>3053</v>
      </c>
      <c r="Y418" t="s">
        <v>3054</v>
      </c>
      <c r="AC418" t="s">
        <v>1881</v>
      </c>
      <c r="AE418" s="15"/>
      <c r="AG418">
        <v>37.977505000000001</v>
      </c>
      <c r="AH418">
        <v>-92.773662000000002</v>
      </c>
      <c r="AI418" t="s">
        <v>3055</v>
      </c>
      <c r="AL418" t="s">
        <v>1715</v>
      </c>
      <c r="AM418" t="s">
        <v>63</v>
      </c>
      <c r="AN418" t="s">
        <v>3056</v>
      </c>
      <c r="AO418">
        <v>193917</v>
      </c>
      <c r="AQ418" t="s">
        <v>3057</v>
      </c>
      <c r="AR418" t="s">
        <v>3058</v>
      </c>
      <c r="AS418" t="s">
        <v>3059</v>
      </c>
      <c r="AT418" t="s">
        <v>68</v>
      </c>
      <c r="AV418" t="s">
        <v>3060</v>
      </c>
      <c r="AW418" t="s">
        <v>3061</v>
      </c>
      <c r="AX418" t="s">
        <v>3062</v>
      </c>
      <c r="BA418" s="14" t="s">
        <v>72</v>
      </c>
      <c r="BB418" s="14" t="s">
        <v>73</v>
      </c>
      <c r="BC418" s="14" t="s">
        <v>1723</v>
      </c>
    </row>
    <row r="419" spans="1:55" ht="15" customHeight="1" x14ac:dyDescent="0.4">
      <c r="A419" s="12">
        <v>3595</v>
      </c>
      <c r="B419" s="21" t="s">
        <v>3063</v>
      </c>
      <c r="C419" s="13" t="s">
        <v>3064</v>
      </c>
      <c r="D419" s="25" t="s">
        <v>3064</v>
      </c>
      <c r="E419" s="13"/>
      <c r="F419" s="41" t="s">
        <v>1878</v>
      </c>
      <c r="G419" s="41"/>
      <c r="H419" s="41"/>
      <c r="I419" s="41"/>
      <c r="J419" s="41"/>
      <c r="K419" s="65" t="str">
        <f>IFERROR(VLOOKUP(D419,Sheet4!A$1:M$56,11,FALSE),"")</f>
        <v/>
      </c>
      <c r="L419" s="65" t="str">
        <f t="shared" si="6"/>
        <v/>
      </c>
      <c r="M419" s="14" t="s">
        <v>1752</v>
      </c>
      <c r="N419" s="15">
        <v>44734</v>
      </c>
      <c r="O419" t="s">
        <v>2719</v>
      </c>
      <c r="P419" t="s">
        <v>51</v>
      </c>
      <c r="Q419" t="s">
        <v>52</v>
      </c>
      <c r="R419" t="s">
        <v>53</v>
      </c>
      <c r="S419" t="s">
        <v>175</v>
      </c>
      <c r="T419" t="s">
        <v>2936</v>
      </c>
      <c r="U419" t="s">
        <v>56</v>
      </c>
      <c r="V419" s="21" t="s">
        <v>2937</v>
      </c>
      <c r="W419" s="21"/>
      <c r="X419" t="s">
        <v>3065</v>
      </c>
      <c r="Y419" t="s">
        <v>3066</v>
      </c>
      <c r="AC419" t="s">
        <v>1759</v>
      </c>
      <c r="AE419" s="15"/>
      <c r="AG419">
        <v>37.977032999999999</v>
      </c>
      <c r="AH419">
        <v>-92.768855000000002</v>
      </c>
      <c r="AI419" t="s">
        <v>3067</v>
      </c>
      <c r="AL419" t="s">
        <v>1715</v>
      </c>
      <c r="AM419" t="s">
        <v>63</v>
      </c>
      <c r="AN419" t="s">
        <v>3068</v>
      </c>
      <c r="AO419">
        <v>192673</v>
      </c>
      <c r="AQ419" t="s">
        <v>3069</v>
      </c>
      <c r="AR419" t="s">
        <v>3070</v>
      </c>
      <c r="AS419" t="s">
        <v>3071</v>
      </c>
      <c r="AT419" t="s">
        <v>68</v>
      </c>
      <c r="AV419" t="s">
        <v>3072</v>
      </c>
      <c r="AW419" t="s">
        <v>3073</v>
      </c>
      <c r="AX419" t="s">
        <v>3074</v>
      </c>
      <c r="BA419" s="14" t="s">
        <v>72</v>
      </c>
      <c r="BB419" s="14" t="s">
        <v>73</v>
      </c>
      <c r="BC419" s="14" t="s">
        <v>1768</v>
      </c>
    </row>
    <row r="420" spans="1:55" ht="15" customHeight="1" x14ac:dyDescent="0.4">
      <c r="A420" s="12">
        <v>3596</v>
      </c>
      <c r="B420" s="21" t="s">
        <v>3075</v>
      </c>
      <c r="C420" s="13" t="s">
        <v>3076</v>
      </c>
      <c r="D420" s="25" t="s">
        <v>3076</v>
      </c>
      <c r="E420" s="13"/>
      <c r="F420" s="41"/>
      <c r="G420" s="41"/>
      <c r="H420" s="41"/>
      <c r="I420" s="41"/>
      <c r="J420" s="41"/>
      <c r="K420" s="65" t="str">
        <f>IFERROR(VLOOKUP(D420,Sheet4!A$1:M$56,11,FALSE),"")</f>
        <v/>
      </c>
      <c r="L420" s="65" t="str">
        <f t="shared" si="6"/>
        <v/>
      </c>
      <c r="M420" s="14" t="s">
        <v>1752</v>
      </c>
      <c r="N420" s="15">
        <v>44734</v>
      </c>
      <c r="O420" t="s">
        <v>2719</v>
      </c>
      <c r="P420" t="s">
        <v>51</v>
      </c>
      <c r="Q420" t="s">
        <v>52</v>
      </c>
      <c r="R420" t="s">
        <v>53</v>
      </c>
      <c r="S420" t="s">
        <v>175</v>
      </c>
      <c r="T420" t="s">
        <v>2936</v>
      </c>
      <c r="U420" t="s">
        <v>56</v>
      </c>
      <c r="V420" s="21" t="s">
        <v>2937</v>
      </c>
      <c r="W420" s="21"/>
      <c r="X420" t="s">
        <v>3077</v>
      </c>
      <c r="Y420" t="s">
        <v>3078</v>
      </c>
      <c r="AB420" t="s">
        <v>2336</v>
      </c>
      <c r="AC420" t="s">
        <v>1759</v>
      </c>
      <c r="AE420" s="15"/>
      <c r="AG420">
        <v>37.977054000000003</v>
      </c>
      <c r="AH420">
        <v>-92.768555000000006</v>
      </c>
      <c r="AI420" t="s">
        <v>3079</v>
      </c>
      <c r="AL420" t="s">
        <v>1715</v>
      </c>
      <c r="AM420" t="s">
        <v>63</v>
      </c>
      <c r="AN420" t="s">
        <v>3080</v>
      </c>
      <c r="AO420">
        <v>193519</v>
      </c>
      <c r="AQ420" t="s">
        <v>3081</v>
      </c>
      <c r="AR420" t="s">
        <v>3082</v>
      </c>
      <c r="AS420" t="s">
        <v>3083</v>
      </c>
      <c r="AT420" t="s">
        <v>68</v>
      </c>
      <c r="AV420" t="s">
        <v>3084</v>
      </c>
      <c r="AW420" t="s">
        <v>3085</v>
      </c>
      <c r="AX420" t="s">
        <v>3086</v>
      </c>
      <c r="BA420" s="14" t="s">
        <v>72</v>
      </c>
      <c r="BB420" s="14" t="s">
        <v>73</v>
      </c>
      <c r="BC420" s="14" t="s">
        <v>1768</v>
      </c>
    </row>
    <row r="421" spans="1:55" ht="15" customHeight="1" x14ac:dyDescent="0.4">
      <c r="A421" s="12">
        <v>3597</v>
      </c>
      <c r="B421" s="21" t="s">
        <v>3087</v>
      </c>
      <c r="C421" s="13" t="s">
        <v>3088</v>
      </c>
      <c r="D421" s="25" t="s">
        <v>3088</v>
      </c>
      <c r="E421" s="13" t="s">
        <v>3089</v>
      </c>
      <c r="F421" s="41"/>
      <c r="G421" s="41"/>
      <c r="H421" s="41"/>
      <c r="I421" s="41"/>
      <c r="J421" s="41" t="s">
        <v>8179</v>
      </c>
      <c r="K421" s="65" t="str">
        <f>IFERROR(VLOOKUP(D421,Sheet4!A$1:M$56,11,FALSE),"")</f>
        <v/>
      </c>
      <c r="L421" s="65" t="str">
        <f t="shared" si="6"/>
        <v>May have genomic admixture with Q. muehlenbergii</v>
      </c>
      <c r="M421" s="14" t="s">
        <v>3090</v>
      </c>
      <c r="N421" s="15">
        <v>44735</v>
      </c>
      <c r="O421" t="s">
        <v>3091</v>
      </c>
      <c r="P421" t="s">
        <v>51</v>
      </c>
      <c r="Q421" t="s">
        <v>52</v>
      </c>
      <c r="R421" t="s">
        <v>53</v>
      </c>
      <c r="S421" t="s">
        <v>175</v>
      </c>
      <c r="T421" t="s">
        <v>3092</v>
      </c>
      <c r="U421" t="s">
        <v>56</v>
      </c>
      <c r="V421" s="21" t="s">
        <v>3093</v>
      </c>
      <c r="W421" s="21"/>
      <c r="X421" t="s">
        <v>3094</v>
      </c>
      <c r="Y421" t="s">
        <v>3095</v>
      </c>
      <c r="AC421" t="s">
        <v>3096</v>
      </c>
      <c r="AE421" s="15"/>
      <c r="AG421">
        <v>37.531755590000003</v>
      </c>
      <c r="AH421">
        <v>-94.574784399999999</v>
      </c>
      <c r="AL421" t="s">
        <v>1715</v>
      </c>
      <c r="AM421" t="s">
        <v>63</v>
      </c>
      <c r="AN421" t="s">
        <v>3097</v>
      </c>
      <c r="AO421">
        <v>194565</v>
      </c>
      <c r="AQ421" t="s">
        <v>3098</v>
      </c>
      <c r="AR421" t="s">
        <v>3099</v>
      </c>
      <c r="AS421" t="s">
        <v>3100</v>
      </c>
      <c r="AT421" t="s">
        <v>68</v>
      </c>
      <c r="AV421" t="s">
        <v>3101</v>
      </c>
      <c r="AW421" t="s">
        <v>3102</v>
      </c>
      <c r="AX421" t="s">
        <v>3103</v>
      </c>
      <c r="BA421" s="14" t="s">
        <v>72</v>
      </c>
      <c r="BB421" s="14" t="s">
        <v>73</v>
      </c>
      <c r="BC421" s="14" t="s">
        <v>74</v>
      </c>
    </row>
    <row r="422" spans="1:55" ht="15" customHeight="1" x14ac:dyDescent="0.4">
      <c r="A422" s="12">
        <v>3598</v>
      </c>
      <c r="B422" s="21" t="s">
        <v>3104</v>
      </c>
      <c r="C422" s="13" t="s">
        <v>3105</v>
      </c>
      <c r="D422" s="25" t="s">
        <v>3105</v>
      </c>
      <c r="E422" s="13" t="s">
        <v>3106</v>
      </c>
      <c r="F422" s="41"/>
      <c r="G422" s="41"/>
      <c r="H422" s="41"/>
      <c r="I422" s="41"/>
      <c r="J422" s="41" t="s">
        <v>8179</v>
      </c>
      <c r="K422" s="65" t="str">
        <f>IFERROR(VLOOKUP(D422,Sheet4!A$1:M$56,11,FALSE),"")</f>
        <v/>
      </c>
      <c r="L422" s="65" t="str">
        <f t="shared" si="6"/>
        <v>May have genomic admixture with Q. muehlenbergii</v>
      </c>
      <c r="M422" s="14" t="s">
        <v>3090</v>
      </c>
      <c r="N422" s="15">
        <v>44735</v>
      </c>
      <c r="O422" t="s">
        <v>3091</v>
      </c>
      <c r="P422" t="s">
        <v>51</v>
      </c>
      <c r="Q422" t="s">
        <v>52</v>
      </c>
      <c r="R422" t="s">
        <v>53</v>
      </c>
      <c r="S422" t="s">
        <v>175</v>
      </c>
      <c r="T422" t="s">
        <v>3092</v>
      </c>
      <c r="U422" t="s">
        <v>56</v>
      </c>
      <c r="V422" s="21" t="s">
        <v>3093</v>
      </c>
      <c r="W422" s="21"/>
      <c r="X422" t="s">
        <v>3107</v>
      </c>
      <c r="Y422" t="s">
        <v>3108</v>
      </c>
      <c r="AB422" t="s">
        <v>1758</v>
      </c>
      <c r="AC422" t="s">
        <v>3096</v>
      </c>
      <c r="AE422" s="15"/>
      <c r="AG422">
        <v>37.532182849999998</v>
      </c>
      <c r="AH422">
        <v>-94.575126560000001</v>
      </c>
      <c r="AL422" t="s">
        <v>1715</v>
      </c>
      <c r="AM422" t="s">
        <v>63</v>
      </c>
      <c r="AN422" t="s">
        <v>3109</v>
      </c>
      <c r="AO422">
        <v>194562</v>
      </c>
      <c r="AQ422" t="s">
        <v>3110</v>
      </c>
      <c r="AR422" t="s">
        <v>3111</v>
      </c>
      <c r="AS422" t="s">
        <v>3112</v>
      </c>
      <c r="AT422" t="s">
        <v>68</v>
      </c>
      <c r="AV422" t="s">
        <v>3113</v>
      </c>
      <c r="AW422" t="s">
        <v>3114</v>
      </c>
      <c r="AX422" t="s">
        <v>3115</v>
      </c>
      <c r="BA422" s="14" t="s">
        <v>72</v>
      </c>
      <c r="BB422" s="14" t="s">
        <v>73</v>
      </c>
      <c r="BC422" s="14" t="s">
        <v>74</v>
      </c>
    </row>
    <row r="423" spans="1:55" ht="15" customHeight="1" x14ac:dyDescent="0.4">
      <c r="A423" s="12">
        <v>3599</v>
      </c>
      <c r="B423" s="21" t="s">
        <v>3116</v>
      </c>
      <c r="C423" s="13" t="s">
        <v>3117</v>
      </c>
      <c r="D423" s="25" t="s">
        <v>3117</v>
      </c>
      <c r="E423" s="13" t="s">
        <v>3118</v>
      </c>
      <c r="F423" s="41"/>
      <c r="G423" s="41"/>
      <c r="H423" s="41"/>
      <c r="I423" s="41"/>
      <c r="J423" s="41"/>
      <c r="K423" s="65" t="str">
        <f>IFERROR(VLOOKUP(D423,Sheet4!A$1:M$56,11,FALSE),"")</f>
        <v/>
      </c>
      <c r="L423" s="65" t="str">
        <f t="shared" si="6"/>
        <v/>
      </c>
      <c r="M423" s="14" t="s">
        <v>1752</v>
      </c>
      <c r="N423" s="15">
        <v>44735</v>
      </c>
      <c r="O423" t="s">
        <v>3091</v>
      </c>
      <c r="P423" t="s">
        <v>51</v>
      </c>
      <c r="Q423" t="s">
        <v>52</v>
      </c>
      <c r="R423" t="s">
        <v>53</v>
      </c>
      <c r="S423" t="s">
        <v>175</v>
      </c>
      <c r="T423" t="s">
        <v>3092</v>
      </c>
      <c r="U423" t="s">
        <v>56</v>
      </c>
      <c r="V423" s="21" t="s">
        <v>3093</v>
      </c>
      <c r="W423" s="21"/>
      <c r="X423" t="s">
        <v>3107</v>
      </c>
      <c r="Y423" t="s">
        <v>3119</v>
      </c>
      <c r="AB423" t="s">
        <v>1758</v>
      </c>
      <c r="AC423" t="s">
        <v>1759</v>
      </c>
      <c r="AE423" s="15"/>
      <c r="AG423">
        <v>37.532246839999999</v>
      </c>
      <c r="AH423">
        <v>-94.574924379999999</v>
      </c>
      <c r="AL423" t="s">
        <v>1715</v>
      </c>
      <c r="AM423" t="s">
        <v>63</v>
      </c>
      <c r="AN423" t="s">
        <v>3120</v>
      </c>
      <c r="AO423">
        <v>192797</v>
      </c>
      <c r="AQ423" t="s">
        <v>3121</v>
      </c>
      <c r="AR423" t="s">
        <v>3122</v>
      </c>
      <c r="AS423" s="23" t="s">
        <v>3123</v>
      </c>
      <c r="AT423" t="s">
        <v>68</v>
      </c>
      <c r="AU423" t="s">
        <v>3124</v>
      </c>
      <c r="AV423" t="s">
        <v>3125</v>
      </c>
      <c r="AW423" t="s">
        <v>3126</v>
      </c>
      <c r="AX423" t="s">
        <v>3127</v>
      </c>
      <c r="AY423" s="31" t="s">
        <v>3128</v>
      </c>
      <c r="BA423" s="14" t="s">
        <v>72</v>
      </c>
      <c r="BB423" s="14" t="s">
        <v>73</v>
      </c>
      <c r="BC423" s="14" t="s">
        <v>1768</v>
      </c>
    </row>
    <row r="424" spans="1:55" ht="15" customHeight="1" x14ac:dyDescent="0.4">
      <c r="A424" s="12">
        <v>3600</v>
      </c>
      <c r="B424" s="21" t="s">
        <v>3129</v>
      </c>
      <c r="C424" s="13" t="s">
        <v>3130</v>
      </c>
      <c r="D424" s="25" t="s">
        <v>3130</v>
      </c>
      <c r="E424" s="13" t="s">
        <v>3131</v>
      </c>
      <c r="F424" s="41"/>
      <c r="G424" s="41"/>
      <c r="H424" s="41"/>
      <c r="I424" s="41"/>
      <c r="J424" s="41" t="s">
        <v>8179</v>
      </c>
      <c r="K424" s="65" t="str">
        <f>IFERROR(VLOOKUP(D424,Sheet4!A$1:M$56,11,FALSE),"")</f>
        <v/>
      </c>
      <c r="L424" s="65" t="str">
        <f t="shared" si="6"/>
        <v>May have genomic admixture with Q. muehlenbergii</v>
      </c>
      <c r="M424" s="14" t="s">
        <v>3090</v>
      </c>
      <c r="N424" s="15">
        <v>44735</v>
      </c>
      <c r="O424" t="s">
        <v>3091</v>
      </c>
      <c r="P424" t="s">
        <v>51</v>
      </c>
      <c r="Q424" t="s">
        <v>52</v>
      </c>
      <c r="R424" t="s">
        <v>53</v>
      </c>
      <c r="S424" t="s">
        <v>175</v>
      </c>
      <c r="T424" t="s">
        <v>3092</v>
      </c>
      <c r="U424" t="s">
        <v>56</v>
      </c>
      <c r="V424" s="21" t="s">
        <v>3093</v>
      </c>
      <c r="W424" s="21"/>
      <c r="X424" t="s">
        <v>3132</v>
      </c>
      <c r="Y424" t="s">
        <v>3133</v>
      </c>
      <c r="AC424" t="s">
        <v>3096</v>
      </c>
      <c r="AE424" s="15"/>
      <c r="AG424">
        <v>37.532592510000001</v>
      </c>
      <c r="AH424">
        <v>-94.574694890000004</v>
      </c>
      <c r="AL424" t="s">
        <v>1715</v>
      </c>
      <c r="AM424" t="s">
        <v>63</v>
      </c>
      <c r="AN424" t="s">
        <v>3134</v>
      </c>
      <c r="AO424">
        <v>194561</v>
      </c>
      <c r="AQ424" t="s">
        <v>3135</v>
      </c>
      <c r="AR424" t="s">
        <v>3136</v>
      </c>
      <c r="AS424" t="s">
        <v>3137</v>
      </c>
      <c r="AT424" t="s">
        <v>68</v>
      </c>
      <c r="AV424" t="s">
        <v>3138</v>
      </c>
      <c r="AW424" t="s">
        <v>3139</v>
      </c>
      <c r="AX424" t="s">
        <v>3140</v>
      </c>
      <c r="BA424" s="14" t="s">
        <v>72</v>
      </c>
      <c r="BB424" s="14" t="s">
        <v>73</v>
      </c>
      <c r="BC424" s="14" t="s">
        <v>74</v>
      </c>
    </row>
    <row r="425" spans="1:55" ht="15" customHeight="1" x14ac:dyDescent="0.4">
      <c r="A425" s="12">
        <v>3601</v>
      </c>
      <c r="B425" s="21" t="s">
        <v>3141</v>
      </c>
      <c r="C425" s="13" t="s">
        <v>3142</v>
      </c>
      <c r="D425" s="25" t="s">
        <v>3142</v>
      </c>
      <c r="E425" s="13" t="s">
        <v>3143</v>
      </c>
      <c r="F425" s="41"/>
      <c r="G425" s="41"/>
      <c r="H425" s="41"/>
      <c r="I425" s="41"/>
      <c r="J425" s="41"/>
      <c r="K425" s="65" t="str">
        <f>IFERROR(VLOOKUP(D425,Sheet4!A$1:M$56,11,FALSE),"")</f>
        <v/>
      </c>
      <c r="L425" s="65" t="str">
        <f t="shared" si="6"/>
        <v/>
      </c>
      <c r="M425" s="14" t="s">
        <v>1752</v>
      </c>
      <c r="N425" s="15">
        <v>44735</v>
      </c>
      <c r="O425" t="s">
        <v>3091</v>
      </c>
      <c r="P425" t="s">
        <v>51</v>
      </c>
      <c r="Q425" t="s">
        <v>52</v>
      </c>
      <c r="R425" t="s">
        <v>53</v>
      </c>
      <c r="S425" t="s">
        <v>175</v>
      </c>
      <c r="T425" t="s">
        <v>3092</v>
      </c>
      <c r="U425" t="s">
        <v>56</v>
      </c>
      <c r="V425" s="21" t="s">
        <v>3093</v>
      </c>
      <c r="W425" s="21"/>
      <c r="X425" t="s">
        <v>3132</v>
      </c>
      <c r="Y425" t="s">
        <v>3133</v>
      </c>
      <c r="AC425" t="s">
        <v>1759</v>
      </c>
      <c r="AE425" s="15"/>
      <c r="AG425">
        <v>37.532756900000003</v>
      </c>
      <c r="AH425">
        <v>-94.574669240000006</v>
      </c>
      <c r="AL425" t="s">
        <v>1715</v>
      </c>
      <c r="AM425" t="s">
        <v>63</v>
      </c>
      <c r="AN425" t="s">
        <v>3144</v>
      </c>
      <c r="AO425">
        <v>192798</v>
      </c>
      <c r="AQ425" t="s">
        <v>3145</v>
      </c>
      <c r="AR425" t="s">
        <v>3146</v>
      </c>
      <c r="AS425" t="s">
        <v>3147</v>
      </c>
      <c r="AT425" t="s">
        <v>68</v>
      </c>
      <c r="AV425" t="s">
        <v>3148</v>
      </c>
      <c r="AW425" t="s">
        <v>3149</v>
      </c>
      <c r="AX425" t="s">
        <v>3150</v>
      </c>
      <c r="BA425" s="14" t="s">
        <v>72</v>
      </c>
      <c r="BB425" s="14" t="s">
        <v>73</v>
      </c>
      <c r="BC425" s="14" t="s">
        <v>1768</v>
      </c>
    </row>
    <row r="426" spans="1:55" ht="15" customHeight="1" x14ac:dyDescent="0.4">
      <c r="A426" s="12">
        <v>3602</v>
      </c>
      <c r="B426" s="21" t="s">
        <v>3151</v>
      </c>
      <c r="C426" s="13" t="s">
        <v>3152</v>
      </c>
      <c r="D426" s="25" t="s">
        <v>3152</v>
      </c>
      <c r="E426" s="13" t="s">
        <v>3153</v>
      </c>
      <c r="F426" s="41"/>
      <c r="G426" s="41"/>
      <c r="H426" s="41"/>
      <c r="I426" s="41"/>
      <c r="K426" s="65" t="str">
        <f>IFERROR(VLOOKUP(D426,Sheet4!A$1:M$56,11,FALSE),"")</f>
        <v/>
      </c>
      <c r="L426" s="65" t="str">
        <f t="shared" si="6"/>
        <v/>
      </c>
      <c r="M426" s="14" t="s">
        <v>3090</v>
      </c>
      <c r="N426" s="15">
        <v>44735</v>
      </c>
      <c r="O426" t="s">
        <v>3091</v>
      </c>
      <c r="P426" t="s">
        <v>51</v>
      </c>
      <c r="Q426" t="s">
        <v>52</v>
      </c>
      <c r="R426" t="s">
        <v>53</v>
      </c>
      <c r="S426" t="s">
        <v>175</v>
      </c>
      <c r="T426" t="s">
        <v>3092</v>
      </c>
      <c r="U426" t="s">
        <v>56</v>
      </c>
      <c r="V426" s="21" t="s">
        <v>3093</v>
      </c>
      <c r="W426" s="21"/>
      <c r="X426" t="s">
        <v>3107</v>
      </c>
      <c r="Y426" t="s">
        <v>3154</v>
      </c>
      <c r="AB426" t="s">
        <v>1758</v>
      </c>
      <c r="AC426" t="s">
        <v>3096</v>
      </c>
      <c r="AE426" s="15"/>
      <c r="AG426">
        <v>37.535027499999998</v>
      </c>
      <c r="AH426">
        <v>-94.579779189999996</v>
      </c>
      <c r="AL426" t="s">
        <v>1715</v>
      </c>
      <c r="AM426" t="s">
        <v>63</v>
      </c>
      <c r="AN426" t="s">
        <v>3155</v>
      </c>
      <c r="AO426">
        <v>194560</v>
      </c>
      <c r="AQ426" t="s">
        <v>3156</v>
      </c>
      <c r="AR426" t="s">
        <v>3157</v>
      </c>
      <c r="AS426" t="s">
        <v>3158</v>
      </c>
      <c r="AT426" t="s">
        <v>68</v>
      </c>
      <c r="AV426" t="s">
        <v>3159</v>
      </c>
      <c r="AW426" t="s">
        <v>3160</v>
      </c>
      <c r="AX426" t="s">
        <v>3161</v>
      </c>
      <c r="BA426" s="14" t="s">
        <v>72</v>
      </c>
      <c r="BB426" s="14" t="s">
        <v>73</v>
      </c>
      <c r="BC426" s="14" t="s">
        <v>74</v>
      </c>
    </row>
    <row r="427" spans="1:55" ht="15" customHeight="1" x14ac:dyDescent="0.4">
      <c r="A427" s="12">
        <v>3290</v>
      </c>
      <c r="B427" s="21" t="s">
        <v>1750</v>
      </c>
      <c r="C427" s="13" t="s">
        <v>1751</v>
      </c>
      <c r="D427" s="25" t="s">
        <v>1751</v>
      </c>
      <c r="E427" s="13"/>
      <c r="F427" s="41"/>
      <c r="G427" s="41"/>
      <c r="H427" s="41"/>
      <c r="I427" s="41"/>
      <c r="J427" s="41"/>
      <c r="K427" s="65" t="str">
        <f>IFERROR(VLOOKUP(D427,Sheet4!A$1:M$56,11,FALSE),"")</f>
        <v/>
      </c>
      <c r="L427" s="65" t="str">
        <f t="shared" si="6"/>
        <v/>
      </c>
      <c r="M427" s="14" t="s">
        <v>1752</v>
      </c>
      <c r="N427" s="15">
        <v>44713</v>
      </c>
      <c r="O427" s="15" t="s">
        <v>1753</v>
      </c>
      <c r="P427" t="s">
        <v>1705</v>
      </c>
      <c r="Q427" t="s">
        <v>1706</v>
      </c>
      <c r="R427" t="s">
        <v>53</v>
      </c>
      <c r="S427" t="s">
        <v>175</v>
      </c>
      <c r="T427" t="s">
        <v>1754</v>
      </c>
      <c r="U427" s="21" t="s">
        <v>56</v>
      </c>
      <c r="V427" t="s">
        <v>1755</v>
      </c>
      <c r="W427" s="21"/>
      <c r="X427" t="s">
        <v>1756</v>
      </c>
      <c r="Y427" t="s">
        <v>1757</v>
      </c>
      <c r="AB427" t="s">
        <v>1758</v>
      </c>
      <c r="AC427" t="s">
        <v>1759</v>
      </c>
      <c r="AE427" s="15"/>
      <c r="AG427">
        <v>38.467143</v>
      </c>
      <c r="AH427">
        <v>-90.820221000000004</v>
      </c>
      <c r="AI427" t="s">
        <v>1760</v>
      </c>
      <c r="AL427" t="s">
        <v>1715</v>
      </c>
      <c r="AM427" t="s">
        <v>63</v>
      </c>
      <c r="AN427" t="s">
        <v>1761</v>
      </c>
      <c r="AO427">
        <v>192567</v>
      </c>
      <c r="AQ427" t="s">
        <v>1762</v>
      </c>
      <c r="AR427" t="s">
        <v>1763</v>
      </c>
      <c r="AS427" t="s">
        <v>1764</v>
      </c>
      <c r="AT427" t="s">
        <v>68</v>
      </c>
      <c r="AV427" t="s">
        <v>1765</v>
      </c>
      <c r="AW427" t="s">
        <v>1766</v>
      </c>
      <c r="AX427" t="s">
        <v>1767</v>
      </c>
      <c r="BA427" s="14" t="s">
        <v>72</v>
      </c>
      <c r="BB427" s="14" t="s">
        <v>73</v>
      </c>
      <c r="BC427" s="14" t="s">
        <v>1768</v>
      </c>
    </row>
    <row r="428" spans="1:55" ht="15" customHeight="1" x14ac:dyDescent="0.4">
      <c r="A428" s="12">
        <v>3291</v>
      </c>
      <c r="B428" s="21" t="s">
        <v>1769</v>
      </c>
      <c r="C428" s="13" t="s">
        <v>1770</v>
      </c>
      <c r="D428" s="25" t="s">
        <v>1770</v>
      </c>
      <c r="E428" s="13"/>
      <c r="F428" s="41"/>
      <c r="G428" s="41"/>
      <c r="H428" s="41"/>
      <c r="I428" s="41"/>
      <c r="J428" s="41"/>
      <c r="K428" s="65" t="str">
        <f>IFERROR(VLOOKUP(D428,Sheet4!A$1:M$56,11,FALSE),"")</f>
        <v/>
      </c>
      <c r="L428" s="65" t="str">
        <f t="shared" si="6"/>
        <v/>
      </c>
      <c r="M428" s="14" t="s">
        <v>49</v>
      </c>
      <c r="N428" s="15">
        <v>44713</v>
      </c>
      <c r="O428" s="15" t="s">
        <v>1753</v>
      </c>
      <c r="P428" t="s">
        <v>1705</v>
      </c>
      <c r="Q428" t="s">
        <v>1706</v>
      </c>
      <c r="R428" t="s">
        <v>53</v>
      </c>
      <c r="S428" t="s">
        <v>175</v>
      </c>
      <c r="T428" t="s">
        <v>1754</v>
      </c>
      <c r="U428" s="21" t="s">
        <v>56</v>
      </c>
      <c r="V428" t="s">
        <v>1755</v>
      </c>
      <c r="W428" s="21"/>
      <c r="X428" t="s">
        <v>1771</v>
      </c>
      <c r="Y428" t="s">
        <v>1772</v>
      </c>
      <c r="AB428" t="s">
        <v>1758</v>
      </c>
      <c r="AC428" t="s">
        <v>60</v>
      </c>
      <c r="AE428" s="15"/>
      <c r="AG428">
        <v>38.461995999999999</v>
      </c>
      <c r="AH428">
        <v>-90.814959000000002</v>
      </c>
      <c r="AI428" t="s">
        <v>1773</v>
      </c>
      <c r="AL428" t="s">
        <v>1715</v>
      </c>
      <c r="AM428" t="s">
        <v>63</v>
      </c>
      <c r="AN428" t="s">
        <v>1774</v>
      </c>
      <c r="AO428">
        <v>192794</v>
      </c>
      <c r="AQ428" t="s">
        <v>1775</v>
      </c>
      <c r="AR428" t="s">
        <v>1776</v>
      </c>
      <c r="AS428" t="s">
        <v>1777</v>
      </c>
      <c r="AT428" t="s">
        <v>68</v>
      </c>
      <c r="AV428" t="s">
        <v>1778</v>
      </c>
      <c r="AW428" t="s">
        <v>1779</v>
      </c>
      <c r="AX428" t="s">
        <v>1780</v>
      </c>
      <c r="BA428" s="14" t="s">
        <v>72</v>
      </c>
      <c r="BB428" s="14" t="s">
        <v>73</v>
      </c>
      <c r="BC428" s="14" t="s">
        <v>74</v>
      </c>
    </row>
    <row r="429" spans="1:55" ht="15" customHeight="1" x14ac:dyDescent="0.4">
      <c r="A429" s="12">
        <v>3292</v>
      </c>
      <c r="B429" s="21" t="s">
        <v>1781</v>
      </c>
      <c r="C429" s="13" t="s">
        <v>1782</v>
      </c>
      <c r="D429" s="25" t="s">
        <v>1782</v>
      </c>
      <c r="E429" s="13"/>
      <c r="F429" s="41"/>
      <c r="G429" s="41"/>
      <c r="H429" s="41"/>
      <c r="I429" s="41"/>
      <c r="J429" s="41"/>
      <c r="K429" s="65" t="str">
        <f>IFERROR(VLOOKUP(D429,Sheet4!A$1:M$56,11,FALSE),"")</f>
        <v/>
      </c>
      <c r="L429" s="65" t="str">
        <f t="shared" si="6"/>
        <v/>
      </c>
      <c r="M429" s="14" t="s">
        <v>49</v>
      </c>
      <c r="N429" s="15">
        <v>44713</v>
      </c>
      <c r="O429" s="15" t="s">
        <v>1753</v>
      </c>
      <c r="P429" t="s">
        <v>1705</v>
      </c>
      <c r="Q429" t="s">
        <v>1706</v>
      </c>
      <c r="R429" t="s">
        <v>53</v>
      </c>
      <c r="S429" t="s">
        <v>175</v>
      </c>
      <c r="T429" t="s">
        <v>1754</v>
      </c>
      <c r="U429" s="21" t="s">
        <v>56</v>
      </c>
      <c r="V429" t="s">
        <v>1755</v>
      </c>
      <c r="W429" s="21"/>
      <c r="X429" t="s">
        <v>1783</v>
      </c>
      <c r="Y429" t="s">
        <v>1784</v>
      </c>
      <c r="AC429" t="s">
        <v>60</v>
      </c>
      <c r="AE429" s="15"/>
      <c r="AG429">
        <v>38.461908999999999</v>
      </c>
      <c r="AH429">
        <v>-90.814651999999995</v>
      </c>
      <c r="AI429" t="s">
        <v>1773</v>
      </c>
      <c r="AL429" t="s">
        <v>1715</v>
      </c>
      <c r="AM429" t="s">
        <v>63</v>
      </c>
      <c r="AN429" t="s">
        <v>1785</v>
      </c>
      <c r="AO429">
        <v>192793</v>
      </c>
      <c r="AQ429" t="s">
        <v>1786</v>
      </c>
      <c r="AR429" t="s">
        <v>1787</v>
      </c>
      <c r="AS429" t="s">
        <v>1788</v>
      </c>
      <c r="AT429" t="s">
        <v>68</v>
      </c>
      <c r="AV429" t="s">
        <v>1789</v>
      </c>
      <c r="AW429" t="s">
        <v>1790</v>
      </c>
      <c r="AX429" t="s">
        <v>1791</v>
      </c>
      <c r="BA429" s="14" t="s">
        <v>72</v>
      </c>
      <c r="BB429" s="14" t="s">
        <v>73</v>
      </c>
      <c r="BC429" s="14" t="s">
        <v>74</v>
      </c>
    </row>
    <row r="430" spans="1:55" ht="15" customHeight="1" x14ac:dyDescent="0.4">
      <c r="A430" s="12">
        <v>3293</v>
      </c>
      <c r="B430" s="21" t="s">
        <v>1792</v>
      </c>
      <c r="C430" s="13" t="s">
        <v>1793</v>
      </c>
      <c r="D430" s="25" t="s">
        <v>1793</v>
      </c>
      <c r="E430" s="13"/>
      <c r="F430" s="41"/>
      <c r="G430" s="41"/>
      <c r="H430" s="41"/>
      <c r="I430" s="41"/>
      <c r="J430" s="41"/>
      <c r="K430" s="65" t="str">
        <f>IFERROR(VLOOKUP(D430,Sheet4!A$1:M$56,11,FALSE),"")</f>
        <v/>
      </c>
      <c r="L430" s="65" t="str">
        <f t="shared" si="6"/>
        <v/>
      </c>
      <c r="M430" s="14" t="s">
        <v>49</v>
      </c>
      <c r="N430" s="15">
        <v>44713</v>
      </c>
      <c r="O430" s="15" t="s">
        <v>1753</v>
      </c>
      <c r="P430" t="s">
        <v>1705</v>
      </c>
      <c r="Q430" t="s">
        <v>1706</v>
      </c>
      <c r="R430" t="s">
        <v>53</v>
      </c>
      <c r="S430" t="s">
        <v>175</v>
      </c>
      <c r="T430" t="s">
        <v>1754</v>
      </c>
      <c r="U430" s="21" t="s">
        <v>56</v>
      </c>
      <c r="V430" t="s">
        <v>1755</v>
      </c>
      <c r="W430" s="21"/>
      <c r="X430" t="s">
        <v>1794</v>
      </c>
      <c r="Y430" t="s">
        <v>1795</v>
      </c>
      <c r="AC430" t="s">
        <v>60</v>
      </c>
      <c r="AE430" s="15"/>
      <c r="AG430">
        <v>38.461961000000002</v>
      </c>
      <c r="AH430">
        <v>-90.814369999999997</v>
      </c>
      <c r="AI430" t="s">
        <v>1773</v>
      </c>
      <c r="AL430" t="s">
        <v>1715</v>
      </c>
      <c r="AM430" t="s">
        <v>63</v>
      </c>
      <c r="AN430" t="s">
        <v>1796</v>
      </c>
      <c r="AO430">
        <v>192569</v>
      </c>
      <c r="AQ430" t="s">
        <v>1797</v>
      </c>
      <c r="AR430" t="s">
        <v>1798</v>
      </c>
      <c r="AS430" t="s">
        <v>1799</v>
      </c>
      <c r="AT430" t="s">
        <v>68</v>
      </c>
      <c r="AV430" t="s">
        <v>1800</v>
      </c>
      <c r="AW430" t="s">
        <v>1801</v>
      </c>
      <c r="AX430" t="s">
        <v>1802</v>
      </c>
      <c r="BA430" s="14" t="s">
        <v>72</v>
      </c>
      <c r="BB430" s="14" t="s">
        <v>73</v>
      </c>
      <c r="BC430" s="14" t="s">
        <v>74</v>
      </c>
    </row>
    <row r="431" spans="1:55" ht="15" customHeight="1" x14ac:dyDescent="0.4">
      <c r="A431" s="12">
        <v>3294</v>
      </c>
      <c r="B431" s="21" t="s">
        <v>1803</v>
      </c>
      <c r="C431" s="13" t="s">
        <v>1804</v>
      </c>
      <c r="D431" s="25" t="s">
        <v>1804</v>
      </c>
      <c r="E431" s="13"/>
      <c r="F431" s="41"/>
      <c r="G431" s="41"/>
      <c r="H431" s="41"/>
      <c r="I431" s="41"/>
      <c r="J431" s="41"/>
      <c r="K431" s="65" t="str">
        <f>IFERROR(VLOOKUP(D431,Sheet4!A$1:M$56,11,FALSE),"")</f>
        <v/>
      </c>
      <c r="L431" s="65" t="str">
        <f t="shared" si="6"/>
        <v/>
      </c>
      <c r="M431" s="14" t="s">
        <v>49</v>
      </c>
      <c r="N431" s="15">
        <v>44713</v>
      </c>
      <c r="O431" s="15" t="s">
        <v>1753</v>
      </c>
      <c r="P431" t="s">
        <v>1705</v>
      </c>
      <c r="Q431" t="s">
        <v>1706</v>
      </c>
      <c r="R431" t="s">
        <v>53</v>
      </c>
      <c r="S431" t="s">
        <v>175</v>
      </c>
      <c r="T431" t="s">
        <v>1754</v>
      </c>
      <c r="U431" s="21" t="s">
        <v>56</v>
      </c>
      <c r="V431" t="s">
        <v>1755</v>
      </c>
      <c r="W431" s="21"/>
      <c r="X431" t="s">
        <v>1805</v>
      </c>
      <c r="Y431" t="s">
        <v>1806</v>
      </c>
      <c r="AC431" t="s">
        <v>60</v>
      </c>
      <c r="AE431" s="15"/>
      <c r="AG431">
        <v>38.462113000000002</v>
      </c>
      <c r="AH431">
        <v>-90.814155</v>
      </c>
      <c r="AI431" t="s">
        <v>1807</v>
      </c>
      <c r="AL431" t="s">
        <v>1715</v>
      </c>
      <c r="AM431" t="s">
        <v>63</v>
      </c>
      <c r="AN431" t="s">
        <v>1808</v>
      </c>
      <c r="AO431">
        <v>192570</v>
      </c>
      <c r="AQ431" t="s">
        <v>1809</v>
      </c>
      <c r="AR431" t="s">
        <v>1810</v>
      </c>
      <c r="AS431" t="s">
        <v>1811</v>
      </c>
      <c r="AT431" t="s">
        <v>68</v>
      </c>
      <c r="AV431" t="s">
        <v>1812</v>
      </c>
      <c r="AW431" t="s">
        <v>1813</v>
      </c>
      <c r="AX431" t="s">
        <v>1814</v>
      </c>
      <c r="BA431" s="14" t="s">
        <v>72</v>
      </c>
      <c r="BB431" s="14" t="s">
        <v>73</v>
      </c>
      <c r="BC431" s="14" t="s">
        <v>74</v>
      </c>
    </row>
    <row r="432" spans="1:55" ht="15" customHeight="1" x14ac:dyDescent="0.4">
      <c r="A432" s="12">
        <v>3295</v>
      </c>
      <c r="B432" s="21" t="s">
        <v>1815</v>
      </c>
      <c r="C432" s="13" t="s">
        <v>1816</v>
      </c>
      <c r="D432" s="25" t="s">
        <v>1816</v>
      </c>
      <c r="E432" s="13"/>
      <c r="F432" s="41"/>
      <c r="G432" s="41"/>
      <c r="H432" s="41"/>
      <c r="I432" s="41"/>
      <c r="J432" s="41"/>
      <c r="K432" s="65" t="str">
        <f>IFERROR(VLOOKUP(D432,Sheet4!A$1:M$56,11,FALSE),"")</f>
        <v/>
      </c>
      <c r="L432" s="65" t="str">
        <f t="shared" si="6"/>
        <v/>
      </c>
      <c r="M432" s="14" t="s">
        <v>49</v>
      </c>
      <c r="N432" s="15">
        <v>44713</v>
      </c>
      <c r="O432" s="15" t="s">
        <v>1753</v>
      </c>
      <c r="P432" t="s">
        <v>1705</v>
      </c>
      <c r="Q432" t="s">
        <v>1706</v>
      </c>
      <c r="R432" t="s">
        <v>53</v>
      </c>
      <c r="S432" t="s">
        <v>175</v>
      </c>
      <c r="T432" t="s">
        <v>1754</v>
      </c>
      <c r="U432" s="21" t="s">
        <v>56</v>
      </c>
      <c r="V432" t="s">
        <v>1755</v>
      </c>
      <c r="W432" s="21"/>
      <c r="X432" t="s">
        <v>1817</v>
      </c>
      <c r="Y432" t="s">
        <v>1818</v>
      </c>
      <c r="AC432" t="s">
        <v>60</v>
      </c>
      <c r="AE432" s="15"/>
      <c r="AG432">
        <v>38.462273000000003</v>
      </c>
      <c r="AH432">
        <v>-90.813528000000005</v>
      </c>
      <c r="AI432" t="s">
        <v>1819</v>
      </c>
      <c r="AL432" t="s">
        <v>1715</v>
      </c>
      <c r="AM432" t="s">
        <v>63</v>
      </c>
      <c r="AN432" t="s">
        <v>1820</v>
      </c>
      <c r="AO432">
        <v>192549</v>
      </c>
      <c r="AQ432" t="s">
        <v>1821</v>
      </c>
      <c r="AR432" t="s">
        <v>1822</v>
      </c>
      <c r="AS432" t="s">
        <v>1823</v>
      </c>
      <c r="AT432" t="s">
        <v>68</v>
      </c>
      <c r="AV432" t="s">
        <v>1824</v>
      </c>
      <c r="AW432" t="s">
        <v>1825</v>
      </c>
      <c r="AX432" t="s">
        <v>1826</v>
      </c>
      <c r="BA432" s="14" t="s">
        <v>72</v>
      </c>
      <c r="BB432" s="14" t="s">
        <v>73</v>
      </c>
      <c r="BC432" s="14" t="s">
        <v>74</v>
      </c>
    </row>
    <row r="433" spans="1:55" ht="15" customHeight="1" x14ac:dyDescent="0.4">
      <c r="A433" s="12">
        <v>3296</v>
      </c>
      <c r="B433" s="21" t="s">
        <v>1827</v>
      </c>
      <c r="C433" s="13" t="s">
        <v>1828</v>
      </c>
      <c r="D433" s="25" t="s">
        <v>1828</v>
      </c>
      <c r="E433" s="13"/>
      <c r="F433" s="41"/>
      <c r="G433" s="41"/>
      <c r="H433" s="41"/>
      <c r="I433" s="41"/>
      <c r="J433" s="41"/>
      <c r="K433" s="65" t="str">
        <f>IFERROR(VLOOKUP(D433,Sheet4!A$1:M$56,11,FALSE),"")</f>
        <v/>
      </c>
      <c r="L433" s="65" t="str">
        <f t="shared" si="6"/>
        <v/>
      </c>
      <c r="M433" s="14" t="s">
        <v>1829</v>
      </c>
      <c r="N433" s="15">
        <v>44713</v>
      </c>
      <c r="O433" s="15" t="s">
        <v>1753</v>
      </c>
      <c r="P433" t="s">
        <v>1705</v>
      </c>
      <c r="Q433" t="s">
        <v>1706</v>
      </c>
      <c r="R433" t="s">
        <v>53</v>
      </c>
      <c r="S433" t="s">
        <v>175</v>
      </c>
      <c r="T433" t="s">
        <v>1754</v>
      </c>
      <c r="U433" s="21" t="s">
        <v>56</v>
      </c>
      <c r="V433" t="s">
        <v>1755</v>
      </c>
      <c r="W433" s="21"/>
      <c r="X433" t="s">
        <v>1830</v>
      </c>
      <c r="Y433" t="s">
        <v>1831</v>
      </c>
      <c r="AC433" t="s">
        <v>1832</v>
      </c>
      <c r="AE433" s="15"/>
      <c r="AG433">
        <v>38.461575000000003</v>
      </c>
      <c r="AH433">
        <v>-90.818702999999999</v>
      </c>
      <c r="AI433" t="s">
        <v>1833</v>
      </c>
      <c r="AL433" t="s">
        <v>1715</v>
      </c>
      <c r="AM433" t="s">
        <v>63</v>
      </c>
      <c r="AN433" t="s">
        <v>1834</v>
      </c>
      <c r="AO433">
        <v>192796</v>
      </c>
      <c r="AQ433" t="s">
        <v>1835</v>
      </c>
      <c r="AR433" t="s">
        <v>1836</v>
      </c>
      <c r="AS433" t="s">
        <v>1837</v>
      </c>
      <c r="AT433" t="s">
        <v>68</v>
      </c>
      <c r="AV433" t="s">
        <v>1838</v>
      </c>
      <c r="AW433" t="s">
        <v>1839</v>
      </c>
      <c r="AX433" t="s">
        <v>1840</v>
      </c>
      <c r="BA433" s="14" t="s">
        <v>72</v>
      </c>
      <c r="BB433" s="14" t="s">
        <v>73</v>
      </c>
      <c r="BC433" s="14" t="s">
        <v>74</v>
      </c>
    </row>
    <row r="434" spans="1:55" ht="15" customHeight="1" x14ac:dyDescent="0.4">
      <c r="A434" s="12">
        <v>3297</v>
      </c>
      <c r="B434" s="21" t="s">
        <v>1841</v>
      </c>
      <c r="C434" s="13" t="s">
        <v>1842</v>
      </c>
      <c r="D434" s="25" t="s">
        <v>1842</v>
      </c>
      <c r="E434" s="13"/>
      <c r="F434" s="41"/>
      <c r="G434" s="41"/>
      <c r="H434" s="41"/>
      <c r="I434" s="41"/>
      <c r="J434" s="41"/>
      <c r="K434" s="65" t="str">
        <f>IFERROR(VLOOKUP(D434,Sheet4!A$1:M$56,11,FALSE),"")</f>
        <v/>
      </c>
      <c r="L434" s="65" t="str">
        <f t="shared" si="6"/>
        <v/>
      </c>
      <c r="M434" s="14" t="s">
        <v>1829</v>
      </c>
      <c r="N434" s="15">
        <v>44713</v>
      </c>
      <c r="O434" s="15" t="s">
        <v>1753</v>
      </c>
      <c r="P434" t="s">
        <v>1705</v>
      </c>
      <c r="Q434" t="s">
        <v>1706</v>
      </c>
      <c r="R434" t="s">
        <v>53</v>
      </c>
      <c r="S434" t="s">
        <v>175</v>
      </c>
      <c r="T434" t="s">
        <v>1754</v>
      </c>
      <c r="U434" s="21" t="s">
        <v>56</v>
      </c>
      <c r="V434" t="s">
        <v>1755</v>
      </c>
      <c r="W434" s="21"/>
      <c r="X434" t="s">
        <v>1843</v>
      </c>
      <c r="Y434" t="s">
        <v>1844</v>
      </c>
      <c r="AC434" t="s">
        <v>1832</v>
      </c>
      <c r="AE434" s="15"/>
      <c r="AG434">
        <v>38.461624</v>
      </c>
      <c r="AH434">
        <v>-90.818267000000006</v>
      </c>
      <c r="AL434" t="s">
        <v>1715</v>
      </c>
      <c r="AM434" t="s">
        <v>63</v>
      </c>
      <c r="AN434" t="s">
        <v>1845</v>
      </c>
      <c r="AO434">
        <v>192795</v>
      </c>
      <c r="AQ434" t="s">
        <v>1846</v>
      </c>
      <c r="AR434" t="s">
        <v>1847</v>
      </c>
      <c r="AS434" t="s">
        <v>1848</v>
      </c>
      <c r="AT434" t="s">
        <v>68</v>
      </c>
      <c r="AV434" t="s">
        <v>1849</v>
      </c>
      <c r="AW434" t="s">
        <v>1850</v>
      </c>
      <c r="AX434" t="s">
        <v>1851</v>
      </c>
      <c r="BA434" s="14" t="s">
        <v>72</v>
      </c>
      <c r="BB434" s="14" t="s">
        <v>73</v>
      </c>
      <c r="BC434" s="14" t="s">
        <v>74</v>
      </c>
    </row>
    <row r="435" spans="1:55" ht="15" customHeight="1" x14ac:dyDescent="0.4">
      <c r="A435" s="12">
        <v>3298</v>
      </c>
      <c r="B435" s="21" t="s">
        <v>1852</v>
      </c>
      <c r="C435" s="13" t="s">
        <v>1853</v>
      </c>
      <c r="D435" s="25" t="s">
        <v>1853</v>
      </c>
      <c r="E435" s="13"/>
      <c r="F435" s="41"/>
      <c r="G435" s="41"/>
      <c r="H435" s="41"/>
      <c r="I435" s="41"/>
      <c r="J435" s="41"/>
      <c r="K435" s="65" t="str">
        <f>IFERROR(VLOOKUP(D435,Sheet4!A$1:M$56,11,FALSE),"")</f>
        <v/>
      </c>
      <c r="L435" s="65" t="str">
        <f t="shared" si="6"/>
        <v/>
      </c>
      <c r="M435" s="14" t="s">
        <v>1829</v>
      </c>
      <c r="N435" s="15">
        <v>44713</v>
      </c>
      <c r="O435" s="15" t="s">
        <v>1753</v>
      </c>
      <c r="P435" t="s">
        <v>1705</v>
      </c>
      <c r="Q435" t="s">
        <v>1706</v>
      </c>
      <c r="R435" t="s">
        <v>53</v>
      </c>
      <c r="S435" t="s">
        <v>175</v>
      </c>
      <c r="T435" t="s">
        <v>1754</v>
      </c>
      <c r="U435" s="21" t="s">
        <v>56</v>
      </c>
      <c r="V435" t="s">
        <v>1755</v>
      </c>
      <c r="W435" s="21"/>
      <c r="X435" t="s">
        <v>1854</v>
      </c>
      <c r="Y435" t="s">
        <v>1855</v>
      </c>
      <c r="AC435" t="s">
        <v>1832</v>
      </c>
      <c r="AE435" s="15"/>
      <c r="AG435">
        <v>38.462029000000001</v>
      </c>
      <c r="AH435">
        <v>-90.818313000000003</v>
      </c>
      <c r="AI435" t="s">
        <v>1856</v>
      </c>
      <c r="AL435" t="s">
        <v>1715</v>
      </c>
      <c r="AM435" t="s">
        <v>63</v>
      </c>
      <c r="AN435" t="s">
        <v>1857</v>
      </c>
      <c r="AO435">
        <v>194510</v>
      </c>
      <c r="AQ435" t="s">
        <v>1858</v>
      </c>
      <c r="AR435" t="s">
        <v>1859</v>
      </c>
      <c r="AS435" t="s">
        <v>1860</v>
      </c>
      <c r="AT435" t="s">
        <v>68</v>
      </c>
      <c r="AV435" t="s">
        <v>1861</v>
      </c>
      <c r="AW435" t="s">
        <v>1862</v>
      </c>
      <c r="AX435" t="s">
        <v>1863</v>
      </c>
      <c r="BA435" s="14" t="s">
        <v>72</v>
      </c>
      <c r="BB435" s="14" t="s">
        <v>73</v>
      </c>
      <c r="BC435" s="14" t="s">
        <v>74</v>
      </c>
    </row>
    <row r="436" spans="1:55" ht="15" customHeight="1" x14ac:dyDescent="0.4">
      <c r="A436" s="12">
        <v>3299</v>
      </c>
      <c r="B436" s="21" t="s">
        <v>1864</v>
      </c>
      <c r="C436" s="13" t="s">
        <v>1865</v>
      </c>
      <c r="D436" s="25" t="s">
        <v>1865</v>
      </c>
      <c r="E436" s="13"/>
      <c r="F436" s="41"/>
      <c r="G436" s="41"/>
      <c r="H436" s="41"/>
      <c r="I436" s="41"/>
      <c r="J436" s="41"/>
      <c r="K436" s="65" t="str">
        <f>IFERROR(VLOOKUP(D436,Sheet4!A$1:M$56,11,FALSE),"")</f>
        <v/>
      </c>
      <c r="L436" s="65" t="str">
        <f t="shared" si="6"/>
        <v/>
      </c>
      <c r="M436" s="14" t="s">
        <v>1752</v>
      </c>
      <c r="N436" s="15">
        <v>44713</v>
      </c>
      <c r="O436" s="15" t="s">
        <v>1753</v>
      </c>
      <c r="P436" t="s">
        <v>1705</v>
      </c>
      <c r="Q436" t="s">
        <v>1706</v>
      </c>
      <c r="R436" t="s">
        <v>53</v>
      </c>
      <c r="S436" t="s">
        <v>175</v>
      </c>
      <c r="T436" t="s">
        <v>1754</v>
      </c>
      <c r="U436" s="21" t="s">
        <v>56</v>
      </c>
      <c r="V436" t="s">
        <v>1755</v>
      </c>
      <c r="W436" s="21"/>
      <c r="X436" t="s">
        <v>1866</v>
      </c>
      <c r="Y436" t="s">
        <v>1867</v>
      </c>
      <c r="AC436" t="s">
        <v>1759</v>
      </c>
      <c r="AE436" s="15"/>
      <c r="AG436">
        <v>38.46199</v>
      </c>
      <c r="AH436">
        <v>-90.818417999999994</v>
      </c>
      <c r="AI436" t="s">
        <v>1868</v>
      </c>
      <c r="AL436" t="s">
        <v>1715</v>
      </c>
      <c r="AM436" t="s">
        <v>63</v>
      </c>
      <c r="AN436" t="s">
        <v>1869</v>
      </c>
      <c r="AO436">
        <v>192568</v>
      </c>
      <c r="AQ436" t="s">
        <v>1870</v>
      </c>
      <c r="AR436" t="s">
        <v>1871</v>
      </c>
      <c r="AS436" t="s">
        <v>1872</v>
      </c>
      <c r="AT436" t="s">
        <v>68</v>
      </c>
      <c r="AV436" t="s">
        <v>1873</v>
      </c>
      <c r="AW436" t="s">
        <v>1874</v>
      </c>
      <c r="AX436" t="s">
        <v>1875</v>
      </c>
      <c r="BA436" s="14" t="s">
        <v>72</v>
      </c>
      <c r="BB436" s="14" t="s">
        <v>73</v>
      </c>
      <c r="BC436" s="14" t="s">
        <v>1768</v>
      </c>
    </row>
    <row r="437" spans="1:55" ht="15" customHeight="1" x14ac:dyDescent="0.4">
      <c r="A437" s="12">
        <v>3300</v>
      </c>
      <c r="B437" s="21" t="s">
        <v>1876</v>
      </c>
      <c r="C437" s="13" t="s">
        <v>1877</v>
      </c>
      <c r="D437" s="25" t="s">
        <v>1877</v>
      </c>
      <c r="E437" s="13"/>
      <c r="F437" s="41"/>
      <c r="G437" s="41"/>
      <c r="H437" s="41"/>
      <c r="I437" s="41"/>
      <c r="J437" s="41"/>
      <c r="K437" s="65" t="str">
        <f>IFERROR(VLOOKUP(D437,Sheet4!A$1:M$56,11,FALSE),"")</f>
        <v/>
      </c>
      <c r="L437" s="65" t="str">
        <f t="shared" si="6"/>
        <v/>
      </c>
      <c r="M437" s="14" t="s">
        <v>1878</v>
      </c>
      <c r="N437" s="15">
        <v>44713</v>
      </c>
      <c r="O437" s="15" t="s">
        <v>1753</v>
      </c>
      <c r="P437" t="s">
        <v>1705</v>
      </c>
      <c r="Q437" t="s">
        <v>1706</v>
      </c>
      <c r="R437" t="s">
        <v>53</v>
      </c>
      <c r="S437" t="s">
        <v>175</v>
      </c>
      <c r="T437" t="s">
        <v>1754</v>
      </c>
      <c r="U437" s="21" t="s">
        <v>56</v>
      </c>
      <c r="V437" t="s">
        <v>1755</v>
      </c>
      <c r="W437" s="21"/>
      <c r="X437" t="s">
        <v>1879</v>
      </c>
      <c r="Y437" t="s">
        <v>1880</v>
      </c>
      <c r="AC437" t="s">
        <v>1881</v>
      </c>
      <c r="AE437" s="15"/>
      <c r="AG437">
        <v>38.462390999999997</v>
      </c>
      <c r="AH437">
        <v>-90.817857000000004</v>
      </c>
      <c r="AI437" t="s">
        <v>859</v>
      </c>
      <c r="AL437" t="s">
        <v>1715</v>
      </c>
      <c r="AM437" t="s">
        <v>63</v>
      </c>
      <c r="AN437" t="s">
        <v>1882</v>
      </c>
      <c r="AO437">
        <v>192792</v>
      </c>
      <c r="AQ437" t="s">
        <v>1883</v>
      </c>
      <c r="AR437" t="s">
        <v>1884</v>
      </c>
      <c r="AS437" s="26" t="e">
        <v>#N/A</v>
      </c>
      <c r="AT437" t="s">
        <v>68</v>
      </c>
      <c r="AV437" t="s">
        <v>1885</v>
      </c>
      <c r="AW437" t="s">
        <v>1886</v>
      </c>
      <c r="AX437" t="s">
        <v>1887</v>
      </c>
      <c r="BA437" s="14" t="s">
        <v>72</v>
      </c>
      <c r="BB437" s="14" t="s">
        <v>73</v>
      </c>
      <c r="BC437" s="14" t="s">
        <v>1723</v>
      </c>
    </row>
    <row r="438" spans="1:55" ht="15" customHeight="1" x14ac:dyDescent="0.4">
      <c r="A438" s="12">
        <v>3301</v>
      </c>
      <c r="B438" s="21" t="s">
        <v>1888</v>
      </c>
      <c r="C438" s="13" t="s">
        <v>1889</v>
      </c>
      <c r="D438" s="25" t="s">
        <v>1889</v>
      </c>
      <c r="E438" s="13"/>
      <c r="F438" s="41"/>
      <c r="G438" s="41"/>
      <c r="H438" s="41"/>
      <c r="I438" s="41"/>
      <c r="J438" s="41"/>
      <c r="K438" s="65" t="str">
        <f>IFERROR(VLOOKUP(D438,Sheet4!A$1:M$56,11,FALSE),"")</f>
        <v/>
      </c>
      <c r="L438" s="65" t="str">
        <f t="shared" si="6"/>
        <v/>
      </c>
      <c r="M438" s="14" t="s">
        <v>1829</v>
      </c>
      <c r="N438" s="15">
        <v>44713</v>
      </c>
      <c r="O438" s="15" t="s">
        <v>1753</v>
      </c>
      <c r="P438" t="s">
        <v>1705</v>
      </c>
      <c r="Q438" t="s">
        <v>1706</v>
      </c>
      <c r="R438" t="s">
        <v>53</v>
      </c>
      <c r="S438" t="s">
        <v>175</v>
      </c>
      <c r="T438" t="s">
        <v>1754</v>
      </c>
      <c r="U438" s="21" t="s">
        <v>56</v>
      </c>
      <c r="V438" t="s">
        <v>1755</v>
      </c>
      <c r="W438" s="21"/>
      <c r="X438" t="s">
        <v>1890</v>
      </c>
      <c r="Y438" t="s">
        <v>1891</v>
      </c>
      <c r="AC438" t="s">
        <v>1832</v>
      </c>
      <c r="AE438" s="15"/>
      <c r="AG438">
        <v>38.462949999999999</v>
      </c>
      <c r="AH438">
        <v>-90.817616000000001</v>
      </c>
      <c r="AI438" t="s">
        <v>1892</v>
      </c>
      <c r="AL438" t="s">
        <v>1715</v>
      </c>
      <c r="AM438" t="s">
        <v>63</v>
      </c>
      <c r="AN438" t="s">
        <v>1893</v>
      </c>
      <c r="AO438">
        <v>194511</v>
      </c>
      <c r="AQ438" t="s">
        <v>1894</v>
      </c>
      <c r="AR438" t="s">
        <v>1895</v>
      </c>
      <c r="AS438" s="23" t="s">
        <v>1896</v>
      </c>
      <c r="AT438" t="s">
        <v>68</v>
      </c>
      <c r="AV438" t="s">
        <v>1897</v>
      </c>
      <c r="AW438" t="s">
        <v>1898</v>
      </c>
      <c r="AX438" t="s">
        <v>1899</v>
      </c>
      <c r="BA438" s="14" t="s">
        <v>72</v>
      </c>
      <c r="BB438" s="14" t="s">
        <v>73</v>
      </c>
      <c r="BC438" s="14" t="s">
        <v>74</v>
      </c>
    </row>
    <row r="439" spans="1:55" ht="15" customHeight="1" x14ac:dyDescent="0.4">
      <c r="A439" s="12">
        <v>3302</v>
      </c>
      <c r="B439" s="21" t="s">
        <v>1900</v>
      </c>
      <c r="C439" s="13" t="s">
        <v>1901</v>
      </c>
      <c r="D439" s="25" t="s">
        <v>1901</v>
      </c>
      <c r="E439" s="13"/>
      <c r="F439" s="41"/>
      <c r="G439" s="41"/>
      <c r="H439" s="41"/>
      <c r="I439" s="41"/>
      <c r="J439" s="41" t="s">
        <v>8177</v>
      </c>
      <c r="K439" s="65" t="str">
        <f>IFERROR(VLOOKUP(D439,Sheet4!A$1:M$56,11,FALSE),"")</f>
        <v/>
      </c>
      <c r="L439" s="65" t="str">
        <f t="shared" si="6"/>
        <v>May have genomic admixture with Q. prinoides</v>
      </c>
      <c r="M439" s="14" t="s">
        <v>1829</v>
      </c>
      <c r="N439" s="15">
        <v>44713</v>
      </c>
      <c r="O439" s="15" t="s">
        <v>1753</v>
      </c>
      <c r="P439" t="s">
        <v>1705</v>
      </c>
      <c r="Q439" t="s">
        <v>1706</v>
      </c>
      <c r="R439" t="s">
        <v>53</v>
      </c>
      <c r="S439" t="s">
        <v>175</v>
      </c>
      <c r="T439" t="s">
        <v>1754</v>
      </c>
      <c r="U439" s="21" t="s">
        <v>56</v>
      </c>
      <c r="V439" t="s">
        <v>1755</v>
      </c>
      <c r="W439" s="21"/>
      <c r="X439" t="s">
        <v>1890</v>
      </c>
      <c r="Y439" t="s">
        <v>1891</v>
      </c>
      <c r="AC439" t="s">
        <v>1832</v>
      </c>
      <c r="AE439" s="15"/>
      <c r="AG439">
        <v>38.462961</v>
      </c>
      <c r="AH439">
        <v>-90.817894999999993</v>
      </c>
      <c r="AI439" t="s">
        <v>782</v>
      </c>
      <c r="AL439" t="s">
        <v>1715</v>
      </c>
      <c r="AM439" t="s">
        <v>63</v>
      </c>
      <c r="AN439" t="s">
        <v>1902</v>
      </c>
      <c r="AO439">
        <v>194512</v>
      </c>
      <c r="AQ439" t="s">
        <v>1903</v>
      </c>
      <c r="AR439" t="s">
        <v>1904</v>
      </c>
      <c r="AS439" t="s">
        <v>1905</v>
      </c>
      <c r="AT439" t="s">
        <v>68</v>
      </c>
      <c r="AV439" t="s">
        <v>1906</v>
      </c>
      <c r="AW439" t="s">
        <v>1907</v>
      </c>
      <c r="AX439" t="s">
        <v>1908</v>
      </c>
      <c r="BA439" s="14" t="s">
        <v>72</v>
      </c>
      <c r="BB439" s="14" t="s">
        <v>73</v>
      </c>
      <c r="BC439" s="14" t="s">
        <v>74</v>
      </c>
    </row>
    <row r="440" spans="1:55" ht="15" customHeight="1" x14ac:dyDescent="0.4">
      <c r="A440" s="12">
        <v>3303</v>
      </c>
      <c r="B440" s="21" t="s">
        <v>1909</v>
      </c>
      <c r="C440" s="13" t="s">
        <v>1910</v>
      </c>
      <c r="D440" s="25" t="s">
        <v>1910</v>
      </c>
      <c r="E440" s="13"/>
      <c r="F440" s="41"/>
      <c r="G440" s="41"/>
      <c r="H440" s="41"/>
      <c r="I440" s="41"/>
      <c r="J440" s="41"/>
      <c r="K440" s="65" t="str">
        <f>IFERROR(VLOOKUP(D440,Sheet4!A$1:M$56,11,FALSE),"")</f>
        <v/>
      </c>
      <c r="L440" s="65" t="str">
        <f t="shared" si="6"/>
        <v/>
      </c>
      <c r="M440" s="14" t="s">
        <v>1878</v>
      </c>
      <c r="N440" s="15">
        <v>44713</v>
      </c>
      <c r="O440" s="15" t="s">
        <v>1753</v>
      </c>
      <c r="P440" t="s">
        <v>1705</v>
      </c>
      <c r="Q440" t="s">
        <v>1706</v>
      </c>
      <c r="R440" t="s">
        <v>53</v>
      </c>
      <c r="S440" t="s">
        <v>175</v>
      </c>
      <c r="T440" t="s">
        <v>1754</v>
      </c>
      <c r="U440" s="21" t="s">
        <v>56</v>
      </c>
      <c r="V440" t="s">
        <v>1755</v>
      </c>
      <c r="W440" s="21"/>
      <c r="X440" t="s">
        <v>1911</v>
      </c>
      <c r="Y440" t="s">
        <v>1912</v>
      </c>
      <c r="AC440" t="s">
        <v>1881</v>
      </c>
      <c r="AE440" s="15"/>
      <c r="AG440">
        <v>38.462749000000002</v>
      </c>
      <c r="AH440">
        <v>-90.818039999999996</v>
      </c>
      <c r="AI440" t="s">
        <v>1913</v>
      </c>
      <c r="AL440" t="s">
        <v>1715</v>
      </c>
      <c r="AM440" t="s">
        <v>63</v>
      </c>
      <c r="AN440" t="s">
        <v>1914</v>
      </c>
      <c r="AO440">
        <v>193381</v>
      </c>
      <c r="AQ440" t="s">
        <v>1915</v>
      </c>
      <c r="AR440" t="s">
        <v>1916</v>
      </c>
      <c r="AS440" t="s">
        <v>1917</v>
      </c>
      <c r="AT440" t="s">
        <v>68</v>
      </c>
      <c r="AV440" t="s">
        <v>1918</v>
      </c>
      <c r="AW440" t="s">
        <v>1919</v>
      </c>
      <c r="AX440" t="s">
        <v>1920</v>
      </c>
      <c r="BA440" s="14" t="s">
        <v>72</v>
      </c>
      <c r="BB440" s="14" t="s">
        <v>73</v>
      </c>
      <c r="BC440" s="14" t="s">
        <v>1723</v>
      </c>
    </row>
    <row r="441" spans="1:55" ht="15" customHeight="1" x14ac:dyDescent="0.4">
      <c r="A441" s="12">
        <v>3304</v>
      </c>
      <c r="B441" s="21" t="s">
        <v>1921</v>
      </c>
      <c r="C441" s="13" t="s">
        <v>1922</v>
      </c>
      <c r="D441" s="25" t="s">
        <v>1922</v>
      </c>
      <c r="E441" s="13"/>
      <c r="F441" s="41"/>
      <c r="G441" s="41"/>
      <c r="H441" s="41"/>
      <c r="I441" s="41"/>
      <c r="J441" s="41"/>
      <c r="K441" s="65" t="str">
        <f>IFERROR(VLOOKUP(D441,Sheet4!A$1:M$56,11,FALSE),"")</f>
        <v/>
      </c>
      <c r="L441" s="65" t="str">
        <f t="shared" si="6"/>
        <v/>
      </c>
      <c r="M441" s="14" t="s">
        <v>1752</v>
      </c>
      <c r="N441" s="15">
        <v>44713</v>
      </c>
      <c r="O441" s="15" t="s">
        <v>1753</v>
      </c>
      <c r="P441" t="s">
        <v>1705</v>
      </c>
      <c r="Q441" t="s">
        <v>1706</v>
      </c>
      <c r="R441" t="s">
        <v>53</v>
      </c>
      <c r="S441" t="s">
        <v>175</v>
      </c>
      <c r="T441" t="s">
        <v>1754</v>
      </c>
      <c r="U441" s="21" t="s">
        <v>56</v>
      </c>
      <c r="V441" t="s">
        <v>1755</v>
      </c>
      <c r="W441" s="21"/>
      <c r="X441" t="s">
        <v>1923</v>
      </c>
      <c r="Y441" t="s">
        <v>1924</v>
      </c>
      <c r="AC441" t="s">
        <v>1759</v>
      </c>
      <c r="AE441" s="15"/>
      <c r="AG441">
        <v>38.462662000000002</v>
      </c>
      <c r="AH441">
        <v>-90.818128999999999</v>
      </c>
      <c r="AI441" t="s">
        <v>1925</v>
      </c>
      <c r="AL441" t="s">
        <v>1715</v>
      </c>
      <c r="AM441" t="s">
        <v>63</v>
      </c>
      <c r="AN441" t="s">
        <v>1926</v>
      </c>
      <c r="AO441">
        <v>193513</v>
      </c>
      <c r="AQ441" t="s">
        <v>1927</v>
      </c>
      <c r="AR441" t="s">
        <v>1928</v>
      </c>
      <c r="AS441" t="s">
        <v>1929</v>
      </c>
      <c r="AT441" t="s">
        <v>68</v>
      </c>
      <c r="AV441" t="s">
        <v>1930</v>
      </c>
      <c r="AW441" t="s">
        <v>1931</v>
      </c>
      <c r="AX441" t="s">
        <v>1932</v>
      </c>
      <c r="BA441" s="14" t="s">
        <v>72</v>
      </c>
      <c r="BB441" s="14" t="s">
        <v>73</v>
      </c>
      <c r="BC441" s="14" t="s">
        <v>1768</v>
      </c>
    </row>
    <row r="442" spans="1:55" ht="15" customHeight="1" x14ac:dyDescent="0.4">
      <c r="A442" s="12">
        <v>3305</v>
      </c>
      <c r="B442" s="21" t="s">
        <v>1933</v>
      </c>
      <c r="C442" s="13" t="s">
        <v>1934</v>
      </c>
      <c r="D442" s="25" t="s">
        <v>1934</v>
      </c>
      <c r="E442" s="13"/>
      <c r="F442" s="41"/>
      <c r="G442" s="41"/>
      <c r="H442" s="41"/>
      <c r="I442" s="41"/>
      <c r="J442" s="41"/>
      <c r="K442" s="65" t="str">
        <f>IFERROR(VLOOKUP(D442,Sheet4!A$1:M$56,11,FALSE),"")</f>
        <v/>
      </c>
      <c r="L442" s="65" t="str">
        <f t="shared" si="6"/>
        <v/>
      </c>
      <c r="M442" s="14" t="s">
        <v>1752</v>
      </c>
      <c r="N442" s="15">
        <v>44713</v>
      </c>
      <c r="O442" s="15" t="s">
        <v>1753</v>
      </c>
      <c r="P442" t="s">
        <v>1705</v>
      </c>
      <c r="Q442" t="s">
        <v>1706</v>
      </c>
      <c r="R442" t="s">
        <v>53</v>
      </c>
      <c r="S442" t="s">
        <v>175</v>
      </c>
      <c r="T442" t="s">
        <v>1754</v>
      </c>
      <c r="U442" s="21" t="s">
        <v>56</v>
      </c>
      <c r="V442" t="s">
        <v>1755</v>
      </c>
      <c r="W442" s="21"/>
      <c r="X442" t="s">
        <v>1935</v>
      </c>
      <c r="Y442" t="s">
        <v>1936</v>
      </c>
      <c r="AB442" t="s">
        <v>1758</v>
      </c>
      <c r="AC442" t="s">
        <v>1759</v>
      </c>
      <c r="AE442" s="15"/>
      <c r="AG442">
        <v>38.462482999999999</v>
      </c>
      <c r="AH442">
        <v>-90.818432000000001</v>
      </c>
      <c r="AI442" t="s">
        <v>804</v>
      </c>
      <c r="AL442" t="s">
        <v>1715</v>
      </c>
      <c r="AM442" t="s">
        <v>63</v>
      </c>
      <c r="AN442" t="s">
        <v>1937</v>
      </c>
      <c r="AO442">
        <v>193514</v>
      </c>
      <c r="AQ442" t="s">
        <v>1938</v>
      </c>
      <c r="AR442" t="s">
        <v>1939</v>
      </c>
      <c r="AS442" t="s">
        <v>1940</v>
      </c>
      <c r="AT442" t="s">
        <v>68</v>
      </c>
      <c r="AV442" t="s">
        <v>1941</v>
      </c>
      <c r="AW442" t="s">
        <v>1942</v>
      </c>
      <c r="AX442" t="s">
        <v>1943</v>
      </c>
      <c r="BA442" s="14" t="s">
        <v>72</v>
      </c>
      <c r="BB442" s="14" t="s">
        <v>73</v>
      </c>
      <c r="BC442" s="14" t="s">
        <v>1768</v>
      </c>
    </row>
    <row r="443" spans="1:55" ht="15" customHeight="1" x14ac:dyDescent="0.4">
      <c r="A443" s="12">
        <v>3306</v>
      </c>
      <c r="B443" s="21" t="s">
        <v>1944</v>
      </c>
      <c r="C443" s="13" t="s">
        <v>1945</v>
      </c>
      <c r="D443" s="25" t="s">
        <v>1945</v>
      </c>
      <c r="E443" s="13"/>
      <c r="F443" s="41"/>
      <c r="G443" s="41"/>
      <c r="H443" s="41"/>
      <c r="I443" s="41"/>
      <c r="J443" s="41"/>
      <c r="K443" s="65" t="str">
        <f>IFERROR(VLOOKUP(D443,Sheet4!A$1:M$56,11,FALSE),"")</f>
        <v/>
      </c>
      <c r="L443" s="65" t="str">
        <f t="shared" si="6"/>
        <v/>
      </c>
      <c r="M443" s="14" t="s">
        <v>1752</v>
      </c>
      <c r="N443" s="15">
        <v>44713</v>
      </c>
      <c r="O443" s="15" t="s">
        <v>1753</v>
      </c>
      <c r="P443" t="s">
        <v>1705</v>
      </c>
      <c r="Q443" t="s">
        <v>1706</v>
      </c>
      <c r="R443" t="s">
        <v>53</v>
      </c>
      <c r="S443" t="s">
        <v>175</v>
      </c>
      <c r="T443" t="s">
        <v>1754</v>
      </c>
      <c r="U443" s="21" t="s">
        <v>56</v>
      </c>
      <c r="V443" t="s">
        <v>1755</v>
      </c>
      <c r="W443" s="21"/>
      <c r="X443" t="s">
        <v>1946</v>
      </c>
      <c r="Y443" t="s">
        <v>1752</v>
      </c>
      <c r="AC443" t="s">
        <v>1759</v>
      </c>
      <c r="AE443" s="15"/>
      <c r="AG443">
        <v>38.462702999999998</v>
      </c>
      <c r="AH443">
        <v>-90.818742</v>
      </c>
      <c r="AI443" t="s">
        <v>1947</v>
      </c>
      <c r="AL443" t="s">
        <v>1715</v>
      </c>
      <c r="AM443" t="s">
        <v>63</v>
      </c>
      <c r="AN443" t="s">
        <v>1948</v>
      </c>
      <c r="AO443">
        <v>193515</v>
      </c>
      <c r="AQ443" t="s">
        <v>1949</v>
      </c>
      <c r="AR443" t="s">
        <v>1950</v>
      </c>
      <c r="AS443" t="s">
        <v>1951</v>
      </c>
      <c r="AT443" t="s">
        <v>68</v>
      </c>
      <c r="AV443" t="s">
        <v>1952</v>
      </c>
      <c r="AW443" t="s">
        <v>1953</v>
      </c>
      <c r="AX443" t="s">
        <v>1954</v>
      </c>
      <c r="BA443" s="14" t="s">
        <v>72</v>
      </c>
      <c r="BB443" s="14" t="s">
        <v>73</v>
      </c>
      <c r="BC443" s="14" t="s">
        <v>1768</v>
      </c>
    </row>
    <row r="444" spans="1:55" ht="15" customHeight="1" x14ac:dyDescent="0.4">
      <c r="A444" s="12">
        <v>3307</v>
      </c>
      <c r="B444" s="21" t="s">
        <v>1955</v>
      </c>
      <c r="C444" s="13" t="s">
        <v>1956</v>
      </c>
      <c r="D444" s="25" t="s">
        <v>1956</v>
      </c>
      <c r="E444" s="13"/>
      <c r="F444" s="41"/>
      <c r="G444" s="41"/>
      <c r="H444" s="41"/>
      <c r="I444" s="41"/>
      <c r="J444" s="41"/>
      <c r="K444" s="65" t="str">
        <f>IFERROR(VLOOKUP(D444,Sheet4!A$1:M$56,11,FALSE),"")</f>
        <v/>
      </c>
      <c r="L444" s="65" t="str">
        <f t="shared" si="6"/>
        <v/>
      </c>
      <c r="M444" s="14" t="s">
        <v>1878</v>
      </c>
      <c r="N444" s="15">
        <v>44713</v>
      </c>
      <c r="O444" s="15" t="s">
        <v>1753</v>
      </c>
      <c r="P444" t="s">
        <v>1705</v>
      </c>
      <c r="Q444" t="s">
        <v>1706</v>
      </c>
      <c r="R444" t="s">
        <v>53</v>
      </c>
      <c r="S444" t="s">
        <v>175</v>
      </c>
      <c r="T444" t="s">
        <v>1754</v>
      </c>
      <c r="U444" s="21" t="s">
        <v>56</v>
      </c>
      <c r="V444" t="s">
        <v>1755</v>
      </c>
      <c r="W444" s="21"/>
      <c r="X444" t="s">
        <v>1957</v>
      </c>
      <c r="Y444" t="s">
        <v>1958</v>
      </c>
      <c r="AC444" t="s">
        <v>1881</v>
      </c>
      <c r="AE444" s="15"/>
      <c r="AG444">
        <v>38.462960000000002</v>
      </c>
      <c r="AH444">
        <v>-90.818493000000004</v>
      </c>
      <c r="AI444" t="s">
        <v>1959</v>
      </c>
      <c r="AL444" t="s">
        <v>1715</v>
      </c>
      <c r="AM444" t="s">
        <v>63</v>
      </c>
      <c r="AN444" t="s">
        <v>1960</v>
      </c>
      <c r="AO444">
        <v>193751</v>
      </c>
      <c r="AQ444" t="s">
        <v>1961</v>
      </c>
      <c r="AR444" t="s">
        <v>1962</v>
      </c>
      <c r="AS444" t="s">
        <v>1963</v>
      </c>
      <c r="AT444" t="s">
        <v>68</v>
      </c>
      <c r="AV444" t="s">
        <v>1964</v>
      </c>
      <c r="AW444" t="s">
        <v>1965</v>
      </c>
      <c r="AX444" t="s">
        <v>1966</v>
      </c>
      <c r="BA444" s="14" t="s">
        <v>72</v>
      </c>
      <c r="BB444" s="14" t="s">
        <v>73</v>
      </c>
      <c r="BC444" s="14" t="s">
        <v>1723</v>
      </c>
    </row>
    <row r="445" spans="1:55" ht="15" customHeight="1" x14ac:dyDescent="0.4">
      <c r="A445" s="12">
        <v>3308</v>
      </c>
      <c r="B445" s="21" t="s">
        <v>1967</v>
      </c>
      <c r="C445" s="13" t="s">
        <v>1968</v>
      </c>
      <c r="D445" s="25" t="s">
        <v>1968</v>
      </c>
      <c r="E445" s="13"/>
      <c r="F445" s="41"/>
      <c r="G445" s="41"/>
      <c r="H445" s="41"/>
      <c r="I445" s="41"/>
      <c r="J445" s="41"/>
      <c r="K445" s="65" t="str">
        <f>IFERROR(VLOOKUP(D445,Sheet4!A$1:M$56,11,FALSE),"")</f>
        <v/>
      </c>
      <c r="L445" s="65" t="str">
        <f t="shared" si="6"/>
        <v/>
      </c>
      <c r="M445" s="14" t="s">
        <v>1878</v>
      </c>
      <c r="N445" s="15">
        <v>44713</v>
      </c>
      <c r="O445" s="15" t="s">
        <v>1753</v>
      </c>
      <c r="P445" t="s">
        <v>1705</v>
      </c>
      <c r="Q445" t="s">
        <v>1706</v>
      </c>
      <c r="R445" t="s">
        <v>53</v>
      </c>
      <c r="S445" t="s">
        <v>175</v>
      </c>
      <c r="T445" t="s">
        <v>1754</v>
      </c>
      <c r="U445" s="21" t="s">
        <v>56</v>
      </c>
      <c r="V445" t="s">
        <v>1755</v>
      </c>
      <c r="W445" s="21"/>
      <c r="X445" t="s">
        <v>1969</v>
      </c>
      <c r="Y445" t="s">
        <v>1970</v>
      </c>
      <c r="AC445" t="s">
        <v>1881</v>
      </c>
      <c r="AE445" s="15"/>
      <c r="AG445">
        <v>38.463810000000002</v>
      </c>
      <c r="AH445">
        <v>-90.818731</v>
      </c>
      <c r="AI445" t="s">
        <v>1971</v>
      </c>
      <c r="AL445" t="s">
        <v>1715</v>
      </c>
      <c r="AM445" t="s">
        <v>63</v>
      </c>
      <c r="AN445" t="s">
        <v>1972</v>
      </c>
      <c r="AO445">
        <v>193752</v>
      </c>
      <c r="AQ445" t="s">
        <v>1973</v>
      </c>
      <c r="AR445" t="s">
        <v>1974</v>
      </c>
      <c r="AS445" t="s">
        <v>1975</v>
      </c>
      <c r="AT445" t="s">
        <v>68</v>
      </c>
      <c r="AV445" t="s">
        <v>1976</v>
      </c>
      <c r="AW445" t="s">
        <v>1977</v>
      </c>
      <c r="AX445" t="s">
        <v>1978</v>
      </c>
      <c r="BA445" s="14" t="s">
        <v>72</v>
      </c>
      <c r="BB445" s="14" t="s">
        <v>73</v>
      </c>
      <c r="BC445" s="14" t="s">
        <v>1723</v>
      </c>
    </row>
    <row r="446" spans="1:55" ht="15" customHeight="1" x14ac:dyDescent="0.4">
      <c r="A446" s="12">
        <v>3309</v>
      </c>
      <c r="B446" s="21" t="s">
        <v>1979</v>
      </c>
      <c r="C446" s="13" t="s">
        <v>1980</v>
      </c>
      <c r="D446" s="25" t="s">
        <v>1980</v>
      </c>
      <c r="E446" s="13"/>
      <c r="F446" s="41"/>
      <c r="G446" s="41"/>
      <c r="H446" s="41"/>
      <c r="I446" s="41"/>
      <c r="J446" s="41"/>
      <c r="K446" s="65" t="str">
        <f>IFERROR(VLOOKUP(D446,Sheet4!A$1:M$56,11,FALSE),"")</f>
        <v/>
      </c>
      <c r="L446" s="65" t="str">
        <f t="shared" si="6"/>
        <v/>
      </c>
      <c r="M446" s="14" t="s">
        <v>1878</v>
      </c>
      <c r="N446" s="15">
        <v>44713</v>
      </c>
      <c r="O446" s="15" t="s">
        <v>1753</v>
      </c>
      <c r="P446" t="s">
        <v>1705</v>
      </c>
      <c r="Q446" t="s">
        <v>1706</v>
      </c>
      <c r="R446" t="s">
        <v>53</v>
      </c>
      <c r="S446" t="s">
        <v>175</v>
      </c>
      <c r="T446" t="s">
        <v>1754</v>
      </c>
      <c r="U446" s="21" t="s">
        <v>56</v>
      </c>
      <c r="V446" t="s">
        <v>1755</v>
      </c>
      <c r="W446" s="21"/>
      <c r="X446" t="s">
        <v>1981</v>
      </c>
      <c r="Y446" t="s">
        <v>1982</v>
      </c>
      <c r="AC446" t="s">
        <v>1881</v>
      </c>
      <c r="AE446" s="15"/>
      <c r="AG446">
        <v>38.464165999999999</v>
      </c>
      <c r="AH446">
        <v>-90.818686</v>
      </c>
      <c r="AI446" t="s">
        <v>1971</v>
      </c>
      <c r="AL446" t="s">
        <v>1715</v>
      </c>
      <c r="AM446" t="s">
        <v>63</v>
      </c>
      <c r="AN446" t="s">
        <v>1983</v>
      </c>
      <c r="AO446">
        <v>193754</v>
      </c>
      <c r="AQ446" t="s">
        <v>1984</v>
      </c>
      <c r="AR446" t="s">
        <v>1985</v>
      </c>
      <c r="AS446" t="s">
        <v>1986</v>
      </c>
      <c r="AT446" t="s">
        <v>68</v>
      </c>
      <c r="AV446" t="s">
        <v>1987</v>
      </c>
      <c r="AW446" t="s">
        <v>1988</v>
      </c>
      <c r="AX446" t="s">
        <v>1989</v>
      </c>
      <c r="BA446" s="14" t="s">
        <v>72</v>
      </c>
      <c r="BB446" s="14" t="s">
        <v>73</v>
      </c>
      <c r="BC446" s="14" t="s">
        <v>1723</v>
      </c>
    </row>
    <row r="447" spans="1:55" ht="15" customHeight="1" x14ac:dyDescent="0.4">
      <c r="A447" s="12">
        <v>3569</v>
      </c>
      <c r="B447" s="21" t="s">
        <v>2756</v>
      </c>
      <c r="C447" s="13" t="s">
        <v>2757</v>
      </c>
      <c r="D447" s="25" t="s">
        <v>2757</v>
      </c>
      <c r="E447" s="13"/>
      <c r="F447" s="41"/>
      <c r="G447" s="41"/>
      <c r="H447" s="41"/>
      <c r="I447" s="41"/>
      <c r="J447" s="41"/>
      <c r="K447" s="65" t="str">
        <f>IFERROR(VLOOKUP(D447,Sheet4!A$1:M$56,11,FALSE),"")</f>
        <v/>
      </c>
      <c r="L447" s="65" t="str">
        <f t="shared" si="6"/>
        <v/>
      </c>
      <c r="M447" s="14" t="s">
        <v>1752</v>
      </c>
      <c r="N447" s="15">
        <v>44733</v>
      </c>
      <c r="O447" t="s">
        <v>2758</v>
      </c>
      <c r="P447" t="s">
        <v>51</v>
      </c>
      <c r="Q447" t="s">
        <v>52</v>
      </c>
      <c r="R447" t="s">
        <v>53</v>
      </c>
      <c r="S447" t="s">
        <v>175</v>
      </c>
      <c r="T447" t="s">
        <v>2720</v>
      </c>
      <c r="U447" t="s">
        <v>56</v>
      </c>
      <c r="V447" s="21" t="s">
        <v>2759</v>
      </c>
      <c r="W447" s="21"/>
      <c r="X447" t="s">
        <v>2760</v>
      </c>
      <c r="Y447" t="s">
        <v>2761</v>
      </c>
      <c r="AC447" t="s">
        <v>1759</v>
      </c>
      <c r="AE447" s="15"/>
      <c r="AG447">
        <v>38.512087999999999</v>
      </c>
      <c r="AH447">
        <v>-90.575698000000003</v>
      </c>
      <c r="AI447" t="s">
        <v>793</v>
      </c>
      <c r="AL447" t="s">
        <v>1715</v>
      </c>
      <c r="AM447" t="s">
        <v>63</v>
      </c>
      <c r="AN447" t="s">
        <v>2762</v>
      </c>
      <c r="AO447">
        <v>193532</v>
      </c>
      <c r="AQ447" t="s">
        <v>2763</v>
      </c>
      <c r="AR447" t="s">
        <v>2764</v>
      </c>
      <c r="AS447" t="s">
        <v>2765</v>
      </c>
      <c r="AT447" t="s">
        <v>68</v>
      </c>
      <c r="AV447" t="s">
        <v>2766</v>
      </c>
      <c r="AW447" t="s">
        <v>2767</v>
      </c>
      <c r="AX447" t="s">
        <v>2768</v>
      </c>
      <c r="BA447" s="14" t="s">
        <v>72</v>
      </c>
      <c r="BB447" s="14" t="s">
        <v>73</v>
      </c>
      <c r="BC447" s="14" t="s">
        <v>1768</v>
      </c>
    </row>
    <row r="448" spans="1:55" ht="15" customHeight="1" x14ac:dyDescent="0.4">
      <c r="A448" s="12">
        <v>3570</v>
      </c>
      <c r="B448" s="21" t="s">
        <v>2769</v>
      </c>
      <c r="C448" s="13" t="s">
        <v>2770</v>
      </c>
      <c r="D448" s="25" t="s">
        <v>2770</v>
      </c>
      <c r="E448" s="13"/>
      <c r="F448" s="41"/>
      <c r="G448" s="41"/>
      <c r="H448" s="41"/>
      <c r="I448" s="41"/>
      <c r="J448" s="41" t="s">
        <v>8177</v>
      </c>
      <c r="K448" s="65" t="str">
        <f>IFERROR(VLOOKUP(D448,Sheet4!A$1:M$56,11,FALSE),"")</f>
        <v/>
      </c>
      <c r="L448" s="65" t="str">
        <f t="shared" si="6"/>
        <v>May have genomic admixture with Q. prinoides</v>
      </c>
      <c r="M448" s="14" t="s">
        <v>1829</v>
      </c>
      <c r="N448" s="15">
        <v>44733</v>
      </c>
      <c r="O448" t="s">
        <v>2758</v>
      </c>
      <c r="P448" t="s">
        <v>51</v>
      </c>
      <c r="Q448" t="s">
        <v>52</v>
      </c>
      <c r="R448" t="s">
        <v>53</v>
      </c>
      <c r="S448" t="s">
        <v>175</v>
      </c>
      <c r="T448" t="s">
        <v>2720</v>
      </c>
      <c r="U448" t="s">
        <v>56</v>
      </c>
      <c r="V448" s="21" t="s">
        <v>2759</v>
      </c>
      <c r="W448" s="21"/>
      <c r="X448" t="s">
        <v>2771</v>
      </c>
      <c r="Y448" t="s">
        <v>2772</v>
      </c>
      <c r="AB448" t="s">
        <v>2440</v>
      </c>
      <c r="AC448" t="s">
        <v>1832</v>
      </c>
      <c r="AE448" s="15"/>
      <c r="AG448">
        <v>38.512208999999999</v>
      </c>
      <c r="AH448">
        <v>-90.576047000000003</v>
      </c>
      <c r="AI448" t="s">
        <v>2773</v>
      </c>
      <c r="AL448" t="s">
        <v>1715</v>
      </c>
      <c r="AM448" t="s">
        <v>63</v>
      </c>
      <c r="AN448" t="s">
        <v>2774</v>
      </c>
      <c r="AO448">
        <v>194518</v>
      </c>
      <c r="AQ448" t="s">
        <v>2775</v>
      </c>
      <c r="AR448" t="s">
        <v>2776</v>
      </c>
      <c r="AS448" t="s">
        <v>2777</v>
      </c>
      <c r="AT448" t="s">
        <v>68</v>
      </c>
      <c r="AV448" t="s">
        <v>2778</v>
      </c>
      <c r="AW448" t="s">
        <v>2779</v>
      </c>
      <c r="AX448" t="s">
        <v>2780</v>
      </c>
      <c r="BA448" s="14" t="s">
        <v>72</v>
      </c>
      <c r="BB448" s="14" t="s">
        <v>73</v>
      </c>
      <c r="BC448" s="14" t="s">
        <v>74</v>
      </c>
    </row>
    <row r="449" spans="1:55" ht="15" customHeight="1" x14ac:dyDescent="0.4">
      <c r="A449" s="12">
        <v>3571</v>
      </c>
      <c r="B449" s="21" t="s">
        <v>2781</v>
      </c>
      <c r="C449" s="13" t="s">
        <v>2782</v>
      </c>
      <c r="D449" s="25" t="s">
        <v>2782</v>
      </c>
      <c r="E449" s="13"/>
      <c r="F449" s="41"/>
      <c r="G449" s="41"/>
      <c r="H449" s="41"/>
      <c r="I449" s="41"/>
      <c r="J449" s="41"/>
      <c r="K449" s="65" t="str">
        <f>IFERROR(VLOOKUP(D449,Sheet4!A$1:M$56,11,FALSE),"")</f>
        <v/>
      </c>
      <c r="L449" s="65" t="str">
        <f t="shared" si="6"/>
        <v/>
      </c>
      <c r="M449" s="14" t="s">
        <v>1878</v>
      </c>
      <c r="N449" s="15">
        <v>44733</v>
      </c>
      <c r="O449" t="s">
        <v>2758</v>
      </c>
      <c r="P449" t="s">
        <v>51</v>
      </c>
      <c r="Q449" t="s">
        <v>52</v>
      </c>
      <c r="R449" t="s">
        <v>53</v>
      </c>
      <c r="S449" t="s">
        <v>175</v>
      </c>
      <c r="T449" t="s">
        <v>2720</v>
      </c>
      <c r="U449" t="s">
        <v>56</v>
      </c>
      <c r="V449" s="21" t="s">
        <v>2759</v>
      </c>
      <c r="W449" s="21"/>
      <c r="X449" t="s">
        <v>2783</v>
      </c>
      <c r="Y449" t="s">
        <v>2784</v>
      </c>
      <c r="AB449" t="s">
        <v>2440</v>
      </c>
      <c r="AC449" t="s">
        <v>1881</v>
      </c>
      <c r="AE449" s="15"/>
      <c r="AG449">
        <v>38.512383999999997</v>
      </c>
      <c r="AH449">
        <v>-90.575894000000005</v>
      </c>
      <c r="AI449" t="s">
        <v>2785</v>
      </c>
      <c r="AL449" t="s">
        <v>1715</v>
      </c>
      <c r="AM449" t="s">
        <v>63</v>
      </c>
      <c r="AN449" t="s">
        <v>2786</v>
      </c>
      <c r="AO449">
        <v>193758</v>
      </c>
      <c r="AQ449" t="s">
        <v>2787</v>
      </c>
      <c r="AR449" t="s">
        <v>2788</v>
      </c>
      <c r="AS449" t="s">
        <v>2789</v>
      </c>
      <c r="AT449" t="s">
        <v>68</v>
      </c>
      <c r="AV449" t="s">
        <v>2790</v>
      </c>
      <c r="AW449" t="s">
        <v>2791</v>
      </c>
      <c r="AX449" t="s">
        <v>2792</v>
      </c>
      <c r="BA449" s="14" t="s">
        <v>72</v>
      </c>
      <c r="BB449" s="14" t="s">
        <v>73</v>
      </c>
      <c r="BC449" s="14" t="s">
        <v>1723</v>
      </c>
    </row>
    <row r="450" spans="1:55" ht="15" customHeight="1" x14ac:dyDescent="0.4">
      <c r="A450" s="12">
        <v>3572</v>
      </c>
      <c r="B450" s="21" t="s">
        <v>2793</v>
      </c>
      <c r="C450" s="13" t="s">
        <v>2794</v>
      </c>
      <c r="D450" s="25" t="s">
        <v>2794</v>
      </c>
      <c r="E450" s="13"/>
      <c r="F450" s="41"/>
      <c r="G450" s="41"/>
      <c r="H450" s="41"/>
      <c r="I450" s="41"/>
      <c r="J450" s="41"/>
      <c r="K450" s="65" t="str">
        <f>IFERROR(VLOOKUP(D450,Sheet4!A$1:M$56,11,FALSE),"")</f>
        <v/>
      </c>
      <c r="L450" s="65" t="str">
        <f t="shared" si="6"/>
        <v/>
      </c>
      <c r="M450" s="14" t="s">
        <v>1829</v>
      </c>
      <c r="N450" s="15">
        <v>44733</v>
      </c>
      <c r="O450" t="s">
        <v>2758</v>
      </c>
      <c r="P450" t="s">
        <v>51</v>
      </c>
      <c r="Q450" t="s">
        <v>52</v>
      </c>
      <c r="R450" t="s">
        <v>53</v>
      </c>
      <c r="S450" t="s">
        <v>175</v>
      </c>
      <c r="T450" t="s">
        <v>2720</v>
      </c>
      <c r="U450" t="s">
        <v>56</v>
      </c>
      <c r="V450" s="21" t="s">
        <v>2759</v>
      </c>
      <c r="W450" s="21"/>
      <c r="X450" t="s">
        <v>2795</v>
      </c>
      <c r="Y450" t="s">
        <v>2796</v>
      </c>
      <c r="AB450" t="s">
        <v>2440</v>
      </c>
      <c r="AC450" t="s">
        <v>1832</v>
      </c>
      <c r="AE450" s="15"/>
      <c r="AG450">
        <v>38.512354999999999</v>
      </c>
      <c r="AH450">
        <v>-90.576186000000007</v>
      </c>
      <c r="AI450" t="s">
        <v>2785</v>
      </c>
      <c r="AL450" t="s">
        <v>1715</v>
      </c>
      <c r="AM450" t="s">
        <v>63</v>
      </c>
      <c r="AN450" t="s">
        <v>2797</v>
      </c>
      <c r="AO450">
        <v>194519</v>
      </c>
      <c r="AQ450" t="s">
        <v>2798</v>
      </c>
      <c r="AR450" t="s">
        <v>2799</v>
      </c>
      <c r="AS450" t="s">
        <v>2800</v>
      </c>
      <c r="AT450" t="s">
        <v>68</v>
      </c>
      <c r="AV450" t="s">
        <v>2801</v>
      </c>
      <c r="AW450" t="s">
        <v>2802</v>
      </c>
      <c r="AX450" t="s">
        <v>2803</v>
      </c>
      <c r="BA450" s="14" t="s">
        <v>72</v>
      </c>
      <c r="BB450" s="14" t="s">
        <v>73</v>
      </c>
      <c r="BC450" s="14" t="s">
        <v>74</v>
      </c>
    </row>
    <row r="451" spans="1:55" ht="15" customHeight="1" x14ac:dyDescent="0.4">
      <c r="A451" s="12">
        <v>3573</v>
      </c>
      <c r="B451" s="21" t="s">
        <v>2804</v>
      </c>
      <c r="C451" s="13" t="s">
        <v>2805</v>
      </c>
      <c r="D451" s="25" t="s">
        <v>2805</v>
      </c>
      <c r="E451" s="13"/>
      <c r="F451" s="41"/>
      <c r="G451" s="41"/>
      <c r="H451" s="41"/>
      <c r="I451" s="41"/>
      <c r="J451" s="41"/>
      <c r="K451" s="65" t="str">
        <f>IFERROR(VLOOKUP(D451,Sheet4!A$1:M$56,11,FALSE),"")</f>
        <v/>
      </c>
      <c r="L451" s="65" t="str">
        <f t="shared" ref="L451:L514" si="7">_xlfn.CONCAT(J451,K451)</f>
        <v/>
      </c>
      <c r="M451" s="14" t="s">
        <v>1878</v>
      </c>
      <c r="N451" s="15">
        <v>44733</v>
      </c>
      <c r="O451" t="s">
        <v>2758</v>
      </c>
      <c r="P451" t="s">
        <v>51</v>
      </c>
      <c r="Q451" t="s">
        <v>52</v>
      </c>
      <c r="R451" t="s">
        <v>53</v>
      </c>
      <c r="S451" t="s">
        <v>175</v>
      </c>
      <c r="T451" t="s">
        <v>2720</v>
      </c>
      <c r="U451" t="s">
        <v>56</v>
      </c>
      <c r="V451" s="21" t="s">
        <v>2759</v>
      </c>
      <c r="W451" s="21"/>
      <c r="X451" t="s">
        <v>2806</v>
      </c>
      <c r="Y451" t="s">
        <v>2807</v>
      </c>
      <c r="AB451" t="s">
        <v>2440</v>
      </c>
      <c r="AC451" t="s">
        <v>1881</v>
      </c>
      <c r="AE451" s="15"/>
      <c r="AG451">
        <v>38.512345000000003</v>
      </c>
      <c r="AH451">
        <v>-90.576353999999995</v>
      </c>
      <c r="AI451" t="s">
        <v>2808</v>
      </c>
      <c r="AL451" t="s">
        <v>1715</v>
      </c>
      <c r="AM451" t="s">
        <v>63</v>
      </c>
      <c r="AN451" t="s">
        <v>2809</v>
      </c>
      <c r="AO451">
        <v>193759</v>
      </c>
      <c r="AQ451" t="s">
        <v>2810</v>
      </c>
      <c r="AR451" t="s">
        <v>2811</v>
      </c>
      <c r="AS451" t="s">
        <v>2812</v>
      </c>
      <c r="AT451" t="s">
        <v>68</v>
      </c>
      <c r="AV451" t="s">
        <v>2813</v>
      </c>
      <c r="AW451" t="s">
        <v>2814</v>
      </c>
      <c r="AX451" t="s">
        <v>2815</v>
      </c>
      <c r="BA451" s="14" t="s">
        <v>72</v>
      </c>
      <c r="BB451" s="14" t="s">
        <v>73</v>
      </c>
      <c r="BC451" s="14" t="s">
        <v>1723</v>
      </c>
    </row>
    <row r="452" spans="1:55" ht="15" customHeight="1" x14ac:dyDescent="0.4">
      <c r="A452" s="12">
        <v>3574</v>
      </c>
      <c r="B452" s="21" t="s">
        <v>2816</v>
      </c>
      <c r="C452" s="13" t="s">
        <v>2817</v>
      </c>
      <c r="D452" s="25" t="s">
        <v>2817</v>
      </c>
      <c r="E452" s="13"/>
      <c r="F452" s="41"/>
      <c r="G452" s="41"/>
      <c r="H452" s="41"/>
      <c r="I452" s="41"/>
      <c r="J452" s="41"/>
      <c r="K452" s="65" t="str">
        <f>IFERROR(VLOOKUP(D452,Sheet4!A$1:M$56,11,FALSE),"")</f>
        <v/>
      </c>
      <c r="L452" s="65" t="str">
        <f t="shared" si="7"/>
        <v/>
      </c>
      <c r="M452" s="14" t="s">
        <v>1752</v>
      </c>
      <c r="N452" s="15">
        <v>44733</v>
      </c>
      <c r="O452" t="s">
        <v>2758</v>
      </c>
      <c r="P452" t="s">
        <v>51</v>
      </c>
      <c r="Q452" t="s">
        <v>52</v>
      </c>
      <c r="R452" t="s">
        <v>53</v>
      </c>
      <c r="S452" t="s">
        <v>175</v>
      </c>
      <c r="T452" t="s">
        <v>2720</v>
      </c>
      <c r="U452" t="s">
        <v>56</v>
      </c>
      <c r="V452" s="21" t="s">
        <v>2759</v>
      </c>
      <c r="W452" s="21"/>
      <c r="X452" t="s">
        <v>2818</v>
      </c>
      <c r="Y452" t="s">
        <v>2819</v>
      </c>
      <c r="AB452" t="s">
        <v>2820</v>
      </c>
      <c r="AC452" t="s">
        <v>1759</v>
      </c>
      <c r="AE452" s="15"/>
      <c r="AG452">
        <v>38.512487</v>
      </c>
      <c r="AH452">
        <v>-90.576479000000006</v>
      </c>
      <c r="AI452" t="s">
        <v>2821</v>
      </c>
      <c r="AL452" t="s">
        <v>1715</v>
      </c>
      <c r="AM452" t="s">
        <v>63</v>
      </c>
      <c r="AN452" t="s">
        <v>2822</v>
      </c>
      <c r="AO452">
        <v>193533</v>
      </c>
      <c r="AQ452" t="s">
        <v>2823</v>
      </c>
      <c r="AR452" t="s">
        <v>2824</v>
      </c>
      <c r="AS452" t="s">
        <v>2825</v>
      </c>
      <c r="AT452" t="s">
        <v>68</v>
      </c>
      <c r="AV452" t="s">
        <v>2826</v>
      </c>
      <c r="AW452" t="s">
        <v>2827</v>
      </c>
      <c r="AX452" t="s">
        <v>2828</v>
      </c>
      <c r="BA452" s="14" t="s">
        <v>72</v>
      </c>
      <c r="BB452" s="14" t="s">
        <v>73</v>
      </c>
      <c r="BC452" s="14" t="s">
        <v>1768</v>
      </c>
    </row>
    <row r="453" spans="1:55" ht="15" customHeight="1" x14ac:dyDescent="0.4">
      <c r="A453" s="12">
        <v>3575</v>
      </c>
      <c r="B453" s="21" t="s">
        <v>2829</v>
      </c>
      <c r="C453" s="13" t="s">
        <v>2830</v>
      </c>
      <c r="D453" s="25" t="s">
        <v>2830</v>
      </c>
      <c r="E453" s="13"/>
      <c r="F453" s="41"/>
      <c r="G453" s="41"/>
      <c r="H453" s="41"/>
      <c r="I453" s="41"/>
      <c r="J453" s="41"/>
      <c r="K453" s="65" t="str">
        <f>IFERROR(VLOOKUP(D453,Sheet4!A$1:M$56,11,FALSE),"")</f>
        <v/>
      </c>
      <c r="L453" s="65" t="str">
        <f t="shared" si="7"/>
        <v/>
      </c>
      <c r="M453" s="14" t="s">
        <v>1829</v>
      </c>
      <c r="N453" s="15">
        <v>44733</v>
      </c>
      <c r="O453" t="s">
        <v>2758</v>
      </c>
      <c r="P453" t="s">
        <v>51</v>
      </c>
      <c r="Q453" t="s">
        <v>52</v>
      </c>
      <c r="R453" t="s">
        <v>53</v>
      </c>
      <c r="S453" t="s">
        <v>175</v>
      </c>
      <c r="T453" t="s">
        <v>2720</v>
      </c>
      <c r="U453" t="s">
        <v>56</v>
      </c>
      <c r="V453" s="21" t="s">
        <v>2759</v>
      </c>
      <c r="W453" s="21"/>
      <c r="X453" t="s">
        <v>2831</v>
      </c>
      <c r="Y453" t="s">
        <v>2832</v>
      </c>
      <c r="AC453" t="s">
        <v>1832</v>
      </c>
      <c r="AE453" s="15"/>
      <c r="AG453">
        <v>38.511719999999997</v>
      </c>
      <c r="AH453">
        <v>-90.575335999999993</v>
      </c>
      <c r="AI453" t="s">
        <v>1856</v>
      </c>
      <c r="AL453" t="s">
        <v>1715</v>
      </c>
      <c r="AM453" t="s">
        <v>63</v>
      </c>
      <c r="AN453" t="s">
        <v>2833</v>
      </c>
      <c r="AO453">
        <v>194520</v>
      </c>
      <c r="AQ453" t="s">
        <v>2834</v>
      </c>
      <c r="AR453" t="s">
        <v>2835</v>
      </c>
      <c r="AS453" t="s">
        <v>2836</v>
      </c>
      <c r="AT453" t="s">
        <v>68</v>
      </c>
      <c r="AV453" t="s">
        <v>2837</v>
      </c>
      <c r="AW453" t="s">
        <v>2838</v>
      </c>
      <c r="AX453" t="s">
        <v>2839</v>
      </c>
      <c r="BA453" s="14" t="s">
        <v>72</v>
      </c>
      <c r="BB453" s="14" t="s">
        <v>73</v>
      </c>
      <c r="BC453" s="14" t="s">
        <v>74</v>
      </c>
    </row>
    <row r="454" spans="1:55" ht="15" customHeight="1" x14ac:dyDescent="0.4">
      <c r="A454" s="12">
        <v>3576</v>
      </c>
      <c r="B454" s="21" t="s">
        <v>2840</v>
      </c>
      <c r="C454" s="13" t="s">
        <v>2841</v>
      </c>
      <c r="D454" s="25" t="s">
        <v>2841</v>
      </c>
      <c r="E454" s="13"/>
      <c r="F454" s="41"/>
      <c r="G454" s="41"/>
      <c r="H454" s="41"/>
      <c r="I454" s="41"/>
      <c r="J454" s="41"/>
      <c r="K454" s="65" t="str">
        <f>IFERROR(VLOOKUP(D454,Sheet4!A$1:M$56,11,FALSE),"")</f>
        <v/>
      </c>
      <c r="L454" s="65" t="str">
        <f t="shared" si="7"/>
        <v/>
      </c>
      <c r="M454" s="14" t="s">
        <v>1829</v>
      </c>
      <c r="N454" s="15">
        <v>44733</v>
      </c>
      <c r="O454" t="s">
        <v>2758</v>
      </c>
      <c r="P454" t="s">
        <v>51</v>
      </c>
      <c r="Q454" t="s">
        <v>52</v>
      </c>
      <c r="R454" t="s">
        <v>53</v>
      </c>
      <c r="S454" t="s">
        <v>175</v>
      </c>
      <c r="T454" t="s">
        <v>2720</v>
      </c>
      <c r="U454" t="s">
        <v>56</v>
      </c>
      <c r="V454" s="21" t="s">
        <v>2759</v>
      </c>
      <c r="W454" s="21"/>
      <c r="X454" t="s">
        <v>2842</v>
      </c>
      <c r="Y454" t="s">
        <v>2843</v>
      </c>
      <c r="AB454" t="s">
        <v>2440</v>
      </c>
      <c r="AC454" t="s">
        <v>1832</v>
      </c>
      <c r="AE454" s="15"/>
      <c r="AG454">
        <v>38.511583999999999</v>
      </c>
      <c r="AH454">
        <v>-90.574960000000004</v>
      </c>
      <c r="AI454" t="s">
        <v>1856</v>
      </c>
      <c r="AL454" t="s">
        <v>1715</v>
      </c>
      <c r="AM454" t="s">
        <v>63</v>
      </c>
      <c r="AN454" t="s">
        <v>2844</v>
      </c>
      <c r="AO454">
        <v>194423</v>
      </c>
      <c r="AQ454" t="s">
        <v>2845</v>
      </c>
      <c r="AR454" t="s">
        <v>2846</v>
      </c>
      <c r="AS454" t="s">
        <v>2847</v>
      </c>
      <c r="AT454" t="s">
        <v>68</v>
      </c>
      <c r="AV454" t="s">
        <v>2848</v>
      </c>
      <c r="AW454" t="s">
        <v>2849</v>
      </c>
      <c r="AX454" t="s">
        <v>2850</v>
      </c>
      <c r="BA454" s="14" t="s">
        <v>72</v>
      </c>
      <c r="BB454" s="14" t="s">
        <v>73</v>
      </c>
      <c r="BC454" s="14" t="s">
        <v>74</v>
      </c>
    </row>
    <row r="455" spans="1:55" ht="15" customHeight="1" x14ac:dyDescent="0.4">
      <c r="A455" s="12">
        <v>3577</v>
      </c>
      <c r="B455" s="21" t="s">
        <v>2851</v>
      </c>
      <c r="C455" s="13" t="s">
        <v>2852</v>
      </c>
      <c r="D455" s="25" t="s">
        <v>2852</v>
      </c>
      <c r="E455" s="13"/>
      <c r="F455" s="41"/>
      <c r="G455" s="41"/>
      <c r="H455" s="41"/>
      <c r="I455" s="41"/>
      <c r="J455" s="41"/>
      <c r="K455" s="65" t="str">
        <f>IFERROR(VLOOKUP(D455,Sheet4!A$1:M$56,11,FALSE),"")</f>
        <v/>
      </c>
      <c r="L455" s="65" t="str">
        <f t="shared" si="7"/>
        <v/>
      </c>
      <c r="M455" s="14" t="s">
        <v>1752</v>
      </c>
      <c r="N455" s="15">
        <v>44733</v>
      </c>
      <c r="O455" t="s">
        <v>2758</v>
      </c>
      <c r="P455" t="s">
        <v>51</v>
      </c>
      <c r="Q455" t="s">
        <v>52</v>
      </c>
      <c r="R455" t="s">
        <v>53</v>
      </c>
      <c r="S455" t="s">
        <v>175</v>
      </c>
      <c r="T455" t="s">
        <v>2720</v>
      </c>
      <c r="U455" t="s">
        <v>56</v>
      </c>
      <c r="V455" s="21" t="s">
        <v>2759</v>
      </c>
      <c r="W455" s="21"/>
      <c r="X455" t="s">
        <v>2853</v>
      </c>
      <c r="Y455" t="s">
        <v>2854</v>
      </c>
      <c r="AB455" t="s">
        <v>2440</v>
      </c>
      <c r="AC455" t="s">
        <v>1759</v>
      </c>
      <c r="AE455" s="15"/>
      <c r="AG455">
        <v>38.513753000000001</v>
      </c>
      <c r="AH455">
        <v>-90.557106000000005</v>
      </c>
      <c r="AI455" t="s">
        <v>2855</v>
      </c>
      <c r="AL455" t="s">
        <v>1715</v>
      </c>
      <c r="AM455" t="s">
        <v>63</v>
      </c>
      <c r="AN455" t="s">
        <v>2856</v>
      </c>
      <c r="AO455">
        <v>193534</v>
      </c>
      <c r="AQ455" t="s">
        <v>2857</v>
      </c>
      <c r="AR455" t="s">
        <v>2858</v>
      </c>
      <c r="AS455" t="s">
        <v>2859</v>
      </c>
      <c r="AT455" t="s">
        <v>68</v>
      </c>
      <c r="AV455" t="s">
        <v>2860</v>
      </c>
      <c r="AW455" t="s">
        <v>2861</v>
      </c>
      <c r="AX455" t="s">
        <v>2862</v>
      </c>
      <c r="BA455" s="14" t="s">
        <v>72</v>
      </c>
      <c r="BB455" s="14" t="s">
        <v>73</v>
      </c>
      <c r="BC455" s="14" t="s">
        <v>1768</v>
      </c>
    </row>
    <row r="456" spans="1:55" ht="15" customHeight="1" x14ac:dyDescent="0.4">
      <c r="A456" s="12">
        <v>3578</v>
      </c>
      <c r="B456" s="21" t="s">
        <v>2863</v>
      </c>
      <c r="C456" s="13" t="s">
        <v>2864</v>
      </c>
      <c r="D456" s="25" t="s">
        <v>2864</v>
      </c>
      <c r="E456" s="13"/>
      <c r="F456" s="41"/>
      <c r="G456" s="41"/>
      <c r="H456" s="41"/>
      <c r="I456" s="41"/>
      <c r="J456" s="41"/>
      <c r="K456" s="65" t="str">
        <f>IFERROR(VLOOKUP(D456,Sheet4!A$1:M$56,11,FALSE),"")</f>
        <v/>
      </c>
      <c r="L456" s="65" t="str">
        <f t="shared" si="7"/>
        <v/>
      </c>
      <c r="M456" s="14" t="s">
        <v>1752</v>
      </c>
      <c r="N456" s="15">
        <v>44733</v>
      </c>
      <c r="O456" t="s">
        <v>2758</v>
      </c>
      <c r="P456" t="s">
        <v>51</v>
      </c>
      <c r="Q456" t="s">
        <v>52</v>
      </c>
      <c r="R456" t="s">
        <v>53</v>
      </c>
      <c r="S456" t="s">
        <v>175</v>
      </c>
      <c r="T456" t="s">
        <v>2720</v>
      </c>
      <c r="U456" t="s">
        <v>56</v>
      </c>
      <c r="V456" s="21" t="s">
        <v>2759</v>
      </c>
      <c r="W456" s="21"/>
      <c r="X456" t="s">
        <v>2865</v>
      </c>
      <c r="Y456" t="s">
        <v>2866</v>
      </c>
      <c r="AB456" t="s">
        <v>2440</v>
      </c>
      <c r="AC456" t="s">
        <v>1759</v>
      </c>
      <c r="AE456" s="15"/>
      <c r="AG456">
        <v>38.514397000000002</v>
      </c>
      <c r="AH456">
        <v>-90.555689000000001</v>
      </c>
      <c r="AI456" t="s">
        <v>491</v>
      </c>
      <c r="AL456" t="s">
        <v>1715</v>
      </c>
      <c r="AM456" t="s">
        <v>63</v>
      </c>
      <c r="AN456" t="s">
        <v>2867</v>
      </c>
      <c r="AO456">
        <v>193535</v>
      </c>
      <c r="AQ456" t="s">
        <v>2868</v>
      </c>
      <c r="AR456" t="s">
        <v>2869</v>
      </c>
      <c r="AS456" t="s">
        <v>2870</v>
      </c>
      <c r="AT456" t="s">
        <v>68</v>
      </c>
      <c r="AV456" t="s">
        <v>2871</v>
      </c>
      <c r="AW456" t="s">
        <v>2872</v>
      </c>
      <c r="AX456" t="s">
        <v>2873</v>
      </c>
      <c r="BA456" s="14" t="s">
        <v>72</v>
      </c>
      <c r="BB456" s="14" t="s">
        <v>73</v>
      </c>
      <c r="BC456" s="14" t="s">
        <v>1768</v>
      </c>
    </row>
    <row r="457" spans="1:55" ht="15" customHeight="1" x14ac:dyDescent="0.4">
      <c r="A457" s="12">
        <v>3579</v>
      </c>
      <c r="B457" s="21" t="s">
        <v>2874</v>
      </c>
      <c r="C457" s="13" t="s">
        <v>2875</v>
      </c>
      <c r="D457" s="25" t="s">
        <v>2875</v>
      </c>
      <c r="E457" s="13"/>
      <c r="F457" s="41"/>
      <c r="G457" s="41"/>
      <c r="H457" s="41"/>
      <c r="I457" s="41"/>
      <c r="J457" s="41"/>
      <c r="K457" s="65" t="str">
        <f>IFERROR(VLOOKUP(D457,Sheet4!A$1:M$56,11,FALSE),"")</f>
        <v/>
      </c>
      <c r="L457" s="65" t="str">
        <f t="shared" si="7"/>
        <v/>
      </c>
      <c r="M457" s="14" t="s">
        <v>1829</v>
      </c>
      <c r="N457" s="15">
        <v>44733</v>
      </c>
      <c r="O457" t="s">
        <v>2758</v>
      </c>
      <c r="P457" t="s">
        <v>51</v>
      </c>
      <c r="Q457" t="s">
        <v>52</v>
      </c>
      <c r="R457" t="s">
        <v>53</v>
      </c>
      <c r="S457" t="s">
        <v>175</v>
      </c>
      <c r="T457" t="s">
        <v>2720</v>
      </c>
      <c r="U457" t="s">
        <v>56</v>
      </c>
      <c r="V457" s="21" t="s">
        <v>2759</v>
      </c>
      <c r="W457" s="21"/>
      <c r="X457" t="s">
        <v>2876</v>
      </c>
      <c r="Y457" t="s">
        <v>2877</v>
      </c>
      <c r="AC457" t="s">
        <v>1832</v>
      </c>
      <c r="AE457" s="15"/>
      <c r="AG457">
        <v>38.514482999999998</v>
      </c>
      <c r="AH457">
        <v>-90.555689000000001</v>
      </c>
      <c r="AI457" t="s">
        <v>2878</v>
      </c>
      <c r="AL457" t="s">
        <v>1715</v>
      </c>
      <c r="AM457" t="s">
        <v>63</v>
      </c>
      <c r="AN457" t="s">
        <v>2879</v>
      </c>
      <c r="AO457">
        <v>194424</v>
      </c>
      <c r="AQ457" t="s">
        <v>2880</v>
      </c>
      <c r="AR457" t="s">
        <v>2881</v>
      </c>
      <c r="AS457" t="s">
        <v>2882</v>
      </c>
      <c r="AT457" t="s">
        <v>68</v>
      </c>
      <c r="AV457" t="s">
        <v>2883</v>
      </c>
      <c r="AW457" t="s">
        <v>2884</v>
      </c>
      <c r="AX457" t="s">
        <v>2885</v>
      </c>
      <c r="BA457" s="14" t="s">
        <v>72</v>
      </c>
      <c r="BB457" s="14" t="s">
        <v>73</v>
      </c>
      <c r="BC457" s="14" t="s">
        <v>74</v>
      </c>
    </row>
    <row r="458" spans="1:55" ht="15" customHeight="1" x14ac:dyDescent="0.4">
      <c r="A458" s="12">
        <v>3580</v>
      </c>
      <c r="B458" s="21" t="s">
        <v>2886</v>
      </c>
      <c r="C458" s="13" t="s">
        <v>2887</v>
      </c>
      <c r="D458" s="25" t="s">
        <v>2887</v>
      </c>
      <c r="E458" s="13"/>
      <c r="F458" s="41"/>
      <c r="G458" s="41"/>
      <c r="H458" s="41"/>
      <c r="I458" s="41"/>
      <c r="J458" s="41"/>
      <c r="K458" s="65" t="str">
        <f>IFERROR(VLOOKUP(D458,Sheet4!A$1:M$56,11,FALSE),"")</f>
        <v/>
      </c>
      <c r="L458" s="65" t="str">
        <f t="shared" si="7"/>
        <v/>
      </c>
      <c r="M458" s="14" t="s">
        <v>1878</v>
      </c>
      <c r="N458" s="15">
        <v>44733</v>
      </c>
      <c r="O458" t="s">
        <v>2758</v>
      </c>
      <c r="P458" t="s">
        <v>51</v>
      </c>
      <c r="Q458" t="s">
        <v>52</v>
      </c>
      <c r="R458" t="s">
        <v>53</v>
      </c>
      <c r="S458" t="s">
        <v>175</v>
      </c>
      <c r="T458" t="s">
        <v>2720</v>
      </c>
      <c r="U458" t="s">
        <v>56</v>
      </c>
      <c r="V458" s="21" t="s">
        <v>2759</v>
      </c>
      <c r="W458" s="21"/>
      <c r="X458" t="s">
        <v>2888</v>
      </c>
      <c r="Y458" t="s">
        <v>2889</v>
      </c>
      <c r="AB458" t="s">
        <v>2440</v>
      </c>
      <c r="AC458" t="s">
        <v>1881</v>
      </c>
      <c r="AE458" s="15"/>
      <c r="AG458">
        <v>38.51341</v>
      </c>
      <c r="AH458">
        <v>-90.557620999999997</v>
      </c>
      <c r="AI458" t="s">
        <v>2890</v>
      </c>
      <c r="AL458" t="s">
        <v>1715</v>
      </c>
      <c r="AM458" t="s">
        <v>63</v>
      </c>
      <c r="AN458" t="s">
        <v>2891</v>
      </c>
      <c r="AO458">
        <v>193912</v>
      </c>
      <c r="AQ458" t="s">
        <v>2892</v>
      </c>
      <c r="AR458" t="s">
        <v>2893</v>
      </c>
      <c r="AS458" t="s">
        <v>2894</v>
      </c>
      <c r="AT458" t="s">
        <v>68</v>
      </c>
      <c r="AV458" t="s">
        <v>2895</v>
      </c>
      <c r="AW458" t="s">
        <v>2896</v>
      </c>
      <c r="AX458" t="s">
        <v>2897</v>
      </c>
      <c r="BA458" s="14" t="s">
        <v>72</v>
      </c>
      <c r="BB458" s="14" t="s">
        <v>73</v>
      </c>
      <c r="BC458" s="14" t="s">
        <v>1723</v>
      </c>
    </row>
    <row r="459" spans="1:55" ht="15" customHeight="1" x14ac:dyDescent="0.4">
      <c r="A459" s="12">
        <v>3581</v>
      </c>
      <c r="B459" s="21" t="s">
        <v>2898</v>
      </c>
      <c r="C459" s="13" t="s">
        <v>2899</v>
      </c>
      <c r="D459" s="25" t="s">
        <v>2899</v>
      </c>
      <c r="E459" s="13"/>
      <c r="F459" s="41"/>
      <c r="G459" s="41"/>
      <c r="H459" s="41"/>
      <c r="I459" s="41"/>
      <c r="J459" s="41"/>
      <c r="K459" s="65" t="str">
        <f>IFERROR(VLOOKUP(D459,Sheet4!A$1:M$56,11,FALSE),"")</f>
        <v/>
      </c>
      <c r="L459" s="65" t="str">
        <f t="shared" si="7"/>
        <v/>
      </c>
      <c r="M459" s="14" t="s">
        <v>1752</v>
      </c>
      <c r="N459" s="15">
        <v>44733</v>
      </c>
      <c r="O459" t="s">
        <v>2758</v>
      </c>
      <c r="P459" t="s">
        <v>51</v>
      </c>
      <c r="Q459" t="s">
        <v>52</v>
      </c>
      <c r="R459" t="s">
        <v>53</v>
      </c>
      <c r="S459" t="s">
        <v>175</v>
      </c>
      <c r="T459" t="s">
        <v>2720</v>
      </c>
      <c r="U459" t="s">
        <v>56</v>
      </c>
      <c r="V459" s="21" t="s">
        <v>2759</v>
      </c>
      <c r="W459" s="21"/>
      <c r="X459" t="s">
        <v>2900</v>
      </c>
      <c r="Y459" t="s">
        <v>2901</v>
      </c>
      <c r="AB459" t="s">
        <v>2440</v>
      </c>
      <c r="AC459" t="s">
        <v>1759</v>
      </c>
      <c r="AE459" s="15"/>
      <c r="AG459">
        <v>38.512873999999996</v>
      </c>
      <c r="AH459">
        <v>-90.557406</v>
      </c>
      <c r="AI459" t="s">
        <v>2902</v>
      </c>
      <c r="AL459" t="s">
        <v>1715</v>
      </c>
      <c r="AM459" t="s">
        <v>63</v>
      </c>
      <c r="AN459" t="s">
        <v>2903</v>
      </c>
      <c r="AO459">
        <v>193536</v>
      </c>
      <c r="AQ459" t="s">
        <v>2904</v>
      </c>
      <c r="AR459" t="s">
        <v>2905</v>
      </c>
      <c r="AS459" t="s">
        <v>2906</v>
      </c>
      <c r="AT459" t="s">
        <v>68</v>
      </c>
      <c r="AV459" t="s">
        <v>2907</v>
      </c>
      <c r="AW459" t="s">
        <v>2908</v>
      </c>
      <c r="AX459" t="s">
        <v>2909</v>
      </c>
      <c r="BA459" s="14" t="s">
        <v>72</v>
      </c>
      <c r="BB459" s="14" t="s">
        <v>73</v>
      </c>
      <c r="BC459" s="14" t="s">
        <v>1768</v>
      </c>
    </row>
    <row r="460" spans="1:55" ht="15" customHeight="1" x14ac:dyDescent="0.4">
      <c r="A460" s="12">
        <v>3582</v>
      </c>
      <c r="B460" s="21" t="s">
        <v>2910</v>
      </c>
      <c r="C460" s="13" t="s">
        <v>2911</v>
      </c>
      <c r="D460" s="25" t="s">
        <v>2911</v>
      </c>
      <c r="E460" s="13"/>
      <c r="F460" s="41"/>
      <c r="G460" s="41"/>
      <c r="H460" s="41"/>
      <c r="I460" s="41"/>
      <c r="J460" s="41"/>
      <c r="K460" s="65" t="str">
        <f>IFERROR(VLOOKUP(D460,Sheet4!A$1:M$56,11,FALSE),"")</f>
        <v/>
      </c>
      <c r="L460" s="65" t="str">
        <f t="shared" si="7"/>
        <v/>
      </c>
      <c r="M460" s="14" t="s">
        <v>1878</v>
      </c>
      <c r="N460" s="15">
        <v>44733</v>
      </c>
      <c r="O460" t="s">
        <v>2758</v>
      </c>
      <c r="P460" t="s">
        <v>51</v>
      </c>
      <c r="Q460" t="s">
        <v>52</v>
      </c>
      <c r="R460" t="s">
        <v>53</v>
      </c>
      <c r="S460" t="s">
        <v>175</v>
      </c>
      <c r="T460" t="s">
        <v>2720</v>
      </c>
      <c r="U460" t="s">
        <v>56</v>
      </c>
      <c r="V460" s="21" t="s">
        <v>2759</v>
      </c>
      <c r="W460" s="21"/>
      <c r="X460" t="s">
        <v>2912</v>
      </c>
      <c r="Y460" t="s">
        <v>2913</v>
      </c>
      <c r="AB460" t="s">
        <v>2440</v>
      </c>
      <c r="AC460" t="s">
        <v>1881</v>
      </c>
      <c r="AE460" s="15"/>
      <c r="AG460">
        <v>38.512509000000001</v>
      </c>
      <c r="AH460">
        <v>-90.557449000000005</v>
      </c>
      <c r="AI460" t="s">
        <v>2914</v>
      </c>
      <c r="AL460" t="s">
        <v>1715</v>
      </c>
      <c r="AM460" t="s">
        <v>63</v>
      </c>
      <c r="AN460" t="s">
        <v>2915</v>
      </c>
      <c r="AO460">
        <v>193913</v>
      </c>
      <c r="AQ460" t="s">
        <v>2916</v>
      </c>
      <c r="AR460" t="s">
        <v>2917</v>
      </c>
      <c r="AS460" t="s">
        <v>2918</v>
      </c>
      <c r="AT460" t="s">
        <v>68</v>
      </c>
      <c r="AV460" t="s">
        <v>2919</v>
      </c>
      <c r="AW460" t="s">
        <v>2920</v>
      </c>
      <c r="AX460" t="s">
        <v>2921</v>
      </c>
      <c r="BA460" s="14" t="s">
        <v>72</v>
      </c>
      <c r="BB460" s="14" t="s">
        <v>73</v>
      </c>
      <c r="BC460" s="14" t="s">
        <v>1723</v>
      </c>
    </row>
    <row r="461" spans="1:55" ht="15" customHeight="1" x14ac:dyDescent="0.4">
      <c r="A461" s="12">
        <v>3583</v>
      </c>
      <c r="B461" s="21" t="s">
        <v>2922</v>
      </c>
      <c r="C461" s="13" t="s">
        <v>2923</v>
      </c>
      <c r="D461" s="25" t="s">
        <v>2923</v>
      </c>
      <c r="E461" s="13"/>
      <c r="F461" s="41"/>
      <c r="G461" s="41"/>
      <c r="H461" s="41"/>
      <c r="I461" s="41"/>
      <c r="J461" s="41"/>
      <c r="K461" s="65" t="str">
        <f>IFERROR(VLOOKUP(D461,Sheet4!A$1:M$56,11,FALSE),"")</f>
        <v/>
      </c>
      <c r="L461" s="65" t="str">
        <f t="shared" si="7"/>
        <v/>
      </c>
      <c r="M461" s="14" t="s">
        <v>1878</v>
      </c>
      <c r="N461" s="15">
        <v>44733</v>
      </c>
      <c r="O461" t="s">
        <v>2758</v>
      </c>
      <c r="P461" t="s">
        <v>51</v>
      </c>
      <c r="Q461" t="s">
        <v>52</v>
      </c>
      <c r="R461" t="s">
        <v>53</v>
      </c>
      <c r="S461" t="s">
        <v>175</v>
      </c>
      <c r="T461" t="s">
        <v>2720</v>
      </c>
      <c r="U461" t="s">
        <v>56</v>
      </c>
      <c r="V461" s="21" t="s">
        <v>2759</v>
      </c>
      <c r="W461" s="21"/>
      <c r="X461" t="s">
        <v>2924</v>
      </c>
      <c r="Y461" t="s">
        <v>2925</v>
      </c>
      <c r="AB461" t="s">
        <v>2440</v>
      </c>
      <c r="AC461" t="s">
        <v>1881</v>
      </c>
      <c r="AE461" s="15"/>
      <c r="AG461">
        <v>38.511951000000003</v>
      </c>
      <c r="AH461">
        <v>-90.558586000000005</v>
      </c>
      <c r="AI461" t="s">
        <v>2926</v>
      </c>
      <c r="AL461" t="s">
        <v>1715</v>
      </c>
      <c r="AM461" t="s">
        <v>63</v>
      </c>
      <c r="AN461" t="s">
        <v>2927</v>
      </c>
      <c r="AO461">
        <v>193914</v>
      </c>
      <c r="AQ461" t="s">
        <v>2928</v>
      </c>
      <c r="AR461" t="s">
        <v>2929</v>
      </c>
      <c r="AS461" t="s">
        <v>2930</v>
      </c>
      <c r="AT461" t="s">
        <v>68</v>
      </c>
      <c r="AV461" t="s">
        <v>2931</v>
      </c>
      <c r="AW461" t="s">
        <v>2932</v>
      </c>
      <c r="AX461" t="s">
        <v>2933</v>
      </c>
      <c r="BA461" s="14" t="s">
        <v>72</v>
      </c>
      <c r="BB461" s="14" t="s">
        <v>73</v>
      </c>
      <c r="BC461" s="14" t="s">
        <v>1723</v>
      </c>
    </row>
    <row r="462" spans="1:55" ht="15" customHeight="1" x14ac:dyDescent="0.4">
      <c r="A462" s="12">
        <v>1929</v>
      </c>
      <c r="B462" t="s">
        <v>172</v>
      </c>
      <c r="D462" t="s">
        <v>173</v>
      </c>
      <c r="E462" s="13"/>
      <c r="F462" s="41"/>
      <c r="G462" s="41"/>
      <c r="H462" s="41"/>
      <c r="I462" s="41"/>
      <c r="J462" s="41"/>
      <c r="K462" s="65" t="str">
        <f>IFERROR(VLOOKUP(D462,Sheet4!A$1:M$56,11,FALSE),"")</f>
        <v/>
      </c>
      <c r="L462" s="65" t="str">
        <f t="shared" si="7"/>
        <v/>
      </c>
      <c r="M462" s="14" t="s">
        <v>49</v>
      </c>
      <c r="N462" s="15">
        <v>42909</v>
      </c>
      <c r="O462" t="s">
        <v>174</v>
      </c>
      <c r="P462" t="s">
        <v>51</v>
      </c>
      <c r="Q462" t="s">
        <v>52</v>
      </c>
      <c r="R462" t="s">
        <v>53</v>
      </c>
      <c r="S462" t="s">
        <v>175</v>
      </c>
      <c r="T462" t="s">
        <v>176</v>
      </c>
      <c r="U462" t="s">
        <v>56</v>
      </c>
      <c r="V462" t="s">
        <v>177</v>
      </c>
      <c r="W462" s="16" t="s">
        <v>178</v>
      </c>
      <c r="X462" t="s">
        <v>179</v>
      </c>
      <c r="AC462" t="s">
        <v>180</v>
      </c>
      <c r="AD462" t="s">
        <v>79</v>
      </c>
      <c r="AE462" s="15">
        <v>45597</v>
      </c>
      <c r="AF462" t="s">
        <v>48</v>
      </c>
      <c r="AG462" s="17"/>
      <c r="AH462" s="17"/>
      <c r="AI462">
        <v>320</v>
      </c>
      <c r="AK462" t="s">
        <v>181</v>
      </c>
      <c r="AL462" t="s">
        <v>62</v>
      </c>
      <c r="AM462" t="s">
        <v>63</v>
      </c>
      <c r="AN462" t="s">
        <v>182</v>
      </c>
      <c r="AO462">
        <v>184694</v>
      </c>
      <c r="AQ462" t="s">
        <v>183</v>
      </c>
      <c r="AR462" t="s">
        <v>184</v>
      </c>
      <c r="AS462" t="s">
        <v>185</v>
      </c>
      <c r="AT462" t="s">
        <v>68</v>
      </c>
      <c r="AV462" t="s">
        <v>186</v>
      </c>
      <c r="AW462" t="s">
        <v>187</v>
      </c>
      <c r="AX462" t="s">
        <v>188</v>
      </c>
      <c r="AY462" s="31" t="s">
        <v>189</v>
      </c>
      <c r="AZ462" s="31" t="s">
        <v>85</v>
      </c>
      <c r="BA462" s="14" t="s">
        <v>72</v>
      </c>
      <c r="BB462" s="14" t="s">
        <v>73</v>
      </c>
      <c r="BC462" s="14" t="s">
        <v>74</v>
      </c>
    </row>
    <row r="463" spans="1:55" ht="15" customHeight="1" x14ac:dyDescent="0.4">
      <c r="A463" s="12">
        <v>1931</v>
      </c>
      <c r="B463" t="s">
        <v>190</v>
      </c>
      <c r="D463" t="s">
        <v>191</v>
      </c>
      <c r="E463" s="13"/>
      <c r="F463" s="41"/>
      <c r="G463" s="41"/>
      <c r="H463" s="41"/>
      <c r="I463" s="41"/>
      <c r="J463" s="41"/>
      <c r="K463" s="65" t="str">
        <f>IFERROR(VLOOKUP(D463,Sheet4!A$1:M$56,11,FALSE),"")</f>
        <v/>
      </c>
      <c r="L463" s="65" t="str">
        <f t="shared" si="7"/>
        <v/>
      </c>
      <c r="M463" s="14" t="s">
        <v>49</v>
      </c>
      <c r="N463" s="15">
        <v>42909</v>
      </c>
      <c r="O463" t="s">
        <v>174</v>
      </c>
      <c r="P463" t="s">
        <v>51</v>
      </c>
      <c r="Q463" t="s">
        <v>52</v>
      </c>
      <c r="R463" t="s">
        <v>53</v>
      </c>
      <c r="S463" t="s">
        <v>175</v>
      </c>
      <c r="T463" t="s">
        <v>176</v>
      </c>
      <c r="U463" t="s">
        <v>56</v>
      </c>
      <c r="V463" t="s">
        <v>177</v>
      </c>
      <c r="W463" s="16" t="s">
        <v>178</v>
      </c>
      <c r="X463" t="s">
        <v>179</v>
      </c>
      <c r="AC463" t="s">
        <v>192</v>
      </c>
      <c r="AE463" s="15"/>
      <c r="AG463" s="17">
        <v>37.157670000000003</v>
      </c>
      <c r="AH463" s="17">
        <v>-91.364739999999998</v>
      </c>
      <c r="AI463" t="s">
        <v>193</v>
      </c>
      <c r="AL463" t="s">
        <v>62</v>
      </c>
      <c r="AM463" t="s">
        <v>63</v>
      </c>
      <c r="AN463" t="s">
        <v>194</v>
      </c>
      <c r="AO463">
        <v>184696</v>
      </c>
      <c r="AQ463" t="s">
        <v>195</v>
      </c>
      <c r="AR463" t="s">
        <v>196</v>
      </c>
      <c r="AS463" t="s">
        <v>197</v>
      </c>
      <c r="AT463" t="s">
        <v>68</v>
      </c>
      <c r="AV463" t="s">
        <v>198</v>
      </c>
      <c r="AW463" t="s">
        <v>199</v>
      </c>
      <c r="AX463" t="s">
        <v>200</v>
      </c>
      <c r="BA463" s="14" t="s">
        <v>72</v>
      </c>
      <c r="BB463" s="14" t="s">
        <v>73</v>
      </c>
      <c r="BC463" s="14" t="s">
        <v>74</v>
      </c>
    </row>
    <row r="464" spans="1:55" ht="15" customHeight="1" x14ac:dyDescent="0.4">
      <c r="A464" s="12">
        <v>1933</v>
      </c>
      <c r="B464" t="s">
        <v>201</v>
      </c>
      <c r="D464" t="s">
        <v>202</v>
      </c>
      <c r="E464" s="13"/>
      <c r="F464" s="41"/>
      <c r="G464" s="41"/>
      <c r="H464" s="41"/>
      <c r="I464" s="41"/>
      <c r="J464" s="41"/>
      <c r="K464" s="65" t="str">
        <f>IFERROR(VLOOKUP(D464,Sheet4!A$1:M$56,11,FALSE),"")</f>
        <v/>
      </c>
      <c r="L464" s="65" t="str">
        <f t="shared" si="7"/>
        <v/>
      </c>
      <c r="M464" s="14" t="s">
        <v>49</v>
      </c>
      <c r="N464" s="15">
        <v>42909</v>
      </c>
      <c r="O464" t="s">
        <v>174</v>
      </c>
      <c r="P464" t="s">
        <v>51</v>
      </c>
      <c r="Q464" t="s">
        <v>52</v>
      </c>
      <c r="R464" t="s">
        <v>53</v>
      </c>
      <c r="S464" t="s">
        <v>175</v>
      </c>
      <c r="T464" t="s">
        <v>176</v>
      </c>
      <c r="U464" t="s">
        <v>56</v>
      </c>
      <c r="V464" t="s">
        <v>177</v>
      </c>
      <c r="W464" s="16" t="s">
        <v>178</v>
      </c>
      <c r="X464" t="s">
        <v>179</v>
      </c>
      <c r="AC464" t="s">
        <v>78</v>
      </c>
      <c r="AD464" t="s">
        <v>79</v>
      </c>
      <c r="AE464" s="15">
        <v>45597</v>
      </c>
      <c r="AF464" t="s">
        <v>48</v>
      </c>
      <c r="AG464" s="17">
        <v>37.156869999999998</v>
      </c>
      <c r="AH464" s="17">
        <v>-91.364710000000002</v>
      </c>
      <c r="AI464" t="s">
        <v>203</v>
      </c>
      <c r="AL464" t="s">
        <v>62</v>
      </c>
      <c r="AM464" t="s">
        <v>63</v>
      </c>
      <c r="AN464" t="s">
        <v>204</v>
      </c>
      <c r="AO464">
        <v>184697</v>
      </c>
      <c r="AQ464" t="s">
        <v>205</v>
      </c>
      <c r="AR464" t="s">
        <v>206</v>
      </c>
      <c r="AS464" t="s">
        <v>207</v>
      </c>
      <c r="AT464" t="s">
        <v>68</v>
      </c>
      <c r="AV464" t="s">
        <v>208</v>
      </c>
      <c r="AW464" t="s">
        <v>209</v>
      </c>
      <c r="AX464" t="s">
        <v>210</v>
      </c>
      <c r="AY464" s="31" t="s">
        <v>211</v>
      </c>
      <c r="AZ464" s="31" t="s">
        <v>85</v>
      </c>
      <c r="BA464" s="14" t="s">
        <v>72</v>
      </c>
      <c r="BB464" s="14" t="s">
        <v>73</v>
      </c>
      <c r="BC464" s="14" t="s">
        <v>74</v>
      </c>
    </row>
    <row r="465" spans="1:55" ht="15" customHeight="1" x14ac:dyDescent="0.4">
      <c r="A465" s="12">
        <v>1934</v>
      </c>
      <c r="B465" t="s">
        <v>212</v>
      </c>
      <c r="D465" t="s">
        <v>213</v>
      </c>
      <c r="E465" s="13"/>
      <c r="F465" s="41"/>
      <c r="G465" s="41"/>
      <c r="H465" s="41"/>
      <c r="I465" s="41"/>
      <c r="J465" s="41"/>
      <c r="K465" s="65" t="str">
        <f>IFERROR(VLOOKUP(D465,Sheet4!A$1:M$56,11,FALSE),"")</f>
        <v/>
      </c>
      <c r="L465" s="65" t="str">
        <f t="shared" si="7"/>
        <v/>
      </c>
      <c r="M465" s="14" t="s">
        <v>49</v>
      </c>
      <c r="N465" s="15">
        <v>42909</v>
      </c>
      <c r="O465" t="s">
        <v>174</v>
      </c>
      <c r="P465" t="s">
        <v>51</v>
      </c>
      <c r="Q465" t="s">
        <v>52</v>
      </c>
      <c r="R465" t="s">
        <v>53</v>
      </c>
      <c r="S465" t="s">
        <v>175</v>
      </c>
      <c r="T465" t="s">
        <v>176</v>
      </c>
      <c r="U465" t="s">
        <v>56</v>
      </c>
      <c r="V465" t="s">
        <v>177</v>
      </c>
      <c r="W465" s="16" t="s">
        <v>214</v>
      </c>
      <c r="X465" t="s">
        <v>179</v>
      </c>
      <c r="AC465" t="s">
        <v>60</v>
      </c>
      <c r="AE465" s="15"/>
      <c r="AG465" s="17">
        <v>37.156860000000002</v>
      </c>
      <c r="AH465" s="17">
        <v>-91.365009999999998</v>
      </c>
      <c r="AI465" t="s">
        <v>215</v>
      </c>
      <c r="AL465" t="s">
        <v>62</v>
      </c>
      <c r="AM465" t="s">
        <v>63</v>
      </c>
      <c r="AN465" t="s">
        <v>216</v>
      </c>
      <c r="AO465">
        <v>186782</v>
      </c>
      <c r="AQ465" t="s">
        <v>217</v>
      </c>
      <c r="AR465" t="s">
        <v>218</v>
      </c>
      <c r="AS465" t="s">
        <v>219</v>
      </c>
      <c r="AT465" t="s">
        <v>68</v>
      </c>
      <c r="AV465" t="s">
        <v>220</v>
      </c>
      <c r="AW465" t="s">
        <v>221</v>
      </c>
      <c r="AX465" t="s">
        <v>222</v>
      </c>
      <c r="BA465" s="14" t="s">
        <v>72</v>
      </c>
      <c r="BB465" s="14" t="s">
        <v>73</v>
      </c>
      <c r="BC465" s="14" t="s">
        <v>74</v>
      </c>
    </row>
    <row r="466" spans="1:55" ht="15" customHeight="1" x14ac:dyDescent="0.4">
      <c r="A466" s="12">
        <v>1935</v>
      </c>
      <c r="B466" t="s">
        <v>223</v>
      </c>
      <c r="D466" t="s">
        <v>224</v>
      </c>
      <c r="E466" s="13"/>
      <c r="F466" s="41"/>
      <c r="G466" s="41"/>
      <c r="H466" s="41"/>
      <c r="I466" s="41"/>
      <c r="J466" s="41"/>
      <c r="K466" s="65" t="str">
        <f>IFERROR(VLOOKUP(D466,Sheet4!A$1:M$56,11,FALSE),"")</f>
        <v/>
      </c>
      <c r="L466" s="65" t="str">
        <f t="shared" si="7"/>
        <v/>
      </c>
      <c r="M466" s="14" t="s">
        <v>49</v>
      </c>
      <c r="N466" s="15">
        <v>42909</v>
      </c>
      <c r="O466" t="s">
        <v>174</v>
      </c>
      <c r="P466" t="s">
        <v>51</v>
      </c>
      <c r="Q466" t="s">
        <v>52</v>
      </c>
      <c r="R466" t="s">
        <v>53</v>
      </c>
      <c r="S466" t="s">
        <v>175</v>
      </c>
      <c r="T466" t="s">
        <v>176</v>
      </c>
      <c r="U466" t="s">
        <v>56</v>
      </c>
      <c r="V466" t="s">
        <v>177</v>
      </c>
      <c r="W466" s="16" t="s">
        <v>214</v>
      </c>
      <c r="X466" t="s">
        <v>179</v>
      </c>
      <c r="AC466" t="s">
        <v>60</v>
      </c>
      <c r="AE466" s="15"/>
      <c r="AG466" s="17">
        <v>37.157260000000001</v>
      </c>
      <c r="AH466" s="17">
        <v>-91.365179999999995</v>
      </c>
      <c r="AI466" t="s">
        <v>225</v>
      </c>
      <c r="AL466" t="s">
        <v>62</v>
      </c>
      <c r="AM466" t="s">
        <v>63</v>
      </c>
      <c r="AN466" t="s">
        <v>226</v>
      </c>
      <c r="AO466">
        <v>186775</v>
      </c>
      <c r="AQ466" s="20" t="s">
        <v>227</v>
      </c>
      <c r="AR466" t="s">
        <v>228</v>
      </c>
      <c r="AS466" t="s">
        <v>229</v>
      </c>
      <c r="AT466" t="s">
        <v>68</v>
      </c>
      <c r="AV466" t="s">
        <v>230</v>
      </c>
      <c r="AW466" t="s">
        <v>231</v>
      </c>
      <c r="AX466" t="s">
        <v>232</v>
      </c>
      <c r="BA466" s="14" t="s">
        <v>72</v>
      </c>
      <c r="BB466" s="14" t="s">
        <v>73</v>
      </c>
      <c r="BC466" s="14" t="s">
        <v>74</v>
      </c>
    </row>
    <row r="467" spans="1:55" ht="15" customHeight="1" x14ac:dyDescent="0.4">
      <c r="A467" s="12">
        <v>1936</v>
      </c>
      <c r="B467" t="s">
        <v>233</v>
      </c>
      <c r="D467" t="s">
        <v>234</v>
      </c>
      <c r="E467" s="13"/>
      <c r="F467" s="41"/>
      <c r="G467" s="41"/>
      <c r="H467" s="41"/>
      <c r="I467" s="41"/>
      <c r="J467" s="41"/>
      <c r="K467" s="65" t="str">
        <f>IFERROR(VLOOKUP(D467,Sheet4!A$1:M$56,11,FALSE),"")</f>
        <v/>
      </c>
      <c r="L467" s="65" t="str">
        <f t="shared" si="7"/>
        <v/>
      </c>
      <c r="M467" s="14" t="s">
        <v>49</v>
      </c>
      <c r="N467" s="15">
        <v>42909</v>
      </c>
      <c r="O467" t="s">
        <v>174</v>
      </c>
      <c r="P467" t="s">
        <v>51</v>
      </c>
      <c r="Q467" t="s">
        <v>52</v>
      </c>
      <c r="R467" t="s">
        <v>53</v>
      </c>
      <c r="S467" t="s">
        <v>175</v>
      </c>
      <c r="T467" t="s">
        <v>176</v>
      </c>
      <c r="U467" t="s">
        <v>56</v>
      </c>
      <c r="V467" t="s">
        <v>177</v>
      </c>
      <c r="W467" s="16" t="s">
        <v>178</v>
      </c>
      <c r="X467" t="s">
        <v>179</v>
      </c>
      <c r="AC467" t="s">
        <v>78</v>
      </c>
      <c r="AD467" t="s">
        <v>79</v>
      </c>
      <c r="AE467" s="15">
        <v>45597</v>
      </c>
      <c r="AF467" t="s">
        <v>48</v>
      </c>
      <c r="AG467" s="17">
        <v>37.157580000000003</v>
      </c>
      <c r="AH467" s="17">
        <v>-91.365129999999994</v>
      </c>
      <c r="AI467" t="s">
        <v>235</v>
      </c>
      <c r="AL467" t="s">
        <v>62</v>
      </c>
      <c r="AM467" t="s">
        <v>63</v>
      </c>
      <c r="AN467" t="s">
        <v>236</v>
      </c>
      <c r="AO467">
        <v>184698</v>
      </c>
      <c r="AQ467" t="s">
        <v>237</v>
      </c>
      <c r="AR467" t="s">
        <v>238</v>
      </c>
      <c r="AS467" t="s">
        <v>239</v>
      </c>
      <c r="AT467" t="s">
        <v>68</v>
      </c>
      <c r="AV467" t="s">
        <v>240</v>
      </c>
      <c r="AW467" t="s">
        <v>241</v>
      </c>
      <c r="AX467" t="s">
        <v>242</v>
      </c>
      <c r="AY467" s="31" t="s">
        <v>243</v>
      </c>
      <c r="AZ467" s="31" t="s">
        <v>85</v>
      </c>
      <c r="BA467" s="14" t="s">
        <v>72</v>
      </c>
      <c r="BB467" s="14" t="s">
        <v>73</v>
      </c>
      <c r="BC467" s="14" t="s">
        <v>74</v>
      </c>
    </row>
    <row r="468" spans="1:55" ht="15" customHeight="1" x14ac:dyDescent="0.4">
      <c r="A468" s="12">
        <v>3860</v>
      </c>
      <c r="B468" s="21" t="s">
        <v>6188</v>
      </c>
      <c r="C468" s="13" t="s">
        <v>6189</v>
      </c>
      <c r="D468" s="25" t="s">
        <v>6189</v>
      </c>
      <c r="E468" s="13"/>
      <c r="F468" s="41"/>
      <c r="G468" s="41"/>
      <c r="H468" s="41"/>
      <c r="I468" s="41"/>
      <c r="J468" s="41"/>
      <c r="K468" s="65" t="str">
        <f>IFERROR(VLOOKUP(D468,Sheet4!A$1:M$56,11,FALSE),"")</f>
        <v/>
      </c>
      <c r="L468" s="65" t="str">
        <f t="shared" si="7"/>
        <v/>
      </c>
      <c r="M468" s="14" t="s">
        <v>1878</v>
      </c>
      <c r="N468" s="15">
        <v>44792</v>
      </c>
      <c r="O468" t="s">
        <v>2719</v>
      </c>
      <c r="P468" t="s">
        <v>51</v>
      </c>
      <c r="Q468" t="s">
        <v>52</v>
      </c>
      <c r="R468" t="s">
        <v>53</v>
      </c>
      <c r="S468" t="s">
        <v>5591</v>
      </c>
      <c r="T468" t="s">
        <v>6176</v>
      </c>
      <c r="U468" t="s">
        <v>56</v>
      </c>
      <c r="V468" s="21" t="s">
        <v>6177</v>
      </c>
      <c r="W468" s="21"/>
      <c r="X468" t="s">
        <v>6190</v>
      </c>
      <c r="Y468" t="s">
        <v>6191</v>
      </c>
      <c r="AC468" t="s">
        <v>1881</v>
      </c>
      <c r="AE468" s="15"/>
      <c r="AG468">
        <v>42.720314000000002</v>
      </c>
      <c r="AH468">
        <v>-73.858947999999998</v>
      </c>
      <c r="AI468" t="s">
        <v>6192</v>
      </c>
      <c r="AL468" t="s">
        <v>1715</v>
      </c>
      <c r="AM468" t="s">
        <v>63</v>
      </c>
      <c r="AN468" t="s">
        <v>6193</v>
      </c>
      <c r="AO468">
        <v>193949</v>
      </c>
      <c r="AQ468" t="s">
        <v>6194</v>
      </c>
      <c r="AR468" t="s">
        <v>6195</v>
      </c>
      <c r="AS468" t="s">
        <v>6196</v>
      </c>
      <c r="AT468" t="s">
        <v>68</v>
      </c>
      <c r="AV468" t="s">
        <v>6197</v>
      </c>
      <c r="AW468" t="s">
        <v>6198</v>
      </c>
      <c r="AX468" t="s">
        <v>6199</v>
      </c>
      <c r="BA468" s="14" t="s">
        <v>72</v>
      </c>
      <c r="BB468" s="14" t="s">
        <v>73</v>
      </c>
      <c r="BC468" s="14" t="s">
        <v>1723</v>
      </c>
    </row>
    <row r="469" spans="1:55" ht="15" customHeight="1" x14ac:dyDescent="0.4">
      <c r="A469" s="12">
        <v>3859</v>
      </c>
      <c r="B469" s="21" t="s">
        <v>6174</v>
      </c>
      <c r="C469" s="13" t="s">
        <v>6175</v>
      </c>
      <c r="D469" s="25" t="s">
        <v>6175</v>
      </c>
      <c r="E469" s="13"/>
      <c r="F469" s="41"/>
      <c r="G469" s="41"/>
      <c r="H469" s="41"/>
      <c r="I469" s="41"/>
      <c r="J469" s="41"/>
      <c r="K469" s="65" t="str">
        <f>IFERROR(VLOOKUP(D469,Sheet4!A$1:M$56,11,FALSE),"")</f>
        <v>Based on ADMIXTURE results of 78,187 SNPs, trace admixed (Q&lt;0.10) with Quercus macrocarpa</v>
      </c>
      <c r="L469" s="65" t="str">
        <f t="shared" si="7"/>
        <v>Based on ADMIXTURE results of 78,187 SNPs, trace admixed (Q&lt;0.10) with Quercus macrocarpa</v>
      </c>
      <c r="M469" s="14" t="s">
        <v>3090</v>
      </c>
      <c r="N469" s="15">
        <v>44792</v>
      </c>
      <c r="O469" t="s">
        <v>2719</v>
      </c>
      <c r="P469" t="s">
        <v>51</v>
      </c>
      <c r="Q469" t="s">
        <v>52</v>
      </c>
      <c r="R469" t="s">
        <v>53</v>
      </c>
      <c r="S469" t="s">
        <v>5591</v>
      </c>
      <c r="T469" t="s">
        <v>6176</v>
      </c>
      <c r="U469" t="s">
        <v>56</v>
      </c>
      <c r="V469" s="21" t="s">
        <v>6177</v>
      </c>
      <c r="W469" s="21"/>
      <c r="X469" t="s">
        <v>6178</v>
      </c>
      <c r="Y469" t="s">
        <v>6179</v>
      </c>
      <c r="AC469" t="s">
        <v>3096</v>
      </c>
      <c r="AE469" s="15"/>
      <c r="AG469">
        <v>42.719489000000003</v>
      </c>
      <c r="AH469">
        <v>-73.860055000000003</v>
      </c>
      <c r="AI469" t="s">
        <v>6180</v>
      </c>
      <c r="AL469" t="s">
        <v>1715</v>
      </c>
      <c r="AM469" t="s">
        <v>63</v>
      </c>
      <c r="AN469" t="s">
        <v>6181</v>
      </c>
      <c r="AO469">
        <v>194552</v>
      </c>
      <c r="AQ469" t="s">
        <v>6182</v>
      </c>
      <c r="AR469" t="s">
        <v>6183</v>
      </c>
      <c r="AS469" t="s">
        <v>6184</v>
      </c>
      <c r="AT469" t="s">
        <v>68</v>
      </c>
      <c r="AV469" t="s">
        <v>6185</v>
      </c>
      <c r="AW469" t="s">
        <v>6186</v>
      </c>
      <c r="AX469" t="s">
        <v>6187</v>
      </c>
      <c r="BA469" s="14" t="s">
        <v>72</v>
      </c>
      <c r="BB469" s="14" t="s">
        <v>73</v>
      </c>
      <c r="BC469" s="14" t="s">
        <v>74</v>
      </c>
    </row>
    <row r="470" spans="1:55" ht="15" customHeight="1" x14ac:dyDescent="0.4">
      <c r="A470" s="12">
        <v>3861</v>
      </c>
      <c r="B470" s="21" t="s">
        <v>6200</v>
      </c>
      <c r="C470" s="13" t="s">
        <v>6201</v>
      </c>
      <c r="D470" s="25" t="s">
        <v>6201</v>
      </c>
      <c r="E470" s="13"/>
      <c r="F470" s="41"/>
      <c r="G470" s="41"/>
      <c r="H470" s="41"/>
      <c r="I470" s="41"/>
      <c r="J470" s="41"/>
      <c r="K470" s="65" t="str">
        <f>IFERROR(VLOOKUP(D470,Sheet4!A$1:M$56,11,FALSE),"")</f>
        <v>Based on ADMIXTURE results of 78,187 SNPs, trace admixed (Q&lt;0.10) with Quercus macrocarpa</v>
      </c>
      <c r="L470" s="65" t="str">
        <f t="shared" si="7"/>
        <v>Based on ADMIXTURE results of 78,187 SNPs, trace admixed (Q&lt;0.10) with Quercus macrocarpa</v>
      </c>
      <c r="M470" s="14" t="s">
        <v>3090</v>
      </c>
      <c r="N470" s="15">
        <v>44792</v>
      </c>
      <c r="O470" t="s">
        <v>2719</v>
      </c>
      <c r="P470" t="s">
        <v>51</v>
      </c>
      <c r="Q470" t="s">
        <v>52</v>
      </c>
      <c r="R470" t="s">
        <v>53</v>
      </c>
      <c r="S470" t="s">
        <v>5591</v>
      </c>
      <c r="T470" t="s">
        <v>6176</v>
      </c>
      <c r="U470" t="s">
        <v>56</v>
      </c>
      <c r="V470" s="21" t="s">
        <v>6177</v>
      </c>
      <c r="W470" s="21"/>
      <c r="X470" t="s">
        <v>6202</v>
      </c>
      <c r="Y470" t="s">
        <v>6203</v>
      </c>
      <c r="AB470" t="s">
        <v>1758</v>
      </c>
      <c r="AC470" t="s">
        <v>3096</v>
      </c>
      <c r="AE470" s="15"/>
      <c r="AG470">
        <v>42.720207000000002</v>
      </c>
      <c r="AH470">
        <v>-73.858750999999998</v>
      </c>
      <c r="AI470" t="s">
        <v>6192</v>
      </c>
      <c r="AL470" t="s">
        <v>1715</v>
      </c>
      <c r="AM470" t="s">
        <v>63</v>
      </c>
      <c r="AN470" t="s">
        <v>6204</v>
      </c>
      <c r="AO470">
        <v>194551</v>
      </c>
      <c r="AQ470" t="s">
        <v>6205</v>
      </c>
      <c r="AR470" t="s">
        <v>6206</v>
      </c>
      <c r="AS470" t="s">
        <v>6207</v>
      </c>
      <c r="AT470" t="s">
        <v>68</v>
      </c>
      <c r="AV470" t="s">
        <v>6208</v>
      </c>
      <c r="AW470" t="s">
        <v>6209</v>
      </c>
      <c r="AX470" t="s">
        <v>6210</v>
      </c>
      <c r="BA470" s="14" t="s">
        <v>72</v>
      </c>
      <c r="BB470" s="14" t="s">
        <v>73</v>
      </c>
      <c r="BC470" s="14" t="s">
        <v>74</v>
      </c>
    </row>
    <row r="471" spans="1:55" ht="15" customHeight="1" x14ac:dyDescent="0.4">
      <c r="A471" s="12">
        <v>3862</v>
      </c>
      <c r="B471" s="21" t="s">
        <v>6211</v>
      </c>
      <c r="C471" s="13" t="s">
        <v>6212</v>
      </c>
      <c r="D471" s="25" t="s">
        <v>6212</v>
      </c>
      <c r="E471" s="13"/>
      <c r="F471" s="41"/>
      <c r="G471" s="41"/>
      <c r="H471" s="41"/>
      <c r="I471" s="41"/>
      <c r="J471" s="41" t="s">
        <v>8179</v>
      </c>
      <c r="K471" s="65" t="str">
        <f>IFERROR(VLOOKUP(D471,Sheet4!A$1:M$56,11,FALSE),"")</f>
        <v/>
      </c>
      <c r="L471" s="65" t="str">
        <f t="shared" si="7"/>
        <v>May have genomic admixture with Q. muehlenbergii</v>
      </c>
      <c r="M471" s="14" t="s">
        <v>3090</v>
      </c>
      <c r="N471" s="15">
        <v>44792</v>
      </c>
      <c r="O471" t="s">
        <v>2719</v>
      </c>
      <c r="P471" t="s">
        <v>51</v>
      </c>
      <c r="Q471" t="s">
        <v>52</v>
      </c>
      <c r="R471" t="s">
        <v>53</v>
      </c>
      <c r="S471" t="s">
        <v>5591</v>
      </c>
      <c r="T471" t="s">
        <v>6176</v>
      </c>
      <c r="U471" t="s">
        <v>56</v>
      </c>
      <c r="V471" s="21" t="s">
        <v>6177</v>
      </c>
      <c r="W471" s="21"/>
      <c r="X471" t="s">
        <v>6213</v>
      </c>
      <c r="Y471" t="s">
        <v>6214</v>
      </c>
      <c r="AB471" t="s">
        <v>1758</v>
      </c>
      <c r="AC471" t="s">
        <v>3096</v>
      </c>
      <c r="AE471" s="15"/>
      <c r="AG471">
        <v>42.718048000000003</v>
      </c>
      <c r="AH471">
        <v>-73.855642000000003</v>
      </c>
      <c r="AI471" t="s">
        <v>6215</v>
      </c>
      <c r="AL471" t="s">
        <v>1715</v>
      </c>
      <c r="AM471" t="s">
        <v>63</v>
      </c>
      <c r="AN471" t="s">
        <v>6216</v>
      </c>
      <c r="AO471">
        <v>194550</v>
      </c>
      <c r="AQ471" t="s">
        <v>6217</v>
      </c>
      <c r="AR471" t="s">
        <v>6218</v>
      </c>
      <c r="AS471" t="s">
        <v>6219</v>
      </c>
      <c r="AT471" t="s">
        <v>68</v>
      </c>
      <c r="AV471" t="s">
        <v>6220</v>
      </c>
      <c r="AW471" t="s">
        <v>6221</v>
      </c>
      <c r="AX471" t="s">
        <v>6222</v>
      </c>
      <c r="BA471" s="14" t="s">
        <v>72</v>
      </c>
      <c r="BB471" s="14" t="s">
        <v>73</v>
      </c>
      <c r="BC471" s="14" t="s">
        <v>74</v>
      </c>
    </row>
    <row r="472" spans="1:55" ht="15" customHeight="1" x14ac:dyDescent="0.4">
      <c r="A472" s="12">
        <v>3863</v>
      </c>
      <c r="B472" s="21" t="s">
        <v>6223</v>
      </c>
      <c r="C472" s="13" t="s">
        <v>6224</v>
      </c>
      <c r="D472" s="25" t="s">
        <v>6224</v>
      </c>
      <c r="E472" s="13"/>
      <c r="F472" s="41"/>
      <c r="G472" s="41"/>
      <c r="H472" s="41"/>
      <c r="I472" s="41"/>
      <c r="J472" s="41" t="s">
        <v>8179</v>
      </c>
      <c r="K472" s="65" t="str">
        <f>IFERROR(VLOOKUP(D472,Sheet4!A$1:M$56,11,FALSE),"")</f>
        <v>Based on ADMIXTURE results of 78,187 SNPs, trace admixed (Q&lt;0.10) with Quercus macrocarpa</v>
      </c>
      <c r="L472" s="65" t="str">
        <f t="shared" si="7"/>
        <v>May have genomic admixture with Q. muehlenbergiiBased on ADMIXTURE results of 78,187 SNPs, trace admixed (Q&lt;0.10) with Quercus macrocarpa</v>
      </c>
      <c r="M472" s="14" t="s">
        <v>3090</v>
      </c>
      <c r="N472" s="15">
        <v>44792</v>
      </c>
      <c r="O472" t="s">
        <v>2719</v>
      </c>
      <c r="P472" t="s">
        <v>51</v>
      </c>
      <c r="Q472" t="s">
        <v>52</v>
      </c>
      <c r="R472" t="s">
        <v>53</v>
      </c>
      <c r="S472" t="s">
        <v>5591</v>
      </c>
      <c r="T472" t="s">
        <v>6176</v>
      </c>
      <c r="U472" t="s">
        <v>56</v>
      </c>
      <c r="V472" s="21" t="s">
        <v>6177</v>
      </c>
      <c r="W472" s="21"/>
      <c r="X472" t="s">
        <v>6225</v>
      </c>
      <c r="Y472" t="s">
        <v>6226</v>
      </c>
      <c r="AB472" t="s">
        <v>1758</v>
      </c>
      <c r="AC472" t="s">
        <v>3096</v>
      </c>
      <c r="AE472" s="15"/>
      <c r="AG472">
        <v>42.717212000000004</v>
      </c>
      <c r="AH472">
        <v>-73.855942999999996</v>
      </c>
      <c r="AI472" t="s">
        <v>6192</v>
      </c>
      <c r="AL472" t="s">
        <v>1715</v>
      </c>
      <c r="AM472" t="s">
        <v>63</v>
      </c>
      <c r="AN472" t="s">
        <v>6227</v>
      </c>
      <c r="AO472">
        <v>194549</v>
      </c>
      <c r="AQ472" t="s">
        <v>6228</v>
      </c>
      <c r="AR472" t="s">
        <v>6229</v>
      </c>
      <c r="AS472" t="s">
        <v>6230</v>
      </c>
      <c r="AT472" t="s">
        <v>68</v>
      </c>
      <c r="AV472" t="s">
        <v>6231</v>
      </c>
      <c r="AW472" t="s">
        <v>6232</v>
      </c>
      <c r="AX472" t="s">
        <v>6233</v>
      </c>
      <c r="BA472" s="14" t="s">
        <v>72</v>
      </c>
      <c r="BB472" s="14" t="s">
        <v>73</v>
      </c>
      <c r="BC472" s="14" t="s">
        <v>74</v>
      </c>
    </row>
    <row r="473" spans="1:55" ht="15" customHeight="1" x14ac:dyDescent="0.4">
      <c r="A473" s="12">
        <v>3864</v>
      </c>
      <c r="B473" s="21" t="s">
        <v>6234</v>
      </c>
      <c r="C473" s="13" t="s">
        <v>6235</v>
      </c>
      <c r="D473" s="25" t="s">
        <v>6235</v>
      </c>
      <c r="E473" s="13"/>
      <c r="F473" s="41"/>
      <c r="G473" s="41"/>
      <c r="H473" s="41"/>
      <c r="I473" s="41"/>
      <c r="J473" s="41"/>
      <c r="K473" s="65" t="str">
        <f>IFERROR(VLOOKUP(D473,Sheet4!A$1:M$56,11,FALSE),"")</f>
        <v/>
      </c>
      <c r="L473" s="65" t="str">
        <f t="shared" si="7"/>
        <v/>
      </c>
      <c r="M473" s="14" t="s">
        <v>1878</v>
      </c>
      <c r="N473" s="15">
        <v>44792</v>
      </c>
      <c r="O473" t="s">
        <v>2719</v>
      </c>
      <c r="P473" t="s">
        <v>51</v>
      </c>
      <c r="Q473" t="s">
        <v>52</v>
      </c>
      <c r="R473" t="s">
        <v>53</v>
      </c>
      <c r="S473" t="s">
        <v>5591</v>
      </c>
      <c r="T473" t="s">
        <v>6176</v>
      </c>
      <c r="U473" t="s">
        <v>56</v>
      </c>
      <c r="V473" s="21" t="s">
        <v>6177</v>
      </c>
      <c r="W473" s="21"/>
      <c r="X473" t="s">
        <v>6236</v>
      </c>
      <c r="Y473" t="s">
        <v>6237</v>
      </c>
      <c r="AB473" t="s">
        <v>1758</v>
      </c>
      <c r="AC473" t="s">
        <v>1881</v>
      </c>
      <c r="AE473" s="15"/>
      <c r="AG473">
        <v>42.717061999999999</v>
      </c>
      <c r="AH473">
        <v>-73.855643999999998</v>
      </c>
      <c r="AI473" t="s">
        <v>6238</v>
      </c>
      <c r="AL473" t="s">
        <v>1715</v>
      </c>
      <c r="AM473" t="s">
        <v>63</v>
      </c>
      <c r="AN473" t="s">
        <v>6239</v>
      </c>
      <c r="AO473">
        <v>193950</v>
      </c>
      <c r="AQ473" t="s">
        <v>6240</v>
      </c>
      <c r="AR473" t="s">
        <v>6241</v>
      </c>
      <c r="AS473" t="s">
        <v>6242</v>
      </c>
      <c r="AT473" t="s">
        <v>68</v>
      </c>
      <c r="AV473" t="s">
        <v>6243</v>
      </c>
      <c r="AW473" t="s">
        <v>6244</v>
      </c>
      <c r="AX473" t="s">
        <v>6245</v>
      </c>
      <c r="BA473" s="14" t="s">
        <v>72</v>
      </c>
      <c r="BB473" s="14" t="s">
        <v>73</v>
      </c>
      <c r="BC473" s="14" t="s">
        <v>1723</v>
      </c>
    </row>
    <row r="474" spans="1:55" ht="15" customHeight="1" x14ac:dyDescent="0.4">
      <c r="A474" s="12">
        <v>3865</v>
      </c>
      <c r="B474" s="21" t="s">
        <v>6246</v>
      </c>
      <c r="C474" s="13" t="s">
        <v>6247</v>
      </c>
      <c r="D474" s="25" t="s">
        <v>6247</v>
      </c>
      <c r="E474" s="13"/>
      <c r="F474" s="41"/>
      <c r="G474" s="41"/>
      <c r="H474" s="41"/>
      <c r="I474" s="41"/>
      <c r="J474" s="41"/>
      <c r="K474" s="65" t="str">
        <f>IFERROR(VLOOKUP(D474,Sheet4!A$1:M$56,11,FALSE),"")</f>
        <v/>
      </c>
      <c r="L474" s="65" t="str">
        <f t="shared" si="7"/>
        <v/>
      </c>
      <c r="M474" s="14" t="s">
        <v>1878</v>
      </c>
      <c r="N474" s="15">
        <v>44792</v>
      </c>
      <c r="O474" t="s">
        <v>2719</v>
      </c>
      <c r="P474" t="s">
        <v>51</v>
      </c>
      <c r="Q474" t="s">
        <v>52</v>
      </c>
      <c r="R474" t="s">
        <v>53</v>
      </c>
      <c r="S474" t="s">
        <v>5591</v>
      </c>
      <c r="T474" t="s">
        <v>6176</v>
      </c>
      <c r="U474" t="s">
        <v>56</v>
      </c>
      <c r="V474" s="21" t="s">
        <v>6177</v>
      </c>
      <c r="W474" s="21"/>
      <c r="X474" t="s">
        <v>6248</v>
      </c>
      <c r="Y474" t="s">
        <v>6249</v>
      </c>
      <c r="AC474" t="s">
        <v>1881</v>
      </c>
      <c r="AE474" s="15"/>
      <c r="AG474">
        <v>42.716617999999997</v>
      </c>
      <c r="AH474">
        <v>-73.854881000000006</v>
      </c>
      <c r="AI474" t="s">
        <v>6250</v>
      </c>
      <c r="AL474" t="s">
        <v>1715</v>
      </c>
      <c r="AM474" t="s">
        <v>63</v>
      </c>
      <c r="AN474" t="s">
        <v>6251</v>
      </c>
      <c r="AO474">
        <v>193951</v>
      </c>
      <c r="AQ474" t="s">
        <v>6252</v>
      </c>
      <c r="AR474" t="s">
        <v>6253</v>
      </c>
      <c r="AS474" t="s">
        <v>6254</v>
      </c>
      <c r="AT474" t="s">
        <v>68</v>
      </c>
      <c r="AV474" t="s">
        <v>6255</v>
      </c>
      <c r="AW474" t="s">
        <v>6256</v>
      </c>
      <c r="AX474" t="s">
        <v>6257</v>
      </c>
      <c r="BA474" s="14" t="s">
        <v>72</v>
      </c>
      <c r="BB474" s="14" t="s">
        <v>73</v>
      </c>
      <c r="BC474" s="14" t="s">
        <v>1723</v>
      </c>
    </row>
    <row r="475" spans="1:55" ht="15" customHeight="1" x14ac:dyDescent="0.4">
      <c r="A475" s="12">
        <v>3866</v>
      </c>
      <c r="B475" s="21" t="s">
        <v>6258</v>
      </c>
      <c r="C475" s="13" t="s">
        <v>6259</v>
      </c>
      <c r="D475" s="25" t="s">
        <v>6259</v>
      </c>
      <c r="E475" s="13"/>
      <c r="F475" s="41"/>
      <c r="G475" s="41"/>
      <c r="H475" s="41"/>
      <c r="I475" s="41"/>
      <c r="J475" s="41"/>
      <c r="K475" s="65" t="str">
        <f>IFERROR(VLOOKUP(D475,Sheet4!A$1:M$56,11,FALSE),"")</f>
        <v/>
      </c>
      <c r="L475" s="65" t="str">
        <f t="shared" si="7"/>
        <v/>
      </c>
      <c r="M475" s="14" t="s">
        <v>1878</v>
      </c>
      <c r="N475" s="15">
        <v>44792</v>
      </c>
      <c r="O475" t="s">
        <v>2719</v>
      </c>
      <c r="P475" t="s">
        <v>51</v>
      </c>
      <c r="Q475" t="s">
        <v>52</v>
      </c>
      <c r="R475" t="s">
        <v>53</v>
      </c>
      <c r="S475" t="s">
        <v>5591</v>
      </c>
      <c r="T475" t="s">
        <v>6176</v>
      </c>
      <c r="U475" t="s">
        <v>56</v>
      </c>
      <c r="V475" s="21" t="s">
        <v>6177</v>
      </c>
      <c r="W475" s="21"/>
      <c r="X475" t="s">
        <v>6260</v>
      </c>
      <c r="Y475" t="s">
        <v>6261</v>
      </c>
      <c r="AB475" t="s">
        <v>1758</v>
      </c>
      <c r="AC475" t="s">
        <v>1881</v>
      </c>
      <c r="AE475" s="15"/>
      <c r="AG475">
        <v>42.715933999999997</v>
      </c>
      <c r="AH475">
        <v>-73.853837999999996</v>
      </c>
      <c r="AI475" t="s">
        <v>6262</v>
      </c>
      <c r="AL475" t="s">
        <v>1715</v>
      </c>
      <c r="AM475" t="s">
        <v>63</v>
      </c>
      <c r="AN475" t="s">
        <v>6263</v>
      </c>
      <c r="AO475">
        <v>193952</v>
      </c>
      <c r="AQ475" t="s">
        <v>6264</v>
      </c>
      <c r="AR475" t="s">
        <v>6265</v>
      </c>
      <c r="AS475" t="s">
        <v>6266</v>
      </c>
      <c r="AT475" t="s">
        <v>68</v>
      </c>
      <c r="AV475" t="s">
        <v>6267</v>
      </c>
      <c r="AW475" t="s">
        <v>6268</v>
      </c>
      <c r="AX475" t="s">
        <v>6269</v>
      </c>
      <c r="BA475" s="14" t="s">
        <v>72</v>
      </c>
      <c r="BB475" s="14" t="s">
        <v>73</v>
      </c>
      <c r="BC475" s="14" t="s">
        <v>1723</v>
      </c>
    </row>
    <row r="476" spans="1:55" ht="15" customHeight="1" x14ac:dyDescent="0.4">
      <c r="A476" s="12">
        <v>3867</v>
      </c>
      <c r="B476" s="21" t="s">
        <v>6270</v>
      </c>
      <c r="C476" s="13" t="s">
        <v>6271</v>
      </c>
      <c r="D476" s="25" t="s">
        <v>6271</v>
      </c>
      <c r="E476" s="13"/>
      <c r="F476" s="41"/>
      <c r="G476" s="41"/>
      <c r="H476" s="41"/>
      <c r="I476" s="41"/>
      <c r="J476" s="41" t="s">
        <v>8179</v>
      </c>
      <c r="K476" s="65" t="str">
        <f>IFERROR(VLOOKUP(D476,Sheet4!A$1:M$56,11,FALSE),"")</f>
        <v>Based on ADMIXTURE results of 78,187 SNPs, trace admixed (Q&lt;0.10) with Quercus macrocarpa</v>
      </c>
      <c r="L476" s="65" t="str">
        <f t="shared" si="7"/>
        <v>May have genomic admixture with Q. muehlenbergiiBased on ADMIXTURE results of 78,187 SNPs, trace admixed (Q&lt;0.10) with Quercus macrocarpa</v>
      </c>
      <c r="M476" s="14" t="s">
        <v>3090</v>
      </c>
      <c r="N476" s="15">
        <v>44792</v>
      </c>
      <c r="O476" t="s">
        <v>2719</v>
      </c>
      <c r="P476" t="s">
        <v>51</v>
      </c>
      <c r="Q476" t="s">
        <v>52</v>
      </c>
      <c r="R476" t="s">
        <v>53</v>
      </c>
      <c r="S476" t="s">
        <v>5591</v>
      </c>
      <c r="T476" t="s">
        <v>6176</v>
      </c>
      <c r="U476" t="s">
        <v>56</v>
      </c>
      <c r="V476" s="21" t="s">
        <v>6177</v>
      </c>
      <c r="W476" s="21"/>
      <c r="X476" t="s">
        <v>6272</v>
      </c>
      <c r="Y476" t="s">
        <v>6273</v>
      </c>
      <c r="AB476" t="s">
        <v>1758</v>
      </c>
      <c r="AC476" t="s">
        <v>3096</v>
      </c>
      <c r="AE476" s="15"/>
      <c r="AG476">
        <v>42.716000999999999</v>
      </c>
      <c r="AH476">
        <v>-73.853819000000001</v>
      </c>
      <c r="AI476" t="s">
        <v>6274</v>
      </c>
      <c r="AL476" t="s">
        <v>1715</v>
      </c>
      <c r="AM476" t="s">
        <v>63</v>
      </c>
      <c r="AN476" t="s">
        <v>6275</v>
      </c>
      <c r="AO476">
        <v>194548</v>
      </c>
      <c r="AQ476" t="s">
        <v>6276</v>
      </c>
      <c r="AR476" t="s">
        <v>6277</v>
      </c>
      <c r="AS476" t="s">
        <v>6278</v>
      </c>
      <c r="AT476" t="s">
        <v>68</v>
      </c>
      <c r="AV476" t="s">
        <v>6279</v>
      </c>
      <c r="AW476" t="s">
        <v>6280</v>
      </c>
      <c r="AX476" t="s">
        <v>6281</v>
      </c>
      <c r="BA476" s="14" t="s">
        <v>72</v>
      </c>
      <c r="BB476" s="14" t="s">
        <v>73</v>
      </c>
      <c r="BC476" s="14" t="s">
        <v>74</v>
      </c>
    </row>
    <row r="477" spans="1:55" ht="15" customHeight="1" x14ac:dyDescent="0.4">
      <c r="A477" s="12">
        <v>3810</v>
      </c>
      <c r="B477" s="21" t="s">
        <v>5589</v>
      </c>
      <c r="C477" s="13" t="s">
        <v>5590</v>
      </c>
      <c r="D477" s="25" t="s">
        <v>5590</v>
      </c>
      <c r="E477" s="13"/>
      <c r="F477" s="41" t="s">
        <v>2222</v>
      </c>
      <c r="G477" s="58" t="s">
        <v>8143</v>
      </c>
      <c r="H477" s="58"/>
      <c r="I477" s="45"/>
      <c r="J477" s="45"/>
      <c r="K477" s="65" t="str">
        <f>IFERROR(VLOOKUP(D477,Sheet4!A$1:M$56,11,FALSE),"")</f>
        <v>Based on ADMIXTURE results of 78,187 SNPs, admixed with Quercus macrocarpa</v>
      </c>
      <c r="L477" s="65" t="str">
        <f t="shared" si="7"/>
        <v>Based on ADMIXTURE results of 78,187 SNPs, admixed with Quercus macrocarpa</v>
      </c>
      <c r="M477" s="14" t="s">
        <v>49</v>
      </c>
      <c r="N477" s="15">
        <v>44788</v>
      </c>
      <c r="O477" t="s">
        <v>2719</v>
      </c>
      <c r="P477" t="s">
        <v>51</v>
      </c>
      <c r="Q477" t="s">
        <v>52</v>
      </c>
      <c r="R477" t="s">
        <v>53</v>
      </c>
      <c r="S477" t="s">
        <v>5591</v>
      </c>
      <c r="T477" t="s">
        <v>5592</v>
      </c>
      <c r="U477" t="s">
        <v>56</v>
      </c>
      <c r="V477" s="21" t="s">
        <v>5593</v>
      </c>
      <c r="W477" s="21"/>
      <c r="X477" t="s">
        <v>5594</v>
      </c>
      <c r="Y477" t="s">
        <v>5595</v>
      </c>
      <c r="AB477" t="s">
        <v>1758</v>
      </c>
      <c r="AC477" t="s">
        <v>60</v>
      </c>
      <c r="AE477" s="15"/>
      <c r="AG477">
        <v>43.057822999999999</v>
      </c>
      <c r="AH477">
        <v>-78.971293000000003</v>
      </c>
      <c r="AI477" t="s">
        <v>5596</v>
      </c>
      <c r="AL477" t="s">
        <v>1715</v>
      </c>
      <c r="AM477" t="s">
        <v>63</v>
      </c>
      <c r="AN477" t="s">
        <v>5597</v>
      </c>
      <c r="AO477">
        <v>192546</v>
      </c>
      <c r="AQ477" t="s">
        <v>5598</v>
      </c>
      <c r="AR477" t="s">
        <v>5599</v>
      </c>
      <c r="AS477" t="s">
        <v>5600</v>
      </c>
      <c r="AT477" t="s">
        <v>68</v>
      </c>
      <c r="AV477" t="s">
        <v>5601</v>
      </c>
      <c r="AW477" t="s">
        <v>5602</v>
      </c>
      <c r="AX477" t="s">
        <v>5603</v>
      </c>
      <c r="BA477" s="14" t="s">
        <v>72</v>
      </c>
      <c r="BB477" s="14" t="s">
        <v>73</v>
      </c>
      <c r="BC477" s="14" t="s">
        <v>74</v>
      </c>
    </row>
    <row r="478" spans="1:55" ht="15" customHeight="1" x14ac:dyDescent="0.4">
      <c r="A478" s="12">
        <v>3811</v>
      </c>
      <c r="B478" s="21" t="s">
        <v>5604</v>
      </c>
      <c r="C478" s="13" t="s">
        <v>5605</v>
      </c>
      <c r="D478" s="25" t="s">
        <v>5605</v>
      </c>
      <c r="E478" s="13"/>
      <c r="F478" s="43" t="s">
        <v>49</v>
      </c>
      <c r="G478" s="43" t="s">
        <v>8095</v>
      </c>
      <c r="H478" s="43" t="s">
        <v>8101</v>
      </c>
      <c r="I478" s="43"/>
      <c r="J478" s="43"/>
      <c r="K478" s="65" t="str">
        <f>IFERROR(VLOOKUP(D478,Sheet4!A$1:M$56,11,FALSE),"")</f>
        <v>Based on ADMIXTURE results of 78,187 SNPs, trace admixed (Q&lt;0.10) with Quercus bicolor</v>
      </c>
      <c r="L478" s="65" t="str">
        <f t="shared" si="7"/>
        <v>Based on ADMIXTURE results of 78,187 SNPs, trace admixed (Q&lt;0.10) with Quercus bicolor</v>
      </c>
      <c r="M478" s="14" t="s">
        <v>49</v>
      </c>
      <c r="N478" s="15">
        <v>44788</v>
      </c>
      <c r="O478" t="s">
        <v>2719</v>
      </c>
      <c r="P478" t="s">
        <v>51</v>
      </c>
      <c r="Q478" t="s">
        <v>52</v>
      </c>
      <c r="R478" t="s">
        <v>53</v>
      </c>
      <c r="S478" t="s">
        <v>5591</v>
      </c>
      <c r="T478" t="s">
        <v>5592</v>
      </c>
      <c r="U478" t="s">
        <v>56</v>
      </c>
      <c r="V478" s="21" t="s">
        <v>5593</v>
      </c>
      <c r="W478" s="21"/>
      <c r="X478" t="s">
        <v>5606</v>
      </c>
      <c r="Y478" t="s">
        <v>5607</v>
      </c>
      <c r="AC478" t="s">
        <v>60</v>
      </c>
      <c r="AE478" s="15"/>
      <c r="AG478">
        <v>43.059486999999997</v>
      </c>
      <c r="AH478">
        <v>-78.972201999999996</v>
      </c>
      <c r="AI478" t="s">
        <v>5596</v>
      </c>
      <c r="AL478" t="s">
        <v>1715</v>
      </c>
      <c r="AM478" t="s">
        <v>63</v>
      </c>
      <c r="AN478" t="s">
        <v>5608</v>
      </c>
      <c r="AO478">
        <v>192533</v>
      </c>
      <c r="AQ478" t="s">
        <v>5609</v>
      </c>
      <c r="AR478" t="s">
        <v>5610</v>
      </c>
      <c r="AS478" t="s">
        <v>5611</v>
      </c>
      <c r="AT478" t="s">
        <v>68</v>
      </c>
      <c r="AV478" t="s">
        <v>5612</v>
      </c>
      <c r="AW478" t="s">
        <v>5613</v>
      </c>
      <c r="AX478" t="s">
        <v>5614</v>
      </c>
      <c r="BA478" s="14" t="s">
        <v>72</v>
      </c>
      <c r="BB478" s="14" t="s">
        <v>73</v>
      </c>
      <c r="BC478" s="14" t="s">
        <v>74</v>
      </c>
    </row>
    <row r="479" spans="1:55" ht="15" customHeight="1" x14ac:dyDescent="0.4">
      <c r="A479" s="12">
        <v>3812</v>
      </c>
      <c r="B479" s="21" t="s">
        <v>5615</v>
      </c>
      <c r="C479" s="13" t="s">
        <v>5616</v>
      </c>
      <c r="D479" s="25" t="s">
        <v>5616</v>
      </c>
      <c r="E479" s="13"/>
      <c r="F479" s="41"/>
      <c r="G479" s="41"/>
      <c r="H479" s="41"/>
      <c r="I479" s="41"/>
      <c r="J479" s="41"/>
      <c r="K479" s="65" t="str">
        <f>IFERROR(VLOOKUP(D479,Sheet4!A$1:M$56,11,FALSE),"")</f>
        <v>Based on ADMIXTURE results of 78,187 SNPs, may be trace admixed with Quercus bicolor</v>
      </c>
      <c r="L479" s="65" t="str">
        <f t="shared" si="7"/>
        <v>Based on ADMIXTURE results of 78,187 SNPs, may be trace admixed with Quercus bicolor</v>
      </c>
      <c r="M479" s="14" t="s">
        <v>49</v>
      </c>
      <c r="N479" s="15">
        <v>44788</v>
      </c>
      <c r="O479" t="s">
        <v>2719</v>
      </c>
      <c r="P479" t="s">
        <v>51</v>
      </c>
      <c r="Q479" t="s">
        <v>52</v>
      </c>
      <c r="R479" t="s">
        <v>53</v>
      </c>
      <c r="S479" t="s">
        <v>5591</v>
      </c>
      <c r="T479" t="s">
        <v>5592</v>
      </c>
      <c r="U479" t="s">
        <v>56</v>
      </c>
      <c r="V479" s="21" t="s">
        <v>5593</v>
      </c>
      <c r="W479" s="21"/>
      <c r="X479" t="s">
        <v>5617</v>
      </c>
      <c r="Y479" t="s">
        <v>5618</v>
      </c>
      <c r="AB479" t="s">
        <v>1758</v>
      </c>
      <c r="AC479" t="s">
        <v>60</v>
      </c>
      <c r="AE479" s="15"/>
      <c r="AG479">
        <v>43.060034000000002</v>
      </c>
      <c r="AH479">
        <v>-78.972550999999996</v>
      </c>
      <c r="AI479" t="s">
        <v>914</v>
      </c>
      <c r="AL479" t="s">
        <v>1715</v>
      </c>
      <c r="AM479" t="s">
        <v>63</v>
      </c>
      <c r="AN479" t="s">
        <v>5619</v>
      </c>
      <c r="AO479">
        <v>192530</v>
      </c>
      <c r="AQ479" t="s">
        <v>5620</v>
      </c>
      <c r="AR479" t="s">
        <v>5621</v>
      </c>
      <c r="AS479" t="s">
        <v>5622</v>
      </c>
      <c r="AT479" t="s">
        <v>68</v>
      </c>
      <c r="AV479" t="s">
        <v>5623</v>
      </c>
      <c r="AW479" t="s">
        <v>5624</v>
      </c>
      <c r="AX479" t="s">
        <v>5625</v>
      </c>
      <c r="BA479" s="14" t="s">
        <v>72</v>
      </c>
      <c r="BB479" s="14" t="s">
        <v>73</v>
      </c>
      <c r="BC479" s="14" t="s">
        <v>74</v>
      </c>
    </row>
    <row r="480" spans="1:55" ht="15" customHeight="1" x14ac:dyDescent="0.4">
      <c r="A480" s="12">
        <v>3813</v>
      </c>
      <c r="B480" s="21" t="s">
        <v>5626</v>
      </c>
      <c r="C480" s="13" t="s">
        <v>5627</v>
      </c>
      <c r="D480" s="25" t="s">
        <v>5627</v>
      </c>
      <c r="E480" s="13"/>
      <c r="F480" s="42" t="s">
        <v>8106</v>
      </c>
      <c r="G480" s="42"/>
      <c r="H480" s="42"/>
      <c r="I480" s="42"/>
      <c r="J480" s="42"/>
      <c r="K480" s="65" t="str">
        <f>IFERROR(VLOOKUP(D480,Sheet4!A$1:M$56,11,FALSE),"")</f>
        <v/>
      </c>
      <c r="L480" s="65" t="str">
        <f t="shared" si="7"/>
        <v/>
      </c>
      <c r="M480" s="14" t="s">
        <v>49</v>
      </c>
      <c r="N480" s="15">
        <v>44788</v>
      </c>
      <c r="O480" t="s">
        <v>2719</v>
      </c>
      <c r="P480" t="s">
        <v>51</v>
      </c>
      <c r="Q480" t="s">
        <v>52</v>
      </c>
      <c r="R480" t="s">
        <v>53</v>
      </c>
      <c r="S480" t="s">
        <v>5591</v>
      </c>
      <c r="T480" t="s">
        <v>5592</v>
      </c>
      <c r="U480" t="s">
        <v>56</v>
      </c>
      <c r="V480" s="21" t="s">
        <v>5593</v>
      </c>
      <c r="W480" s="21"/>
      <c r="X480" t="s">
        <v>5628</v>
      </c>
      <c r="Y480" t="s">
        <v>5629</v>
      </c>
      <c r="AB480" t="s">
        <v>1758</v>
      </c>
      <c r="AC480" t="s">
        <v>60</v>
      </c>
      <c r="AE480" s="15"/>
      <c r="AG480">
        <v>43.061137000000002</v>
      </c>
      <c r="AH480">
        <v>-78.973082000000005</v>
      </c>
      <c r="AI480" t="s">
        <v>5630</v>
      </c>
      <c r="AL480" t="s">
        <v>1715</v>
      </c>
      <c r="AM480" t="s">
        <v>63</v>
      </c>
      <c r="AN480" t="s">
        <v>5631</v>
      </c>
      <c r="AO480">
        <v>192676</v>
      </c>
      <c r="AQ480" t="s">
        <v>5632</v>
      </c>
      <c r="AR480" t="s">
        <v>5633</v>
      </c>
      <c r="AS480" t="s">
        <v>5634</v>
      </c>
      <c r="AT480" t="s">
        <v>68</v>
      </c>
      <c r="AV480" t="s">
        <v>5635</v>
      </c>
      <c r="AW480" t="s">
        <v>5636</v>
      </c>
      <c r="AX480" t="s">
        <v>5637</v>
      </c>
      <c r="BA480" s="14" t="s">
        <v>72</v>
      </c>
      <c r="BB480" s="14" t="s">
        <v>73</v>
      </c>
      <c r="BC480" s="14" t="s">
        <v>74</v>
      </c>
    </row>
    <row r="481" spans="1:55" ht="15" customHeight="1" x14ac:dyDescent="0.4">
      <c r="A481" s="12">
        <v>3814</v>
      </c>
      <c r="B481" s="21" t="s">
        <v>5638</v>
      </c>
      <c r="C481" s="13" t="s">
        <v>5639</v>
      </c>
      <c r="D481" s="25" t="s">
        <v>5639</v>
      </c>
      <c r="E481" s="13"/>
      <c r="F481" s="41"/>
      <c r="G481" s="41"/>
      <c r="H481" s="41"/>
      <c r="I481" s="41"/>
      <c r="J481" s="41"/>
      <c r="K481" s="65" t="str">
        <f>IFERROR(VLOOKUP(D481,Sheet4!A$1:M$56,11,FALSE),"")</f>
        <v/>
      </c>
      <c r="L481" s="65" t="str">
        <f t="shared" si="7"/>
        <v/>
      </c>
      <c r="M481" s="14" t="s">
        <v>1878</v>
      </c>
      <c r="N481" s="15">
        <v>44788</v>
      </c>
      <c r="O481" t="s">
        <v>2719</v>
      </c>
      <c r="P481" t="s">
        <v>51</v>
      </c>
      <c r="Q481" t="s">
        <v>52</v>
      </c>
      <c r="R481" t="s">
        <v>53</v>
      </c>
      <c r="S481" t="s">
        <v>5591</v>
      </c>
      <c r="T481" t="s">
        <v>5592</v>
      </c>
      <c r="U481" t="s">
        <v>56</v>
      </c>
      <c r="V481" s="21" t="s">
        <v>5593</v>
      </c>
      <c r="W481" s="21"/>
      <c r="X481" t="s">
        <v>5640</v>
      </c>
      <c r="Y481" t="s">
        <v>5641</v>
      </c>
      <c r="AB481" t="s">
        <v>1758</v>
      </c>
      <c r="AC481" t="s">
        <v>1881</v>
      </c>
      <c r="AE481" s="15"/>
      <c r="AG481">
        <v>43.057209</v>
      </c>
      <c r="AH481">
        <v>-78.986107000000004</v>
      </c>
      <c r="AL481" t="s">
        <v>1715</v>
      </c>
      <c r="AM481" t="s">
        <v>63</v>
      </c>
      <c r="AN481" t="s">
        <v>5642</v>
      </c>
      <c r="AO481">
        <v>192583</v>
      </c>
      <c r="AQ481" t="s">
        <v>5643</v>
      </c>
      <c r="AR481" t="s">
        <v>5644</v>
      </c>
      <c r="AS481" t="s">
        <v>5645</v>
      </c>
      <c r="AT481" t="s">
        <v>68</v>
      </c>
      <c r="AV481" t="s">
        <v>5646</v>
      </c>
      <c r="AW481" t="s">
        <v>5647</v>
      </c>
      <c r="AX481" t="s">
        <v>5648</v>
      </c>
      <c r="BA481" s="14" t="s">
        <v>72</v>
      </c>
      <c r="BB481" s="14" t="s">
        <v>73</v>
      </c>
      <c r="BC481" s="14" t="s">
        <v>1723</v>
      </c>
    </row>
    <row r="482" spans="1:55" ht="15" customHeight="1" x14ac:dyDescent="0.4">
      <c r="A482" s="12">
        <v>3815</v>
      </c>
      <c r="B482" s="21" t="s">
        <v>5649</v>
      </c>
      <c r="C482" s="13" t="s">
        <v>5650</v>
      </c>
      <c r="D482" s="25" t="s">
        <v>5650</v>
      </c>
      <c r="E482" s="13"/>
      <c r="F482" s="45" t="s">
        <v>2222</v>
      </c>
      <c r="G482" s="58" t="s">
        <v>8125</v>
      </c>
      <c r="H482" s="58"/>
      <c r="I482" s="45"/>
      <c r="J482" s="45"/>
      <c r="K482" s="65" t="str">
        <f>IFERROR(VLOOKUP(D482,Sheet4!A$1:M$56,11,FALSE),"")</f>
        <v>Based on ADMIXTURE results of 78,187 SNPs, admixed with Quercus alba</v>
      </c>
      <c r="L482" s="65" t="str">
        <f t="shared" si="7"/>
        <v>Based on ADMIXTURE results of 78,187 SNPs, admixed with Quercus alba</v>
      </c>
      <c r="M482" s="14" t="s">
        <v>2222</v>
      </c>
      <c r="N482" s="15">
        <v>44788</v>
      </c>
      <c r="O482" t="s">
        <v>2719</v>
      </c>
      <c r="P482" t="s">
        <v>51</v>
      </c>
      <c r="Q482" t="s">
        <v>52</v>
      </c>
      <c r="R482" t="s">
        <v>53</v>
      </c>
      <c r="S482" t="s">
        <v>5591</v>
      </c>
      <c r="T482" t="s">
        <v>5592</v>
      </c>
      <c r="U482" t="s">
        <v>56</v>
      </c>
      <c r="V482" s="21" t="s">
        <v>5593</v>
      </c>
      <c r="W482" s="21"/>
      <c r="X482" t="s">
        <v>5651</v>
      </c>
      <c r="Y482" t="s">
        <v>5652</v>
      </c>
      <c r="AC482" t="s">
        <v>2225</v>
      </c>
      <c r="AE482" s="15"/>
      <c r="AG482">
        <v>43.057170999999997</v>
      </c>
      <c r="AH482">
        <v>-78.985855999999998</v>
      </c>
      <c r="AI482" t="s">
        <v>987</v>
      </c>
      <c r="AL482" t="s">
        <v>1715</v>
      </c>
      <c r="AM482" t="s">
        <v>63</v>
      </c>
      <c r="AN482" t="s">
        <v>5653</v>
      </c>
      <c r="AO482">
        <v>193368</v>
      </c>
      <c r="AQ482" t="s">
        <v>5654</v>
      </c>
      <c r="AR482" t="s">
        <v>5655</v>
      </c>
      <c r="AS482" t="s">
        <v>5656</v>
      </c>
      <c r="AT482" t="s">
        <v>68</v>
      </c>
      <c r="AU482" t="s">
        <v>5657</v>
      </c>
      <c r="AV482" t="s">
        <v>5658</v>
      </c>
      <c r="AW482" t="s">
        <v>5659</v>
      </c>
      <c r="AX482" t="s">
        <v>5660</v>
      </c>
      <c r="AY482" s="31" t="s">
        <v>5661</v>
      </c>
      <c r="BA482" s="14" t="s">
        <v>72</v>
      </c>
      <c r="BB482" s="14" t="s">
        <v>73</v>
      </c>
      <c r="BC482" s="14" t="s">
        <v>74</v>
      </c>
    </row>
    <row r="483" spans="1:55" ht="15" customHeight="1" x14ac:dyDescent="0.4">
      <c r="A483" s="12">
        <v>3816</v>
      </c>
      <c r="B483" s="21" t="s">
        <v>5662</v>
      </c>
      <c r="C483" s="13" t="s">
        <v>5663</v>
      </c>
      <c r="D483" s="25" t="s">
        <v>5663</v>
      </c>
      <c r="E483" s="13"/>
      <c r="F483" s="41"/>
      <c r="G483" s="41"/>
      <c r="H483" s="41"/>
      <c r="I483" s="41"/>
      <c r="J483" s="41"/>
      <c r="K483" s="65" t="str">
        <f>IFERROR(VLOOKUP(D483,Sheet4!A$1:M$56,11,FALSE),"")</f>
        <v/>
      </c>
      <c r="L483" s="65" t="str">
        <f t="shared" si="7"/>
        <v/>
      </c>
      <c r="M483" s="14" t="s">
        <v>1878</v>
      </c>
      <c r="N483" s="15">
        <v>44788</v>
      </c>
      <c r="O483" t="s">
        <v>2719</v>
      </c>
      <c r="P483" t="s">
        <v>51</v>
      </c>
      <c r="Q483" t="s">
        <v>52</v>
      </c>
      <c r="R483" t="s">
        <v>53</v>
      </c>
      <c r="S483" t="s">
        <v>5591</v>
      </c>
      <c r="T483" t="s">
        <v>5592</v>
      </c>
      <c r="U483" t="s">
        <v>56</v>
      </c>
      <c r="V483" s="21" t="s">
        <v>5593</v>
      </c>
      <c r="W483" s="21"/>
      <c r="X483" t="s">
        <v>5640</v>
      </c>
      <c r="Y483" t="s">
        <v>5664</v>
      </c>
      <c r="AB483" t="s">
        <v>2336</v>
      </c>
      <c r="AC483" t="s">
        <v>1881</v>
      </c>
      <c r="AE483" s="15"/>
      <c r="AG483">
        <v>43.056780000000003</v>
      </c>
      <c r="AH483">
        <v>-78.985106999999999</v>
      </c>
      <c r="AI483" t="s">
        <v>5665</v>
      </c>
      <c r="AL483" t="s">
        <v>1715</v>
      </c>
      <c r="AM483" t="s">
        <v>63</v>
      </c>
      <c r="AN483" t="s">
        <v>5666</v>
      </c>
      <c r="AO483">
        <v>193379</v>
      </c>
      <c r="AQ483" t="s">
        <v>5667</v>
      </c>
      <c r="AR483" t="s">
        <v>5668</v>
      </c>
      <c r="AS483" t="s">
        <v>5669</v>
      </c>
      <c r="AT483" t="s">
        <v>68</v>
      </c>
      <c r="AV483" t="s">
        <v>5670</v>
      </c>
      <c r="AW483" t="s">
        <v>5671</v>
      </c>
      <c r="AX483" t="s">
        <v>5672</v>
      </c>
      <c r="BA483" s="14" t="s">
        <v>72</v>
      </c>
      <c r="BB483" s="14" t="s">
        <v>73</v>
      </c>
      <c r="BC483" s="14" t="s">
        <v>1723</v>
      </c>
    </row>
    <row r="484" spans="1:55" ht="15" customHeight="1" x14ac:dyDescent="0.4">
      <c r="A484" s="12">
        <v>3817</v>
      </c>
      <c r="B484" s="21" t="s">
        <v>5673</v>
      </c>
      <c r="C484" s="13" t="s">
        <v>5674</v>
      </c>
      <c r="D484" s="25" t="s">
        <v>5674</v>
      </c>
      <c r="E484" s="13"/>
      <c r="F484" s="41"/>
      <c r="G484" s="41"/>
      <c r="H484" s="41"/>
      <c r="I484" s="41"/>
      <c r="J484" s="41"/>
      <c r="K484" s="65" t="str">
        <f>IFERROR(VLOOKUP(D484,Sheet4!A$1:M$56,11,FALSE),"")</f>
        <v/>
      </c>
      <c r="L484" s="65" t="str">
        <f t="shared" si="7"/>
        <v/>
      </c>
      <c r="M484" s="14" t="s">
        <v>1878</v>
      </c>
      <c r="N484" s="15">
        <v>44788</v>
      </c>
      <c r="O484" t="s">
        <v>2719</v>
      </c>
      <c r="P484" t="s">
        <v>51</v>
      </c>
      <c r="Q484" t="s">
        <v>52</v>
      </c>
      <c r="R484" t="s">
        <v>53</v>
      </c>
      <c r="S484" t="s">
        <v>5591</v>
      </c>
      <c r="T484" t="s">
        <v>5592</v>
      </c>
      <c r="U484" t="s">
        <v>56</v>
      </c>
      <c r="V484" s="21" t="s">
        <v>5593</v>
      </c>
      <c r="W484" s="21"/>
      <c r="X484" t="s">
        <v>5675</v>
      </c>
      <c r="Y484" t="s">
        <v>5676</v>
      </c>
      <c r="AC484" t="s">
        <v>1881</v>
      </c>
      <c r="AE484" s="15"/>
      <c r="AG484">
        <v>43.056680999999998</v>
      </c>
      <c r="AH484">
        <v>-78.984002000000004</v>
      </c>
      <c r="AI484" t="s">
        <v>987</v>
      </c>
      <c r="AL484" t="s">
        <v>1715</v>
      </c>
      <c r="AM484" t="s">
        <v>63</v>
      </c>
      <c r="AN484" t="s">
        <v>5677</v>
      </c>
      <c r="AO484">
        <v>192584</v>
      </c>
      <c r="AQ484" t="s">
        <v>5678</v>
      </c>
      <c r="AR484" t="s">
        <v>5679</v>
      </c>
      <c r="AS484" t="s">
        <v>5680</v>
      </c>
      <c r="AT484" t="s">
        <v>68</v>
      </c>
      <c r="AV484" t="s">
        <v>5681</v>
      </c>
      <c r="AW484" t="s">
        <v>5682</v>
      </c>
      <c r="AX484" t="s">
        <v>5683</v>
      </c>
      <c r="BA484" s="14" t="s">
        <v>72</v>
      </c>
      <c r="BB484" s="14" t="s">
        <v>73</v>
      </c>
      <c r="BC484" s="14" t="s">
        <v>1723</v>
      </c>
    </row>
    <row r="485" spans="1:55" ht="15" customHeight="1" x14ac:dyDescent="0.4">
      <c r="A485" s="12">
        <v>3818</v>
      </c>
      <c r="B485" s="21" t="s">
        <v>5684</v>
      </c>
      <c r="C485" s="13" t="s">
        <v>5685</v>
      </c>
      <c r="D485" s="25" t="s">
        <v>5685</v>
      </c>
      <c r="E485" s="13"/>
      <c r="F485" s="45" t="s">
        <v>2222</v>
      </c>
      <c r="G485" s="45" t="s">
        <v>8124</v>
      </c>
      <c r="H485" s="45"/>
      <c r="I485" s="45"/>
      <c r="J485" s="45"/>
      <c r="K485" s="65" t="str">
        <f>IFERROR(VLOOKUP(D485,Sheet4!A$1:M$56,11,FALSE),"")</f>
        <v>Based on ADMIXTURE results of 78,187 SNPs, admixed with Quercus macrocarpa</v>
      </c>
      <c r="L485" s="65" t="str">
        <f t="shared" si="7"/>
        <v>Based on ADMIXTURE results of 78,187 SNPs, admixed with Quercus macrocarpa</v>
      </c>
      <c r="M485" s="14" t="s">
        <v>2222</v>
      </c>
      <c r="N485" s="15">
        <v>44788</v>
      </c>
      <c r="O485" t="s">
        <v>2719</v>
      </c>
      <c r="P485" t="s">
        <v>51</v>
      </c>
      <c r="Q485" t="s">
        <v>52</v>
      </c>
      <c r="R485" t="s">
        <v>53</v>
      </c>
      <c r="S485" t="s">
        <v>5591</v>
      </c>
      <c r="T485" t="s">
        <v>5592</v>
      </c>
      <c r="U485" t="s">
        <v>56</v>
      </c>
      <c r="V485" s="21" t="s">
        <v>5593</v>
      </c>
      <c r="W485" s="21"/>
      <c r="X485" t="s">
        <v>5686</v>
      </c>
      <c r="Y485" t="s">
        <v>5687</v>
      </c>
      <c r="AB485" t="s">
        <v>2336</v>
      </c>
      <c r="AC485" t="s">
        <v>2225</v>
      </c>
      <c r="AE485" s="15"/>
      <c r="AG485">
        <v>43.056547999999999</v>
      </c>
      <c r="AH485">
        <v>-78.983165999999997</v>
      </c>
      <c r="AI485" t="s">
        <v>5688</v>
      </c>
      <c r="AL485" t="s">
        <v>1715</v>
      </c>
      <c r="AM485" t="s">
        <v>63</v>
      </c>
      <c r="AN485" t="s">
        <v>5689</v>
      </c>
      <c r="AO485">
        <v>192677</v>
      </c>
      <c r="AQ485" t="s">
        <v>5690</v>
      </c>
      <c r="AR485" t="s">
        <v>5691</v>
      </c>
      <c r="AS485" t="s">
        <v>5692</v>
      </c>
      <c r="AT485" t="s">
        <v>68</v>
      </c>
      <c r="AV485" t="s">
        <v>5693</v>
      </c>
      <c r="AW485" t="s">
        <v>5694</v>
      </c>
      <c r="AX485" t="s">
        <v>5695</v>
      </c>
      <c r="BA485" s="14" t="s">
        <v>72</v>
      </c>
      <c r="BB485" s="14" t="s">
        <v>73</v>
      </c>
      <c r="BC485" s="14" t="s">
        <v>74</v>
      </c>
    </row>
    <row r="486" spans="1:55" ht="15" customHeight="1" x14ac:dyDescent="0.4">
      <c r="A486" s="12">
        <v>3819</v>
      </c>
      <c r="B486" s="21" t="s">
        <v>5696</v>
      </c>
      <c r="C486" s="13" t="s">
        <v>5697</v>
      </c>
      <c r="D486" s="25" t="s">
        <v>5697</v>
      </c>
      <c r="E486" s="13"/>
      <c r="F486" s="41" t="s">
        <v>8106</v>
      </c>
      <c r="G486" s="41"/>
      <c r="H486" s="41"/>
      <c r="I486" s="41"/>
      <c r="J486" s="41"/>
      <c r="K486" s="65" t="str">
        <f>IFERROR(VLOOKUP(D486,Sheet4!A$1:M$56,11,FALSE),"")</f>
        <v/>
      </c>
      <c r="L486" s="65" t="str">
        <f t="shared" si="7"/>
        <v/>
      </c>
      <c r="M486" s="14" t="s">
        <v>49</v>
      </c>
      <c r="N486" s="15">
        <v>44788</v>
      </c>
      <c r="O486" t="s">
        <v>2719</v>
      </c>
      <c r="P486" t="s">
        <v>51</v>
      </c>
      <c r="Q486" t="s">
        <v>52</v>
      </c>
      <c r="R486" t="s">
        <v>53</v>
      </c>
      <c r="S486" t="s">
        <v>5591</v>
      </c>
      <c r="T486" t="s">
        <v>5592</v>
      </c>
      <c r="U486" t="s">
        <v>56</v>
      </c>
      <c r="V486" s="21" t="s">
        <v>5593</v>
      </c>
      <c r="W486" s="21"/>
      <c r="X486" t="s">
        <v>5698</v>
      </c>
      <c r="Y486" t="s">
        <v>5699</v>
      </c>
      <c r="AB486" t="s">
        <v>1758</v>
      </c>
      <c r="AC486" t="s">
        <v>60</v>
      </c>
      <c r="AE486" s="15"/>
      <c r="AG486">
        <v>43.056674000000001</v>
      </c>
      <c r="AH486">
        <v>-78.981437</v>
      </c>
      <c r="AI486" t="s">
        <v>5700</v>
      </c>
      <c r="AL486" t="s">
        <v>1715</v>
      </c>
      <c r="AM486" t="s">
        <v>63</v>
      </c>
      <c r="AN486" t="s">
        <v>5701</v>
      </c>
      <c r="AO486">
        <v>192608</v>
      </c>
      <c r="AQ486" t="s">
        <v>5702</v>
      </c>
      <c r="AR486" t="s">
        <v>5703</v>
      </c>
      <c r="AS486" t="s">
        <v>5704</v>
      </c>
      <c r="AT486" t="s">
        <v>68</v>
      </c>
      <c r="AV486" t="s">
        <v>5705</v>
      </c>
      <c r="AW486" t="s">
        <v>5706</v>
      </c>
      <c r="AX486" t="s">
        <v>5707</v>
      </c>
      <c r="BA486" s="14" t="s">
        <v>72</v>
      </c>
      <c r="BB486" s="14" t="s">
        <v>73</v>
      </c>
      <c r="BC486" s="14" t="s">
        <v>74</v>
      </c>
    </row>
    <row r="487" spans="1:55" ht="15" customHeight="1" x14ac:dyDescent="0.4">
      <c r="A487" s="12">
        <v>3820</v>
      </c>
      <c r="B487" s="21" t="s">
        <v>5708</v>
      </c>
      <c r="C487" s="13" t="s">
        <v>5709</v>
      </c>
      <c r="D487" s="25" t="s">
        <v>5709</v>
      </c>
      <c r="E487" s="13"/>
      <c r="F487" s="43" t="s">
        <v>2222</v>
      </c>
      <c r="G487" s="43" t="s">
        <v>8123</v>
      </c>
      <c r="H487" s="43" t="s">
        <v>8101</v>
      </c>
      <c r="I487" s="43"/>
      <c r="J487" s="43"/>
      <c r="K487" s="65" t="str">
        <f>IFERROR(VLOOKUP(D487,Sheet4!A$1:M$56,11,FALSE),"")</f>
        <v/>
      </c>
      <c r="L487" s="65" t="str">
        <f t="shared" si="7"/>
        <v/>
      </c>
      <c r="M487" s="14" t="s">
        <v>2222</v>
      </c>
      <c r="N487" s="15">
        <v>44788</v>
      </c>
      <c r="O487" t="s">
        <v>2719</v>
      </c>
      <c r="P487" t="s">
        <v>51</v>
      </c>
      <c r="Q487" t="s">
        <v>52</v>
      </c>
      <c r="R487" t="s">
        <v>53</v>
      </c>
      <c r="S487" t="s">
        <v>5591</v>
      </c>
      <c r="T487" t="s">
        <v>5592</v>
      </c>
      <c r="U487" t="s">
        <v>56</v>
      </c>
      <c r="V487" s="21" t="s">
        <v>5593</v>
      </c>
      <c r="W487" s="21"/>
      <c r="X487" t="s">
        <v>5710</v>
      </c>
      <c r="Y487" t="s">
        <v>5711</v>
      </c>
      <c r="AC487" t="s">
        <v>2225</v>
      </c>
      <c r="AE487" s="15"/>
      <c r="AG487">
        <v>43.056244999999997</v>
      </c>
      <c r="AH487">
        <v>-78.978697999999994</v>
      </c>
      <c r="AI487" t="s">
        <v>5712</v>
      </c>
      <c r="AL487" t="s">
        <v>1715</v>
      </c>
      <c r="AM487" t="s">
        <v>63</v>
      </c>
      <c r="AN487" t="s">
        <v>5713</v>
      </c>
      <c r="AO487">
        <v>192599</v>
      </c>
      <c r="AQ487" t="s">
        <v>5714</v>
      </c>
      <c r="AR487" t="s">
        <v>5715</v>
      </c>
      <c r="AS487" t="s">
        <v>5716</v>
      </c>
      <c r="AT487" t="s">
        <v>68</v>
      </c>
      <c r="AV487" t="s">
        <v>5717</v>
      </c>
      <c r="AW487" t="s">
        <v>5718</v>
      </c>
      <c r="AX487" t="s">
        <v>5719</v>
      </c>
      <c r="BA487" s="14" t="s">
        <v>72</v>
      </c>
      <c r="BB487" s="14" t="s">
        <v>73</v>
      </c>
      <c r="BC487" s="14" t="s">
        <v>74</v>
      </c>
    </row>
    <row r="488" spans="1:55" ht="15" customHeight="1" x14ac:dyDescent="0.4">
      <c r="A488" s="12">
        <v>3821</v>
      </c>
      <c r="B488" s="21" t="s">
        <v>5720</v>
      </c>
      <c r="C488" s="13" t="s">
        <v>5721</v>
      </c>
      <c r="D488" s="25" t="s">
        <v>5721</v>
      </c>
      <c r="E488" s="13"/>
      <c r="F488" s="41"/>
      <c r="G488" s="41"/>
      <c r="H488" s="41"/>
      <c r="I488" s="41"/>
      <c r="J488" s="41"/>
      <c r="K488" s="65" t="str">
        <f>IFERROR(VLOOKUP(D488,Sheet4!A$1:M$56,11,FALSE),"")</f>
        <v/>
      </c>
      <c r="L488" s="65" t="str">
        <f t="shared" si="7"/>
        <v/>
      </c>
      <c r="M488" s="14" t="s">
        <v>1878</v>
      </c>
      <c r="N488" s="15">
        <v>44788</v>
      </c>
      <c r="O488" t="s">
        <v>2719</v>
      </c>
      <c r="P488" t="s">
        <v>51</v>
      </c>
      <c r="Q488" t="s">
        <v>52</v>
      </c>
      <c r="R488" t="s">
        <v>53</v>
      </c>
      <c r="S488" t="s">
        <v>5591</v>
      </c>
      <c r="T488" t="s">
        <v>5592</v>
      </c>
      <c r="U488" t="s">
        <v>56</v>
      </c>
      <c r="V488" s="21" t="s">
        <v>5593</v>
      </c>
      <c r="W488" s="21"/>
      <c r="X488" t="s">
        <v>5722</v>
      </c>
      <c r="Y488" t="s">
        <v>5723</v>
      </c>
      <c r="AC488" t="s">
        <v>1881</v>
      </c>
      <c r="AE488" s="15"/>
      <c r="AG488">
        <v>43.055698999999997</v>
      </c>
      <c r="AH488">
        <v>-78.976797000000005</v>
      </c>
      <c r="AI488" t="s">
        <v>5724</v>
      </c>
      <c r="AL488" t="s">
        <v>1715</v>
      </c>
      <c r="AM488" t="s">
        <v>63</v>
      </c>
      <c r="AN488" t="s">
        <v>5725</v>
      </c>
      <c r="AO488">
        <v>192548</v>
      </c>
      <c r="AQ488" t="s">
        <v>5726</v>
      </c>
      <c r="AR488" t="s">
        <v>5727</v>
      </c>
      <c r="AS488" t="s">
        <v>5728</v>
      </c>
      <c r="AT488" t="s">
        <v>68</v>
      </c>
      <c r="AV488" t="s">
        <v>5729</v>
      </c>
      <c r="AW488" t="s">
        <v>5730</v>
      </c>
      <c r="AX488" t="s">
        <v>5731</v>
      </c>
      <c r="BA488" s="14" t="s">
        <v>72</v>
      </c>
      <c r="BB488" s="14" t="s">
        <v>73</v>
      </c>
      <c r="BC488" s="14" t="s">
        <v>1723</v>
      </c>
    </row>
    <row r="489" spans="1:55" ht="15" customHeight="1" x14ac:dyDescent="0.4">
      <c r="A489" s="12">
        <v>3822</v>
      </c>
      <c r="B489" s="21" t="s">
        <v>5732</v>
      </c>
      <c r="C489" s="13" t="s">
        <v>5733</v>
      </c>
      <c r="D489" s="25" t="s">
        <v>5733</v>
      </c>
      <c r="E489" s="13"/>
      <c r="F489" s="41"/>
      <c r="G489" s="41"/>
      <c r="H489" s="41"/>
      <c r="I489" s="41"/>
      <c r="J489" s="41"/>
      <c r="K489" s="65" t="str">
        <f>IFERROR(VLOOKUP(D489,Sheet4!A$1:M$56,11,FALSE),"")</f>
        <v/>
      </c>
      <c r="L489" s="65" t="str">
        <f t="shared" si="7"/>
        <v/>
      </c>
      <c r="M489" s="14" t="s">
        <v>2222</v>
      </c>
      <c r="N489" s="15">
        <v>44788</v>
      </c>
      <c r="O489" t="s">
        <v>2719</v>
      </c>
      <c r="P489" t="s">
        <v>51</v>
      </c>
      <c r="Q489" t="s">
        <v>52</v>
      </c>
      <c r="R489" t="s">
        <v>53</v>
      </c>
      <c r="S489" t="s">
        <v>5591</v>
      </c>
      <c r="T489" t="s">
        <v>5592</v>
      </c>
      <c r="U489" t="s">
        <v>56</v>
      </c>
      <c r="V489" s="21" t="s">
        <v>5593</v>
      </c>
      <c r="W489" s="21"/>
      <c r="X489" t="s">
        <v>5734</v>
      </c>
      <c r="Y489" t="s">
        <v>5735</v>
      </c>
      <c r="AB489" t="s">
        <v>1758</v>
      </c>
      <c r="AC489" t="s">
        <v>2225</v>
      </c>
      <c r="AE489" s="15"/>
      <c r="AG489">
        <v>43.055625999999997</v>
      </c>
      <c r="AH489">
        <v>-78.974952999999999</v>
      </c>
      <c r="AI489" t="s">
        <v>5700</v>
      </c>
      <c r="AL489" t="s">
        <v>1715</v>
      </c>
      <c r="AM489" t="s">
        <v>63</v>
      </c>
      <c r="AN489" t="s">
        <v>5736</v>
      </c>
      <c r="AO489">
        <v>192598</v>
      </c>
      <c r="AQ489" t="s">
        <v>5737</v>
      </c>
      <c r="AR489" t="s">
        <v>5738</v>
      </c>
      <c r="AS489" t="s">
        <v>5739</v>
      </c>
      <c r="AT489" t="s">
        <v>68</v>
      </c>
      <c r="AV489" t="s">
        <v>5740</v>
      </c>
      <c r="AW489" t="s">
        <v>5741</v>
      </c>
      <c r="AX489" t="s">
        <v>5742</v>
      </c>
      <c r="BA489" s="14" t="s">
        <v>72</v>
      </c>
      <c r="BB489" s="14" t="s">
        <v>73</v>
      </c>
      <c r="BC489" s="14" t="s">
        <v>74</v>
      </c>
    </row>
    <row r="490" spans="1:55" ht="15" customHeight="1" x14ac:dyDescent="0.4">
      <c r="A490" s="12">
        <v>3823</v>
      </c>
      <c r="B490" s="21" t="s">
        <v>5743</v>
      </c>
      <c r="C490" s="13" t="s">
        <v>5744</v>
      </c>
      <c r="D490" s="25" t="s">
        <v>5744</v>
      </c>
      <c r="E490" s="13"/>
      <c r="F490" s="45" t="s">
        <v>2222</v>
      </c>
      <c r="G490" s="45" t="s">
        <v>8122</v>
      </c>
      <c r="H490" s="45" t="s">
        <v>8101</v>
      </c>
      <c r="I490" s="45"/>
      <c r="J490" s="45"/>
      <c r="K490" s="65" t="str">
        <f>IFERROR(VLOOKUP(D490,Sheet4!A$1:M$56,11,FALSE),"")</f>
        <v>Based on ADMIXTURE results of 78,187 SNPs, may be trace admixed with Quercus macrocarpa</v>
      </c>
      <c r="L490" s="65" t="str">
        <f t="shared" si="7"/>
        <v>Based on ADMIXTURE results of 78,187 SNPs, may be trace admixed with Quercus macrocarpa</v>
      </c>
      <c r="M490" s="14" t="s">
        <v>2222</v>
      </c>
      <c r="N490" s="15">
        <v>44788</v>
      </c>
      <c r="O490" t="s">
        <v>2719</v>
      </c>
      <c r="P490" t="s">
        <v>51</v>
      </c>
      <c r="Q490" t="s">
        <v>52</v>
      </c>
      <c r="R490" t="s">
        <v>53</v>
      </c>
      <c r="S490" t="s">
        <v>5591</v>
      </c>
      <c r="T490" t="s">
        <v>5592</v>
      </c>
      <c r="U490" t="s">
        <v>56</v>
      </c>
      <c r="V490" s="21" t="s">
        <v>5593</v>
      </c>
      <c r="W490" s="21"/>
      <c r="X490" t="s">
        <v>5745</v>
      </c>
      <c r="Y490" t="s">
        <v>5746</v>
      </c>
      <c r="AB490" t="s">
        <v>1758</v>
      </c>
      <c r="AC490" t="s">
        <v>2225</v>
      </c>
      <c r="AE490" s="15"/>
      <c r="AG490">
        <v>43.055681</v>
      </c>
      <c r="AH490">
        <v>-78.974018999999998</v>
      </c>
      <c r="AI490" t="s">
        <v>5724</v>
      </c>
      <c r="AL490" t="s">
        <v>1715</v>
      </c>
      <c r="AM490" t="s">
        <v>63</v>
      </c>
      <c r="AN490" t="s">
        <v>5747</v>
      </c>
      <c r="AO490">
        <v>192613</v>
      </c>
      <c r="AQ490" t="s">
        <v>5748</v>
      </c>
      <c r="AR490" t="s">
        <v>5749</v>
      </c>
      <c r="AS490" t="s">
        <v>5750</v>
      </c>
      <c r="AT490" t="s">
        <v>68</v>
      </c>
      <c r="AV490" t="s">
        <v>5751</v>
      </c>
      <c r="AW490" t="s">
        <v>5752</v>
      </c>
      <c r="AX490" t="s">
        <v>5753</v>
      </c>
      <c r="BA490" s="14" t="s">
        <v>72</v>
      </c>
      <c r="BB490" s="14" t="s">
        <v>73</v>
      </c>
      <c r="BC490" s="14" t="s">
        <v>74</v>
      </c>
    </row>
    <row r="491" spans="1:55" ht="15" customHeight="1" x14ac:dyDescent="0.4">
      <c r="A491" s="12">
        <v>3853</v>
      </c>
      <c r="B491" s="21" t="s">
        <v>6098</v>
      </c>
      <c r="C491" s="13" t="s">
        <v>6099</v>
      </c>
      <c r="D491" s="25" t="s">
        <v>6099</v>
      </c>
      <c r="E491" s="13"/>
      <c r="F491" s="41"/>
      <c r="G491" s="41"/>
      <c r="H491" s="41"/>
      <c r="I491" s="41"/>
      <c r="J491" s="41"/>
      <c r="K491" s="65" t="str">
        <f>IFERROR(VLOOKUP(D491,Sheet4!A$1:M$56,11,FALSE),"")</f>
        <v/>
      </c>
      <c r="L491" s="65" t="str">
        <f t="shared" si="7"/>
        <v/>
      </c>
      <c r="M491" s="14" t="s">
        <v>6100</v>
      </c>
      <c r="N491" s="15">
        <v>44791</v>
      </c>
      <c r="O491" t="s">
        <v>2719</v>
      </c>
      <c r="P491" t="s">
        <v>51</v>
      </c>
      <c r="Q491" t="s">
        <v>52</v>
      </c>
      <c r="R491" t="s">
        <v>53</v>
      </c>
      <c r="S491" t="s">
        <v>5591</v>
      </c>
      <c r="T491" t="s">
        <v>6101</v>
      </c>
      <c r="U491" t="s">
        <v>56</v>
      </c>
      <c r="V491" s="21" t="s">
        <v>6102</v>
      </c>
      <c r="W491" s="21"/>
      <c r="X491" t="s">
        <v>6103</v>
      </c>
      <c r="Y491" t="s">
        <v>6104</v>
      </c>
      <c r="AC491" t="s">
        <v>6105</v>
      </c>
      <c r="AE491" s="15"/>
      <c r="AG491">
        <v>43.081232</v>
      </c>
      <c r="AH491">
        <v>-73.301637999999997</v>
      </c>
      <c r="AI491" t="s">
        <v>6106</v>
      </c>
      <c r="AL491" t="s">
        <v>1715</v>
      </c>
      <c r="AM491" t="s">
        <v>63</v>
      </c>
      <c r="AN491" t="s">
        <v>6107</v>
      </c>
      <c r="AO491">
        <v>193692</v>
      </c>
      <c r="AQ491" t="s">
        <v>6108</v>
      </c>
      <c r="AR491" t="s">
        <v>6109</v>
      </c>
      <c r="AS491" t="s">
        <v>6110</v>
      </c>
      <c r="AT491" t="s">
        <v>68</v>
      </c>
      <c r="AV491" t="s">
        <v>6111</v>
      </c>
      <c r="AW491" t="s">
        <v>6112</v>
      </c>
      <c r="AX491" t="s">
        <v>6113</v>
      </c>
      <c r="BA491" s="14" t="s">
        <v>72</v>
      </c>
      <c r="BB491" s="14" t="s">
        <v>73</v>
      </c>
      <c r="BC491" s="14" t="s">
        <v>1723</v>
      </c>
    </row>
    <row r="492" spans="1:55" ht="15" customHeight="1" x14ac:dyDescent="0.4">
      <c r="A492" s="12">
        <v>3854</v>
      </c>
      <c r="B492" s="21" t="s">
        <v>6114</v>
      </c>
      <c r="C492" s="13" t="s">
        <v>6115</v>
      </c>
      <c r="D492" s="25" t="s">
        <v>6115</v>
      </c>
      <c r="E492" s="13"/>
      <c r="F492" s="41"/>
      <c r="G492" s="41"/>
      <c r="H492" s="41"/>
      <c r="I492" s="41"/>
      <c r="J492" s="41"/>
      <c r="K492" s="65" t="str">
        <f>IFERROR(VLOOKUP(D492,Sheet4!A$1:M$56,11,FALSE),"")</f>
        <v/>
      </c>
      <c r="L492" s="65" t="str">
        <f t="shared" si="7"/>
        <v/>
      </c>
      <c r="M492" s="14" t="s">
        <v>1878</v>
      </c>
      <c r="N492" s="15">
        <v>44791</v>
      </c>
      <c r="O492" t="s">
        <v>2719</v>
      </c>
      <c r="P492" t="s">
        <v>51</v>
      </c>
      <c r="Q492" t="s">
        <v>52</v>
      </c>
      <c r="R492" t="s">
        <v>53</v>
      </c>
      <c r="S492" t="s">
        <v>5591</v>
      </c>
      <c r="T492" t="s">
        <v>6101</v>
      </c>
      <c r="U492" t="s">
        <v>56</v>
      </c>
      <c r="V492" s="21" t="s">
        <v>6102</v>
      </c>
      <c r="W492" s="21"/>
      <c r="X492" t="s">
        <v>6116</v>
      </c>
      <c r="Y492" t="s">
        <v>6117</v>
      </c>
      <c r="AC492" t="s">
        <v>1881</v>
      </c>
      <c r="AE492" s="15"/>
      <c r="AG492">
        <v>43.081313999999999</v>
      </c>
      <c r="AH492">
        <v>-73.296727000000004</v>
      </c>
      <c r="AI492" t="s">
        <v>6118</v>
      </c>
      <c r="AL492" t="s">
        <v>1715</v>
      </c>
      <c r="AM492" t="s">
        <v>63</v>
      </c>
      <c r="AN492" t="s">
        <v>6119</v>
      </c>
      <c r="AO492">
        <v>193948</v>
      </c>
      <c r="AQ492" t="s">
        <v>6120</v>
      </c>
      <c r="AR492" t="s">
        <v>6121</v>
      </c>
      <c r="AS492" t="s">
        <v>6122</v>
      </c>
      <c r="AT492" t="s">
        <v>68</v>
      </c>
      <c r="AV492" t="s">
        <v>6123</v>
      </c>
      <c r="AW492" t="s">
        <v>6124</v>
      </c>
      <c r="AX492" t="s">
        <v>6125</v>
      </c>
      <c r="BA492" s="14" t="s">
        <v>72</v>
      </c>
      <c r="BB492" s="14" t="s">
        <v>73</v>
      </c>
      <c r="BC492" s="14" t="s">
        <v>1723</v>
      </c>
    </row>
    <row r="493" spans="1:55" ht="15" customHeight="1" x14ac:dyDescent="0.4">
      <c r="A493" s="12">
        <v>3855</v>
      </c>
      <c r="B493" s="21" t="s">
        <v>6126</v>
      </c>
      <c r="C493" s="13" t="s">
        <v>6127</v>
      </c>
      <c r="D493" s="25" t="s">
        <v>6127</v>
      </c>
      <c r="E493" s="13"/>
      <c r="F493" s="41"/>
      <c r="G493" s="41"/>
      <c r="H493" s="41"/>
      <c r="I493" s="41"/>
      <c r="J493" s="41"/>
      <c r="K493" s="65" t="str">
        <f>IFERROR(VLOOKUP(D493,Sheet4!A$1:M$56,11,FALSE),"")</f>
        <v/>
      </c>
      <c r="L493" s="65" t="str">
        <f t="shared" si="7"/>
        <v/>
      </c>
      <c r="M493" s="14" t="s">
        <v>6100</v>
      </c>
      <c r="N493" s="15">
        <v>44791</v>
      </c>
      <c r="O493" t="s">
        <v>2719</v>
      </c>
      <c r="P493" t="s">
        <v>51</v>
      </c>
      <c r="Q493" t="s">
        <v>52</v>
      </c>
      <c r="R493" t="s">
        <v>53</v>
      </c>
      <c r="S493" t="s">
        <v>5591</v>
      </c>
      <c r="T493" t="s">
        <v>6101</v>
      </c>
      <c r="U493" t="s">
        <v>56</v>
      </c>
      <c r="V493" s="21" t="s">
        <v>6102</v>
      </c>
      <c r="W493" s="21"/>
      <c r="X493" t="s">
        <v>6128</v>
      </c>
      <c r="Y493" t="s">
        <v>6129</v>
      </c>
      <c r="AC493" t="s">
        <v>6105</v>
      </c>
      <c r="AE493" s="15"/>
      <c r="AG493">
        <v>43.081209000000001</v>
      </c>
      <c r="AH493">
        <v>-73.296002000000001</v>
      </c>
      <c r="AI493" t="s">
        <v>6130</v>
      </c>
      <c r="AL493" t="s">
        <v>1715</v>
      </c>
      <c r="AM493" t="s">
        <v>63</v>
      </c>
      <c r="AN493" t="s">
        <v>6131</v>
      </c>
      <c r="AO493">
        <v>193693</v>
      </c>
      <c r="AQ493" t="s">
        <v>6132</v>
      </c>
      <c r="AR493" t="s">
        <v>6133</v>
      </c>
      <c r="AS493" t="s">
        <v>6134</v>
      </c>
      <c r="AT493" t="s">
        <v>68</v>
      </c>
      <c r="AV493" t="s">
        <v>6135</v>
      </c>
      <c r="AW493" t="s">
        <v>6136</v>
      </c>
      <c r="AX493" t="s">
        <v>6137</v>
      </c>
      <c r="BA493" s="14" t="s">
        <v>72</v>
      </c>
      <c r="BB493" s="14" t="s">
        <v>73</v>
      </c>
      <c r="BC493" s="14" t="s">
        <v>1723</v>
      </c>
    </row>
    <row r="494" spans="1:55" ht="15" customHeight="1" x14ac:dyDescent="0.4">
      <c r="A494" s="12">
        <v>3856</v>
      </c>
      <c r="B494" s="21" t="s">
        <v>6138</v>
      </c>
      <c r="C494" s="13" t="s">
        <v>6139</v>
      </c>
      <c r="D494" s="25" t="s">
        <v>6139</v>
      </c>
      <c r="E494" s="13"/>
      <c r="F494" s="41"/>
      <c r="G494" s="41"/>
      <c r="H494" s="41"/>
      <c r="I494" s="41"/>
      <c r="J494" s="41"/>
      <c r="K494" s="65" t="str">
        <f>IFERROR(VLOOKUP(D494,Sheet4!A$1:M$56,11,FALSE),"")</f>
        <v/>
      </c>
      <c r="L494" s="65" t="str">
        <f t="shared" si="7"/>
        <v/>
      </c>
      <c r="M494" s="14" t="s">
        <v>6100</v>
      </c>
      <c r="N494" s="15">
        <v>44791</v>
      </c>
      <c r="O494" t="s">
        <v>2719</v>
      </c>
      <c r="P494" t="s">
        <v>51</v>
      </c>
      <c r="Q494" t="s">
        <v>52</v>
      </c>
      <c r="R494" t="s">
        <v>53</v>
      </c>
      <c r="S494" t="s">
        <v>5591</v>
      </c>
      <c r="T494" t="s">
        <v>6101</v>
      </c>
      <c r="U494" t="s">
        <v>56</v>
      </c>
      <c r="V494" s="21" t="s">
        <v>6102</v>
      </c>
      <c r="W494" s="21"/>
      <c r="X494" t="s">
        <v>6140</v>
      </c>
      <c r="Y494" t="s">
        <v>6141</v>
      </c>
      <c r="AC494" t="s">
        <v>6105</v>
      </c>
      <c r="AE494" s="15"/>
      <c r="AG494">
        <v>43.081346000000003</v>
      </c>
      <c r="AH494">
        <v>-73.294872999999995</v>
      </c>
      <c r="AI494" t="s">
        <v>6142</v>
      </c>
      <c r="AL494" t="s">
        <v>1715</v>
      </c>
      <c r="AM494" t="s">
        <v>63</v>
      </c>
      <c r="AN494" t="s">
        <v>6143</v>
      </c>
      <c r="AO494">
        <v>193767</v>
      </c>
      <c r="AQ494" t="s">
        <v>6144</v>
      </c>
      <c r="AR494" t="s">
        <v>6145</v>
      </c>
      <c r="AS494" t="s">
        <v>6146</v>
      </c>
      <c r="AT494" t="s">
        <v>68</v>
      </c>
      <c r="AV494" t="s">
        <v>6147</v>
      </c>
      <c r="AW494" t="s">
        <v>6148</v>
      </c>
      <c r="AX494" t="s">
        <v>6149</v>
      </c>
      <c r="BA494" s="14" t="s">
        <v>72</v>
      </c>
      <c r="BB494" s="14" t="s">
        <v>73</v>
      </c>
      <c r="BC494" s="14" t="s">
        <v>1723</v>
      </c>
    </row>
    <row r="495" spans="1:55" ht="15" customHeight="1" x14ac:dyDescent="0.4">
      <c r="A495" s="12">
        <v>3857</v>
      </c>
      <c r="B495" s="21" t="s">
        <v>6150</v>
      </c>
      <c r="C495" s="13" t="s">
        <v>6151</v>
      </c>
      <c r="D495" s="25" t="s">
        <v>6151</v>
      </c>
      <c r="E495" s="13"/>
      <c r="F495" s="41"/>
      <c r="G495" s="41"/>
      <c r="H495" s="41"/>
      <c r="I495" s="41"/>
      <c r="J495" s="41"/>
      <c r="K495" s="65" t="str">
        <f>IFERROR(VLOOKUP(D495,Sheet4!A$1:M$56,11,FALSE),"")</f>
        <v/>
      </c>
      <c r="L495" s="65" t="str">
        <f t="shared" si="7"/>
        <v/>
      </c>
      <c r="M495" s="14" t="s">
        <v>6100</v>
      </c>
      <c r="N495" s="15">
        <v>44791</v>
      </c>
      <c r="O495" t="s">
        <v>2719</v>
      </c>
      <c r="P495" t="s">
        <v>51</v>
      </c>
      <c r="Q495" t="s">
        <v>52</v>
      </c>
      <c r="R495" t="s">
        <v>53</v>
      </c>
      <c r="S495" t="s">
        <v>5591</v>
      </c>
      <c r="T495" t="s">
        <v>6101</v>
      </c>
      <c r="U495" t="s">
        <v>56</v>
      </c>
      <c r="V495" s="21" t="s">
        <v>6102</v>
      </c>
      <c r="W495" s="21"/>
      <c r="X495" t="s">
        <v>6152</v>
      </c>
      <c r="Y495" t="s">
        <v>6153</v>
      </c>
      <c r="AC495" t="s">
        <v>6105</v>
      </c>
      <c r="AE495" s="15"/>
      <c r="AG495">
        <v>43.081440000000001</v>
      </c>
      <c r="AH495">
        <v>-73.293407999999999</v>
      </c>
      <c r="AI495" t="s">
        <v>6154</v>
      </c>
      <c r="AL495" t="s">
        <v>1715</v>
      </c>
      <c r="AM495" t="s">
        <v>63</v>
      </c>
      <c r="AN495" t="s">
        <v>6155</v>
      </c>
      <c r="AO495">
        <v>193768</v>
      </c>
      <c r="AQ495" t="s">
        <v>6156</v>
      </c>
      <c r="AR495" t="s">
        <v>6157</v>
      </c>
      <c r="AS495" t="s">
        <v>6158</v>
      </c>
      <c r="AT495" t="s">
        <v>68</v>
      </c>
      <c r="AV495" t="s">
        <v>6159</v>
      </c>
      <c r="AW495" t="s">
        <v>6160</v>
      </c>
      <c r="AX495" t="s">
        <v>6161</v>
      </c>
      <c r="BA495" s="14" t="s">
        <v>72</v>
      </c>
      <c r="BB495" s="14" t="s">
        <v>73</v>
      </c>
      <c r="BC495" s="14" t="s">
        <v>1723</v>
      </c>
    </row>
    <row r="496" spans="1:55" ht="15" customHeight="1" x14ac:dyDescent="0.4">
      <c r="A496" s="12">
        <v>3858</v>
      </c>
      <c r="B496" s="21" t="s">
        <v>6162</v>
      </c>
      <c r="C496" s="13" t="s">
        <v>6163</v>
      </c>
      <c r="D496" s="25" t="s">
        <v>6163</v>
      </c>
      <c r="E496" s="13"/>
      <c r="F496" s="41"/>
      <c r="G496" s="41"/>
      <c r="H496" s="41"/>
      <c r="I496" s="41"/>
      <c r="J496" s="41"/>
      <c r="K496" s="65" t="str">
        <f>IFERROR(VLOOKUP(D496,Sheet4!A$1:M$56,11,FALSE),"")</f>
        <v/>
      </c>
      <c r="L496" s="65" t="str">
        <f t="shared" si="7"/>
        <v/>
      </c>
      <c r="M496" s="14" t="s">
        <v>6100</v>
      </c>
      <c r="N496" s="15">
        <v>44791</v>
      </c>
      <c r="O496" t="s">
        <v>2719</v>
      </c>
      <c r="P496" t="s">
        <v>51</v>
      </c>
      <c r="Q496" t="s">
        <v>52</v>
      </c>
      <c r="R496" t="s">
        <v>53</v>
      </c>
      <c r="S496" t="s">
        <v>5591</v>
      </c>
      <c r="T496" t="s">
        <v>6101</v>
      </c>
      <c r="U496" t="s">
        <v>56</v>
      </c>
      <c r="V496" s="21" t="s">
        <v>6102</v>
      </c>
      <c r="W496" s="21"/>
      <c r="X496" t="s">
        <v>6164</v>
      </c>
      <c r="Y496" t="s">
        <v>6165</v>
      </c>
      <c r="AC496" t="s">
        <v>6105</v>
      </c>
      <c r="AE496" s="15"/>
      <c r="AG496">
        <v>43.081873999999999</v>
      </c>
      <c r="AH496">
        <v>-73.292845</v>
      </c>
      <c r="AI496" t="s">
        <v>6166</v>
      </c>
      <c r="AL496" t="s">
        <v>1715</v>
      </c>
      <c r="AM496" t="s">
        <v>63</v>
      </c>
      <c r="AN496" t="s">
        <v>6167</v>
      </c>
      <c r="AO496">
        <v>193694</v>
      </c>
      <c r="AQ496" t="s">
        <v>6168</v>
      </c>
      <c r="AR496" t="s">
        <v>6169</v>
      </c>
      <c r="AS496" t="s">
        <v>6170</v>
      </c>
      <c r="AT496" t="s">
        <v>68</v>
      </c>
      <c r="AV496" t="s">
        <v>6171</v>
      </c>
      <c r="AW496" t="s">
        <v>6172</v>
      </c>
      <c r="AX496" t="s">
        <v>6173</v>
      </c>
      <c r="BA496" s="14" t="s">
        <v>72</v>
      </c>
      <c r="BB496" s="14" t="s">
        <v>73</v>
      </c>
      <c r="BC496" s="14" t="s">
        <v>1723</v>
      </c>
    </row>
    <row r="497" spans="1:55" ht="15" customHeight="1" x14ac:dyDescent="0.4">
      <c r="A497" s="12">
        <v>3868</v>
      </c>
      <c r="B497" s="21" t="s">
        <v>6282</v>
      </c>
      <c r="C497" s="13" t="s">
        <v>6283</v>
      </c>
      <c r="D497" s="25" t="s">
        <v>6283</v>
      </c>
      <c r="E497" s="13"/>
      <c r="F497" s="41"/>
      <c r="G497" s="41"/>
      <c r="H497" s="41"/>
      <c r="I497" s="41"/>
      <c r="J497" s="41"/>
      <c r="K497" s="65" t="str">
        <f>IFERROR(VLOOKUP(D497,Sheet4!A$1:M$56,11,FALSE),"")</f>
        <v/>
      </c>
      <c r="L497" s="65" t="str">
        <f t="shared" si="7"/>
        <v/>
      </c>
      <c r="M497" s="14" t="s">
        <v>1878</v>
      </c>
      <c r="N497" s="15">
        <v>44792</v>
      </c>
      <c r="O497" t="s">
        <v>2719</v>
      </c>
      <c r="P497" t="s">
        <v>51</v>
      </c>
      <c r="Q497" t="s">
        <v>52</v>
      </c>
      <c r="R497" t="s">
        <v>53</v>
      </c>
      <c r="S497" t="s">
        <v>5591</v>
      </c>
      <c r="T497" t="s">
        <v>6101</v>
      </c>
      <c r="U497" t="s">
        <v>56</v>
      </c>
      <c r="V497" s="21" t="s">
        <v>6102</v>
      </c>
      <c r="W497" s="21"/>
      <c r="X497" t="s">
        <v>6284</v>
      </c>
      <c r="Y497" t="s">
        <v>6285</v>
      </c>
      <c r="AC497" t="s">
        <v>1881</v>
      </c>
      <c r="AE497" s="15"/>
      <c r="AG497">
        <v>43.075901999999999</v>
      </c>
      <c r="AH497">
        <v>-73.295101000000003</v>
      </c>
      <c r="AI497" t="s">
        <v>6286</v>
      </c>
      <c r="AL497" t="s">
        <v>1715</v>
      </c>
      <c r="AM497" t="s">
        <v>63</v>
      </c>
      <c r="AN497" t="s">
        <v>6287</v>
      </c>
      <c r="AO497">
        <v>194159</v>
      </c>
      <c r="AQ497" t="s">
        <v>6288</v>
      </c>
      <c r="AR497" t="s">
        <v>6289</v>
      </c>
      <c r="AS497" t="s">
        <v>6290</v>
      </c>
      <c r="AT497" t="s">
        <v>68</v>
      </c>
      <c r="AV497" t="s">
        <v>6291</v>
      </c>
      <c r="AW497" t="s">
        <v>6292</v>
      </c>
      <c r="AX497" t="s">
        <v>6293</v>
      </c>
      <c r="BA497" s="14" t="s">
        <v>72</v>
      </c>
      <c r="BB497" s="14" t="s">
        <v>73</v>
      </c>
      <c r="BC497" s="14" t="s">
        <v>1723</v>
      </c>
    </row>
    <row r="498" spans="1:55" ht="15" customHeight="1" x14ac:dyDescent="0.4">
      <c r="A498" s="12">
        <v>3834</v>
      </c>
      <c r="B498" s="21" t="s">
        <v>5873</v>
      </c>
      <c r="C498" s="13" t="s">
        <v>5874</v>
      </c>
      <c r="D498" s="25" t="s">
        <v>5874</v>
      </c>
      <c r="E498" s="13"/>
      <c r="F498" s="41"/>
      <c r="G498" s="41"/>
      <c r="H498" s="41"/>
      <c r="I498" s="41"/>
      <c r="J498" s="41"/>
      <c r="K498" s="65" t="str">
        <f>IFERROR(VLOOKUP(D498,Sheet4!A$1:M$56,11,FALSE),"")</f>
        <v/>
      </c>
      <c r="L498" s="65" t="str">
        <f t="shared" si="7"/>
        <v/>
      </c>
      <c r="M498" s="14" t="s">
        <v>49</v>
      </c>
      <c r="N498" s="15">
        <v>44790</v>
      </c>
      <c r="O498" t="s">
        <v>2719</v>
      </c>
      <c r="P498" t="s">
        <v>51</v>
      </c>
      <c r="Q498" t="s">
        <v>52</v>
      </c>
      <c r="R498" t="s">
        <v>53</v>
      </c>
      <c r="S498" t="s">
        <v>5591</v>
      </c>
      <c r="T498" t="s">
        <v>5875</v>
      </c>
      <c r="U498" t="s">
        <v>56</v>
      </c>
      <c r="V498" s="21" t="s">
        <v>5876</v>
      </c>
      <c r="W498" s="21"/>
      <c r="X498" t="s">
        <v>5877</v>
      </c>
      <c r="Y498" t="s">
        <v>5878</v>
      </c>
      <c r="AB498" t="s">
        <v>1758</v>
      </c>
      <c r="AC498" t="s">
        <v>60</v>
      </c>
      <c r="AE498" s="15"/>
      <c r="AG498">
        <v>44.101258999999999</v>
      </c>
      <c r="AH498">
        <v>-76.074804999999998</v>
      </c>
      <c r="AI498" t="s">
        <v>4280</v>
      </c>
      <c r="AL498" t="s">
        <v>1715</v>
      </c>
      <c r="AM498" t="s">
        <v>63</v>
      </c>
      <c r="AN498" t="s">
        <v>5879</v>
      </c>
      <c r="AO498">
        <v>192587</v>
      </c>
      <c r="AQ498" t="s">
        <v>5880</v>
      </c>
      <c r="AR498" t="s">
        <v>5881</v>
      </c>
      <c r="AS498" t="s">
        <v>5882</v>
      </c>
      <c r="AT498" t="s">
        <v>68</v>
      </c>
      <c r="AV498" t="s">
        <v>5883</v>
      </c>
      <c r="AW498" t="s">
        <v>5884</v>
      </c>
      <c r="AX498" t="s">
        <v>5885</v>
      </c>
      <c r="BA498" s="14" t="s">
        <v>72</v>
      </c>
      <c r="BB498" s="14" t="s">
        <v>73</v>
      </c>
      <c r="BC498" s="14" t="s">
        <v>74</v>
      </c>
    </row>
    <row r="499" spans="1:55" ht="15" customHeight="1" x14ac:dyDescent="0.4">
      <c r="A499" s="12">
        <v>3835</v>
      </c>
      <c r="B499" s="21" t="s">
        <v>5886</v>
      </c>
      <c r="C499" s="13" t="s">
        <v>5887</v>
      </c>
      <c r="D499" s="25" t="s">
        <v>5887</v>
      </c>
      <c r="E499" s="13"/>
      <c r="F499" s="41"/>
      <c r="G499" s="41"/>
      <c r="H499" s="41"/>
      <c r="I499" s="41"/>
      <c r="J499" s="41"/>
      <c r="K499" s="65" t="str">
        <f>IFERROR(VLOOKUP(D499,Sheet4!A$1:M$56,11,FALSE),"")</f>
        <v/>
      </c>
      <c r="L499" s="65" t="str">
        <f t="shared" si="7"/>
        <v/>
      </c>
      <c r="M499" s="14" t="s">
        <v>49</v>
      </c>
      <c r="N499" s="15">
        <v>44790</v>
      </c>
      <c r="O499" t="s">
        <v>2719</v>
      </c>
      <c r="P499" t="s">
        <v>51</v>
      </c>
      <c r="Q499" t="s">
        <v>52</v>
      </c>
      <c r="R499" t="s">
        <v>53</v>
      </c>
      <c r="S499" t="s">
        <v>5591</v>
      </c>
      <c r="T499" t="s">
        <v>5875</v>
      </c>
      <c r="U499" t="s">
        <v>56</v>
      </c>
      <c r="V499" s="21" t="s">
        <v>5876</v>
      </c>
      <c r="W499" s="21"/>
      <c r="X499" t="s">
        <v>5888</v>
      </c>
      <c r="Y499" t="s">
        <v>5889</v>
      </c>
      <c r="AB499" t="s">
        <v>1758</v>
      </c>
      <c r="AC499" t="s">
        <v>60</v>
      </c>
      <c r="AE499" s="15"/>
      <c r="AG499">
        <v>44.099711999999997</v>
      </c>
      <c r="AH499">
        <v>-76.075817999999998</v>
      </c>
      <c r="AI499" t="s">
        <v>5890</v>
      </c>
      <c r="AK499" s="61"/>
      <c r="AL499" t="s">
        <v>1715</v>
      </c>
      <c r="AM499" t="s">
        <v>63</v>
      </c>
      <c r="AN499" t="s">
        <v>5891</v>
      </c>
      <c r="AO499">
        <v>192585</v>
      </c>
      <c r="AQ499" t="s">
        <v>5892</v>
      </c>
      <c r="AR499" t="s">
        <v>5893</v>
      </c>
      <c r="AS499" t="s">
        <v>5894</v>
      </c>
      <c r="AT499" t="s">
        <v>68</v>
      </c>
      <c r="AV499" t="s">
        <v>5895</v>
      </c>
      <c r="AW499" t="s">
        <v>5896</v>
      </c>
      <c r="AX499" t="s">
        <v>5897</v>
      </c>
      <c r="BA499" s="14" t="s">
        <v>72</v>
      </c>
      <c r="BB499" s="14" t="s">
        <v>73</v>
      </c>
      <c r="BC499" s="14" t="s">
        <v>74</v>
      </c>
    </row>
    <row r="500" spans="1:55" ht="15" customHeight="1" x14ac:dyDescent="0.4">
      <c r="A500" s="12">
        <v>3836</v>
      </c>
      <c r="B500" s="21" t="s">
        <v>5898</v>
      </c>
      <c r="C500" s="13" t="s">
        <v>5899</v>
      </c>
      <c r="D500" s="25" t="s">
        <v>5899</v>
      </c>
      <c r="E500" s="13"/>
      <c r="F500" s="41"/>
      <c r="G500" s="41"/>
      <c r="H500" s="41"/>
      <c r="I500" s="41"/>
      <c r="J500" s="41"/>
      <c r="K500" s="65" t="str">
        <f>IFERROR(VLOOKUP(D500,Sheet4!A$1:M$56,11,FALSE),"")</f>
        <v/>
      </c>
      <c r="L500" s="65" t="str">
        <f t="shared" si="7"/>
        <v/>
      </c>
      <c r="M500" s="14" t="s">
        <v>49</v>
      </c>
      <c r="N500" s="15">
        <v>44790</v>
      </c>
      <c r="O500" t="s">
        <v>2719</v>
      </c>
      <c r="P500" t="s">
        <v>51</v>
      </c>
      <c r="Q500" t="s">
        <v>52</v>
      </c>
      <c r="R500" t="s">
        <v>53</v>
      </c>
      <c r="S500" t="s">
        <v>5591</v>
      </c>
      <c r="T500" t="s">
        <v>5875</v>
      </c>
      <c r="U500" t="s">
        <v>56</v>
      </c>
      <c r="V500" s="21" t="s">
        <v>5876</v>
      </c>
      <c r="W500" s="21"/>
      <c r="X500" t="s">
        <v>5900</v>
      </c>
      <c r="Y500" t="s">
        <v>5901</v>
      </c>
      <c r="AC500" t="s">
        <v>60</v>
      </c>
      <c r="AE500" s="15"/>
      <c r="AG500">
        <v>44.098863999999999</v>
      </c>
      <c r="AH500">
        <v>-76.076791</v>
      </c>
      <c r="AI500" t="s">
        <v>5902</v>
      </c>
      <c r="AL500" t="s">
        <v>1715</v>
      </c>
      <c r="AM500" t="s">
        <v>63</v>
      </c>
      <c r="AN500" t="s">
        <v>5903</v>
      </c>
      <c r="AO500">
        <v>192582</v>
      </c>
      <c r="AQ500" t="s">
        <v>5904</v>
      </c>
      <c r="AR500" t="s">
        <v>5905</v>
      </c>
      <c r="AS500" t="s">
        <v>5906</v>
      </c>
      <c r="AT500" t="s">
        <v>68</v>
      </c>
      <c r="AV500" t="s">
        <v>5907</v>
      </c>
      <c r="AW500" t="s">
        <v>5908</v>
      </c>
      <c r="AX500" t="s">
        <v>5909</v>
      </c>
      <c r="BA500" s="14" t="s">
        <v>72</v>
      </c>
      <c r="BB500" s="14" t="s">
        <v>73</v>
      </c>
      <c r="BC500" s="14" t="s">
        <v>74</v>
      </c>
    </row>
    <row r="501" spans="1:55" ht="15" customHeight="1" x14ac:dyDescent="0.4">
      <c r="A501" s="12">
        <v>3837</v>
      </c>
      <c r="B501" s="21" t="s">
        <v>5910</v>
      </c>
      <c r="C501" s="13" t="s">
        <v>5911</v>
      </c>
      <c r="D501" s="25" t="s">
        <v>5911</v>
      </c>
      <c r="E501" s="13"/>
      <c r="F501" s="43" t="s">
        <v>49</v>
      </c>
      <c r="G501" s="43" t="s">
        <v>8095</v>
      </c>
      <c r="H501" s="43"/>
      <c r="I501" s="41"/>
      <c r="J501" s="41"/>
      <c r="K501" s="65" t="str">
        <f>IFERROR(VLOOKUP(D501,Sheet4!A$1:M$56,11,FALSE),"")</f>
        <v>Based on ADMIXTURE results of 78,187 SNPs, may be trace admixed with Quercus bicolor</v>
      </c>
      <c r="L501" s="65" t="str">
        <f t="shared" si="7"/>
        <v>Based on ADMIXTURE results of 78,187 SNPs, may be trace admixed with Quercus bicolor</v>
      </c>
      <c r="M501" s="14" t="s">
        <v>49</v>
      </c>
      <c r="N501" s="15">
        <v>44790</v>
      </c>
      <c r="O501" t="s">
        <v>2719</v>
      </c>
      <c r="P501" t="s">
        <v>51</v>
      </c>
      <c r="Q501" t="s">
        <v>52</v>
      </c>
      <c r="R501" t="s">
        <v>53</v>
      </c>
      <c r="S501" t="s">
        <v>5591</v>
      </c>
      <c r="T501" t="s">
        <v>5875</v>
      </c>
      <c r="U501" t="s">
        <v>56</v>
      </c>
      <c r="V501" s="21" t="s">
        <v>5876</v>
      </c>
      <c r="W501" s="21"/>
      <c r="X501" t="s">
        <v>5912</v>
      </c>
      <c r="Y501" t="s">
        <v>5913</v>
      </c>
      <c r="AC501" t="s">
        <v>60</v>
      </c>
      <c r="AE501" s="15"/>
      <c r="AG501">
        <v>44.098672999999998</v>
      </c>
      <c r="AH501">
        <v>-76.078697000000005</v>
      </c>
      <c r="AI501" t="s">
        <v>5914</v>
      </c>
      <c r="AL501" t="s">
        <v>1715</v>
      </c>
      <c r="AM501" t="s">
        <v>63</v>
      </c>
      <c r="AN501" t="s">
        <v>5915</v>
      </c>
      <c r="AO501">
        <v>194446</v>
      </c>
      <c r="AQ501" t="s">
        <v>5916</v>
      </c>
      <c r="AR501" t="s">
        <v>5917</v>
      </c>
      <c r="AS501" t="s">
        <v>5918</v>
      </c>
      <c r="AT501" t="s">
        <v>68</v>
      </c>
      <c r="AV501" t="s">
        <v>5919</v>
      </c>
      <c r="AW501" t="s">
        <v>5920</v>
      </c>
      <c r="AX501" t="s">
        <v>5921</v>
      </c>
      <c r="BA501" s="14" t="s">
        <v>72</v>
      </c>
      <c r="BB501" s="14" t="s">
        <v>73</v>
      </c>
      <c r="BC501" s="14" t="s">
        <v>74</v>
      </c>
    </row>
    <row r="502" spans="1:55" ht="15" customHeight="1" x14ac:dyDescent="0.4">
      <c r="A502" s="12">
        <v>3838</v>
      </c>
      <c r="B502" s="21" t="s">
        <v>5922</v>
      </c>
      <c r="C502" s="13" t="s">
        <v>5923</v>
      </c>
      <c r="D502" s="25" t="s">
        <v>5923</v>
      </c>
      <c r="E502" s="13"/>
      <c r="F502" s="41"/>
      <c r="G502" s="41"/>
      <c r="H502" s="41"/>
      <c r="I502" s="41"/>
      <c r="J502" s="41"/>
      <c r="K502" s="65" t="str">
        <f>IFERROR(VLOOKUP(D502,Sheet4!A$1:M$56,11,FALSE),"")</f>
        <v/>
      </c>
      <c r="L502" s="65" t="str">
        <f t="shared" si="7"/>
        <v/>
      </c>
      <c r="M502" s="14" t="s">
        <v>1878</v>
      </c>
      <c r="N502" s="15">
        <v>44790</v>
      </c>
      <c r="O502" t="s">
        <v>2719</v>
      </c>
      <c r="P502" t="s">
        <v>51</v>
      </c>
      <c r="Q502" t="s">
        <v>52</v>
      </c>
      <c r="R502" t="s">
        <v>53</v>
      </c>
      <c r="S502" t="s">
        <v>5591</v>
      </c>
      <c r="T502" t="s">
        <v>5875</v>
      </c>
      <c r="U502" t="s">
        <v>56</v>
      </c>
      <c r="V502" s="21" t="s">
        <v>5876</v>
      </c>
      <c r="W502" s="21"/>
      <c r="X502" t="s">
        <v>5900</v>
      </c>
      <c r="Y502" t="s">
        <v>5924</v>
      </c>
      <c r="AC502" t="s">
        <v>1881</v>
      </c>
      <c r="AE502" s="15"/>
      <c r="AG502">
        <v>44.098024000000002</v>
      </c>
      <c r="AH502">
        <v>-76.079464000000002</v>
      </c>
      <c r="AI502" t="s">
        <v>5925</v>
      </c>
      <c r="AL502" t="s">
        <v>1715</v>
      </c>
      <c r="AM502" t="s">
        <v>63</v>
      </c>
      <c r="AN502" t="s">
        <v>5926</v>
      </c>
      <c r="AO502">
        <v>192588</v>
      </c>
      <c r="AQ502" t="s">
        <v>5927</v>
      </c>
      <c r="AR502" t="s">
        <v>5928</v>
      </c>
      <c r="AS502" t="s">
        <v>5929</v>
      </c>
      <c r="AT502" t="s">
        <v>68</v>
      </c>
      <c r="AV502" t="s">
        <v>5930</v>
      </c>
      <c r="AW502" t="s">
        <v>5931</v>
      </c>
      <c r="AX502" t="s">
        <v>5932</v>
      </c>
      <c r="BA502" s="14" t="s">
        <v>72</v>
      </c>
      <c r="BB502" s="14" t="s">
        <v>73</v>
      </c>
      <c r="BC502" s="14" t="s">
        <v>1723</v>
      </c>
    </row>
    <row r="503" spans="1:55" ht="15" customHeight="1" x14ac:dyDescent="0.4">
      <c r="A503" s="12">
        <v>3839</v>
      </c>
      <c r="B503" s="21" t="s">
        <v>5933</v>
      </c>
      <c r="C503" s="13" t="s">
        <v>5934</v>
      </c>
      <c r="D503" s="25" t="s">
        <v>5934</v>
      </c>
      <c r="E503" s="13"/>
      <c r="F503" s="41"/>
      <c r="G503" s="41"/>
      <c r="H503" s="41"/>
      <c r="I503" s="41"/>
      <c r="J503" s="41"/>
      <c r="K503" s="65" t="str">
        <f>IFERROR(VLOOKUP(D503,Sheet4!A$1:M$56,11,FALSE),"")</f>
        <v>Based on ADMIXTURE results of 78,187 SNPs, trace admixed (Q&lt;0.10) with Quercus bicolor</v>
      </c>
      <c r="L503" s="65" t="str">
        <f t="shared" si="7"/>
        <v>Based on ADMIXTURE results of 78,187 SNPs, trace admixed (Q&lt;0.10) with Quercus bicolor</v>
      </c>
      <c r="M503" s="14" t="s">
        <v>49</v>
      </c>
      <c r="N503" s="15">
        <v>44790</v>
      </c>
      <c r="O503" t="s">
        <v>2719</v>
      </c>
      <c r="P503" t="s">
        <v>51</v>
      </c>
      <c r="Q503" t="s">
        <v>52</v>
      </c>
      <c r="R503" t="s">
        <v>53</v>
      </c>
      <c r="S503" t="s">
        <v>5591</v>
      </c>
      <c r="T503" t="s">
        <v>5875</v>
      </c>
      <c r="U503" t="s">
        <v>56</v>
      </c>
      <c r="V503" s="21" t="s">
        <v>5876</v>
      </c>
      <c r="W503" s="21"/>
      <c r="X503" t="s">
        <v>5935</v>
      </c>
      <c r="Y503" t="s">
        <v>5936</v>
      </c>
      <c r="AB503" t="s">
        <v>1758</v>
      </c>
      <c r="AC503" t="s">
        <v>60</v>
      </c>
      <c r="AE503" s="15"/>
      <c r="AG503">
        <v>44.097946999999998</v>
      </c>
      <c r="AH503">
        <v>-76.079857000000004</v>
      </c>
      <c r="AI503" t="s">
        <v>5902</v>
      </c>
      <c r="AL503" t="s">
        <v>1715</v>
      </c>
      <c r="AM503" t="s">
        <v>63</v>
      </c>
      <c r="AN503" t="s">
        <v>5937</v>
      </c>
      <c r="AO503">
        <v>194447</v>
      </c>
      <c r="AQ503" t="s">
        <v>5938</v>
      </c>
      <c r="AR503" t="s">
        <v>5939</v>
      </c>
      <c r="AS503" t="s">
        <v>5940</v>
      </c>
      <c r="AT503" t="s">
        <v>68</v>
      </c>
      <c r="AV503" t="s">
        <v>5941</v>
      </c>
      <c r="AW503" t="s">
        <v>5942</v>
      </c>
      <c r="AX503" t="s">
        <v>5943</v>
      </c>
      <c r="BA503" s="14" t="s">
        <v>72</v>
      </c>
      <c r="BB503" s="14" t="s">
        <v>73</v>
      </c>
      <c r="BC503" s="14" t="s">
        <v>74</v>
      </c>
    </row>
    <row r="504" spans="1:55" ht="15" customHeight="1" x14ac:dyDescent="0.4">
      <c r="A504" s="12">
        <v>3840</v>
      </c>
      <c r="B504" s="21" t="s">
        <v>5944</v>
      </c>
      <c r="C504" s="13" t="s">
        <v>5945</v>
      </c>
      <c r="D504" s="25" t="s">
        <v>5945</v>
      </c>
      <c r="E504" s="13"/>
      <c r="F504" s="41" t="s">
        <v>8119</v>
      </c>
      <c r="G504" s="41"/>
      <c r="H504" s="41"/>
      <c r="I504" s="41"/>
      <c r="J504" s="41"/>
      <c r="K504" s="65" t="str">
        <f>IFERROR(VLOOKUP(D504,Sheet4!A$1:M$56,11,FALSE),"")</f>
        <v/>
      </c>
      <c r="L504" s="65" t="str">
        <f t="shared" si="7"/>
        <v/>
      </c>
      <c r="M504" s="14" t="s">
        <v>1878</v>
      </c>
      <c r="N504" s="15">
        <v>44790</v>
      </c>
      <c r="O504" t="s">
        <v>2719</v>
      </c>
      <c r="P504" t="s">
        <v>51</v>
      </c>
      <c r="Q504" t="s">
        <v>52</v>
      </c>
      <c r="R504" t="s">
        <v>53</v>
      </c>
      <c r="S504" t="s">
        <v>5591</v>
      </c>
      <c r="T504" t="s">
        <v>5875</v>
      </c>
      <c r="U504" t="s">
        <v>56</v>
      </c>
      <c r="V504" s="21" t="s">
        <v>5876</v>
      </c>
      <c r="W504" s="21"/>
      <c r="X504" t="s">
        <v>5946</v>
      </c>
      <c r="Y504" t="s">
        <v>5947</v>
      </c>
      <c r="AB504" t="s">
        <v>1758</v>
      </c>
      <c r="AC504" t="s">
        <v>1881</v>
      </c>
      <c r="AE504" s="15"/>
      <c r="AG504">
        <v>44.097900000000003</v>
      </c>
      <c r="AH504">
        <v>-76.080360999999996</v>
      </c>
      <c r="AI504" t="s">
        <v>5948</v>
      </c>
      <c r="AL504" t="s">
        <v>1715</v>
      </c>
      <c r="AM504" t="s">
        <v>63</v>
      </c>
      <c r="AN504" t="s">
        <v>5949</v>
      </c>
      <c r="AO504">
        <v>192544</v>
      </c>
      <c r="AQ504" t="s">
        <v>5950</v>
      </c>
      <c r="AR504" t="s">
        <v>5951</v>
      </c>
      <c r="AS504" t="s">
        <v>5952</v>
      </c>
      <c r="AT504" t="s">
        <v>68</v>
      </c>
      <c r="AV504" t="s">
        <v>5953</v>
      </c>
      <c r="AW504" t="s">
        <v>5954</v>
      </c>
      <c r="AX504" t="s">
        <v>5955</v>
      </c>
      <c r="BA504" s="14" t="s">
        <v>72</v>
      </c>
      <c r="BB504" s="14" t="s">
        <v>73</v>
      </c>
      <c r="BC504" s="14" t="s">
        <v>1723</v>
      </c>
    </row>
    <row r="505" spans="1:55" ht="15" customHeight="1" x14ac:dyDescent="0.4">
      <c r="A505" s="12">
        <v>3841</v>
      </c>
      <c r="B505" s="21" t="s">
        <v>5956</v>
      </c>
      <c r="C505" s="13" t="s">
        <v>5957</v>
      </c>
      <c r="D505" s="25" t="s">
        <v>5957</v>
      </c>
      <c r="E505" s="13"/>
      <c r="F505" s="45" t="s">
        <v>1878</v>
      </c>
      <c r="G505" s="45" t="s">
        <v>8118</v>
      </c>
      <c r="H505" s="45"/>
      <c r="I505" s="45"/>
      <c r="J505" s="45"/>
      <c r="K505" s="65" t="str">
        <f>IFERROR(VLOOKUP(D505,Sheet4!A$1:M$56,11,FALSE),"")</f>
        <v>Based on ADMIXTURE results of 78,187 SNPs, admixed with Quercus macrocarpa</v>
      </c>
      <c r="L505" s="65" t="str">
        <f t="shared" si="7"/>
        <v>Based on ADMIXTURE results of 78,187 SNPs, admixed with Quercus macrocarpa</v>
      </c>
      <c r="M505" s="14" t="s">
        <v>1878</v>
      </c>
      <c r="N505" s="15">
        <v>44790</v>
      </c>
      <c r="O505" t="s">
        <v>2719</v>
      </c>
      <c r="P505" t="s">
        <v>51</v>
      </c>
      <c r="Q505" t="s">
        <v>52</v>
      </c>
      <c r="R505" t="s">
        <v>53</v>
      </c>
      <c r="S505" t="s">
        <v>5591</v>
      </c>
      <c r="T505" t="s">
        <v>5875</v>
      </c>
      <c r="U505" t="s">
        <v>56</v>
      </c>
      <c r="V505" s="21" t="s">
        <v>5876</v>
      </c>
      <c r="W505" s="21"/>
      <c r="X505" t="s">
        <v>5888</v>
      </c>
      <c r="Y505" t="s">
        <v>5958</v>
      </c>
      <c r="AC505" t="s">
        <v>1881</v>
      </c>
      <c r="AE505" s="15"/>
      <c r="AG505">
        <v>44.099964</v>
      </c>
      <c r="AH505">
        <v>-76.075710000000001</v>
      </c>
      <c r="AI505" t="s">
        <v>5959</v>
      </c>
      <c r="AL505" t="s">
        <v>1715</v>
      </c>
      <c r="AM505" t="s">
        <v>63</v>
      </c>
      <c r="AN505" t="s">
        <v>5960</v>
      </c>
      <c r="AO505">
        <v>192545</v>
      </c>
      <c r="AQ505" t="s">
        <v>5961</v>
      </c>
      <c r="AR505" t="s">
        <v>5962</v>
      </c>
      <c r="AS505" t="s">
        <v>5963</v>
      </c>
      <c r="AT505" t="s">
        <v>68</v>
      </c>
      <c r="AV505" t="s">
        <v>5964</v>
      </c>
      <c r="AW505" t="s">
        <v>5965</v>
      </c>
      <c r="AX505" t="s">
        <v>5966</v>
      </c>
      <c r="BA505" s="14" t="s">
        <v>72</v>
      </c>
      <c r="BB505" s="14" t="s">
        <v>73</v>
      </c>
      <c r="BC505" s="14" t="s">
        <v>1723</v>
      </c>
    </row>
    <row r="506" spans="1:55" ht="15" customHeight="1" x14ac:dyDescent="0.4">
      <c r="A506" s="12">
        <v>3842</v>
      </c>
      <c r="B506" s="21" t="s">
        <v>5967</v>
      </c>
      <c r="C506" s="13" t="s">
        <v>5968</v>
      </c>
      <c r="D506" s="25" t="s">
        <v>5968</v>
      </c>
      <c r="E506" s="13"/>
      <c r="F506" s="41"/>
      <c r="G506" s="41"/>
      <c r="H506" s="41"/>
      <c r="I506" s="41"/>
      <c r="J506" s="41"/>
      <c r="K506" s="65" t="str">
        <f>IFERROR(VLOOKUP(D506,Sheet4!A$1:M$56,11,FALSE),"")</f>
        <v/>
      </c>
      <c r="L506" s="65" t="str">
        <f t="shared" si="7"/>
        <v/>
      </c>
      <c r="M506" s="14" t="s">
        <v>1878</v>
      </c>
      <c r="N506" s="15">
        <v>44790</v>
      </c>
      <c r="O506" t="s">
        <v>2719</v>
      </c>
      <c r="P506" t="s">
        <v>51</v>
      </c>
      <c r="Q506" t="s">
        <v>52</v>
      </c>
      <c r="R506" t="s">
        <v>53</v>
      </c>
      <c r="S506" t="s">
        <v>5591</v>
      </c>
      <c r="T506" t="s">
        <v>5875</v>
      </c>
      <c r="U506" t="s">
        <v>56</v>
      </c>
      <c r="V506" s="21" t="s">
        <v>5876</v>
      </c>
      <c r="W506" s="21"/>
      <c r="X506" t="s">
        <v>5969</v>
      </c>
      <c r="Y506" t="s">
        <v>5970</v>
      </c>
      <c r="AC506" t="s">
        <v>1881</v>
      </c>
      <c r="AE506" s="15"/>
      <c r="AG506">
        <v>44.100976000000003</v>
      </c>
      <c r="AH506">
        <v>-76.076863000000003</v>
      </c>
      <c r="AI506" t="s">
        <v>5971</v>
      </c>
      <c r="AL506" t="s">
        <v>1715</v>
      </c>
      <c r="AM506" t="s">
        <v>63</v>
      </c>
      <c r="AN506" t="s">
        <v>5972</v>
      </c>
      <c r="AO506">
        <v>193944</v>
      </c>
      <c r="AQ506" t="s">
        <v>5973</v>
      </c>
      <c r="AR506" t="s">
        <v>5974</v>
      </c>
      <c r="AS506" t="s">
        <v>5975</v>
      </c>
      <c r="AT506" t="s">
        <v>68</v>
      </c>
      <c r="AV506" t="s">
        <v>5976</v>
      </c>
      <c r="AW506" t="s">
        <v>5977</v>
      </c>
      <c r="AX506" t="s">
        <v>5978</v>
      </c>
      <c r="BA506" s="14" t="s">
        <v>72</v>
      </c>
      <c r="BB506" s="14" t="s">
        <v>73</v>
      </c>
      <c r="BC506" s="14" t="s">
        <v>1723</v>
      </c>
    </row>
    <row r="507" spans="1:55" ht="15" customHeight="1" x14ac:dyDescent="0.4">
      <c r="A507" s="12">
        <v>3843</v>
      </c>
      <c r="B507" s="21" t="s">
        <v>5979</v>
      </c>
      <c r="C507" s="13" t="s">
        <v>5980</v>
      </c>
      <c r="D507" s="25" t="s">
        <v>5980</v>
      </c>
      <c r="E507" s="13"/>
      <c r="F507" s="41"/>
      <c r="G507" s="41"/>
      <c r="H507" s="41"/>
      <c r="I507" s="41"/>
      <c r="J507" s="41"/>
      <c r="K507" s="65" t="str">
        <f>IFERROR(VLOOKUP(D507,Sheet4!A$1:M$56,11,FALSE),"")</f>
        <v/>
      </c>
      <c r="L507" s="65" t="str">
        <f t="shared" si="7"/>
        <v/>
      </c>
      <c r="M507" s="14" t="s">
        <v>1878</v>
      </c>
      <c r="N507" s="15">
        <v>44790</v>
      </c>
      <c r="O507" t="s">
        <v>2719</v>
      </c>
      <c r="P507" t="s">
        <v>51</v>
      </c>
      <c r="Q507" t="s">
        <v>52</v>
      </c>
      <c r="R507" t="s">
        <v>53</v>
      </c>
      <c r="S507" t="s">
        <v>5591</v>
      </c>
      <c r="T507" t="s">
        <v>5875</v>
      </c>
      <c r="U507" t="s">
        <v>56</v>
      </c>
      <c r="V507" s="21" t="s">
        <v>5876</v>
      </c>
      <c r="W507" s="21"/>
      <c r="X507" t="s">
        <v>5981</v>
      </c>
      <c r="Y507" t="s">
        <v>5982</v>
      </c>
      <c r="AC507" t="s">
        <v>1881</v>
      </c>
      <c r="AE507" s="15"/>
      <c r="AG507">
        <v>44.102083</v>
      </c>
      <c r="AH507">
        <v>-76.078216999999995</v>
      </c>
      <c r="AI507" t="s">
        <v>5983</v>
      </c>
      <c r="AL507" t="s">
        <v>1715</v>
      </c>
      <c r="AM507" t="s">
        <v>63</v>
      </c>
      <c r="AN507" t="s">
        <v>5984</v>
      </c>
      <c r="AO507">
        <v>193945</v>
      </c>
      <c r="AQ507" t="s">
        <v>5985</v>
      </c>
      <c r="AR507" t="s">
        <v>5986</v>
      </c>
      <c r="AS507" t="s">
        <v>5987</v>
      </c>
      <c r="AT507" t="s">
        <v>68</v>
      </c>
      <c r="AV507" t="s">
        <v>5988</v>
      </c>
      <c r="AW507" t="s">
        <v>5989</v>
      </c>
      <c r="AX507" t="s">
        <v>5990</v>
      </c>
      <c r="BA507" s="14" t="s">
        <v>72</v>
      </c>
      <c r="BB507" s="14" t="s">
        <v>73</v>
      </c>
      <c r="BC507" s="14" t="s">
        <v>1723</v>
      </c>
    </row>
    <row r="508" spans="1:55" ht="15" customHeight="1" x14ac:dyDescent="0.4">
      <c r="A508" s="12">
        <v>3824</v>
      </c>
      <c r="B508" s="21" t="s">
        <v>5754</v>
      </c>
      <c r="C508" s="13" t="s">
        <v>5755</v>
      </c>
      <c r="D508" s="25" t="s">
        <v>5755</v>
      </c>
      <c r="E508" s="13"/>
      <c r="F508" s="41"/>
      <c r="G508" s="41"/>
      <c r="H508" s="41"/>
      <c r="I508" s="41"/>
      <c r="J508" s="41"/>
      <c r="K508" s="65" t="str">
        <f>IFERROR(VLOOKUP(D508,Sheet4!A$1:M$56,11,FALSE),"")</f>
        <v/>
      </c>
      <c r="L508" s="65" t="str">
        <f t="shared" si="7"/>
        <v/>
      </c>
      <c r="M508" s="14" t="s">
        <v>1878</v>
      </c>
      <c r="N508" s="15">
        <v>44789</v>
      </c>
      <c r="O508" t="s">
        <v>2719</v>
      </c>
      <c r="P508" t="s">
        <v>51</v>
      </c>
      <c r="Q508" t="s">
        <v>52</v>
      </c>
      <c r="R508" t="s">
        <v>53</v>
      </c>
      <c r="S508" t="s">
        <v>5591</v>
      </c>
      <c r="T508" t="s">
        <v>5756</v>
      </c>
      <c r="U508" t="s">
        <v>56</v>
      </c>
      <c r="V508" s="21" t="s">
        <v>5757</v>
      </c>
      <c r="W508" s="21"/>
      <c r="X508" t="s">
        <v>5758</v>
      </c>
      <c r="Y508" t="s">
        <v>5759</v>
      </c>
      <c r="AC508" t="s">
        <v>1881</v>
      </c>
      <c r="AE508" s="15"/>
      <c r="AG508">
        <v>42.706592000000001</v>
      </c>
      <c r="AH508">
        <v>-76.900946000000005</v>
      </c>
      <c r="AI508" t="s">
        <v>5760</v>
      </c>
      <c r="AL508" t="s">
        <v>1715</v>
      </c>
      <c r="AM508" t="s">
        <v>63</v>
      </c>
      <c r="AN508" t="s">
        <v>5761</v>
      </c>
      <c r="AO508">
        <v>193378</v>
      </c>
      <c r="AQ508" t="s">
        <v>5762</v>
      </c>
      <c r="AR508" t="s">
        <v>5763</v>
      </c>
      <c r="AS508" t="s">
        <v>5764</v>
      </c>
      <c r="AT508" t="s">
        <v>68</v>
      </c>
      <c r="AV508" t="s">
        <v>5765</v>
      </c>
      <c r="AW508" t="s">
        <v>5766</v>
      </c>
      <c r="AX508" t="s">
        <v>5767</v>
      </c>
      <c r="BA508" s="14" t="s">
        <v>72</v>
      </c>
      <c r="BB508" s="14" t="s">
        <v>73</v>
      </c>
      <c r="BC508" s="14" t="s">
        <v>1723</v>
      </c>
    </row>
    <row r="509" spans="1:55" ht="15" customHeight="1" x14ac:dyDescent="0.4">
      <c r="A509" s="12">
        <v>3825</v>
      </c>
      <c r="B509" s="21" t="s">
        <v>5768</v>
      </c>
      <c r="C509" s="13" t="s">
        <v>5769</v>
      </c>
      <c r="D509" s="25" t="s">
        <v>5769</v>
      </c>
      <c r="E509" s="13"/>
      <c r="F509" s="41"/>
      <c r="G509" s="41"/>
      <c r="H509" s="41"/>
      <c r="I509" s="41"/>
      <c r="J509" s="41"/>
      <c r="K509" s="65" t="str">
        <f>IFERROR(VLOOKUP(D509,Sheet4!A$1:M$56,11,FALSE),"")</f>
        <v/>
      </c>
      <c r="L509" s="65" t="str">
        <f t="shared" si="7"/>
        <v/>
      </c>
      <c r="M509" s="14" t="s">
        <v>1878</v>
      </c>
      <c r="N509" s="15">
        <v>44789</v>
      </c>
      <c r="O509" t="s">
        <v>2719</v>
      </c>
      <c r="P509" t="s">
        <v>51</v>
      </c>
      <c r="Q509" t="s">
        <v>52</v>
      </c>
      <c r="R509" t="s">
        <v>53</v>
      </c>
      <c r="S509" t="s">
        <v>5591</v>
      </c>
      <c r="T509" t="s">
        <v>5756</v>
      </c>
      <c r="U509" t="s">
        <v>56</v>
      </c>
      <c r="V509" s="21" t="s">
        <v>5757</v>
      </c>
      <c r="W509" s="21"/>
      <c r="X509" t="s">
        <v>5770</v>
      </c>
      <c r="Y509" t="s">
        <v>5771</v>
      </c>
      <c r="AC509" t="s">
        <v>1881</v>
      </c>
      <c r="AE509" s="15"/>
      <c r="AG509">
        <v>42.700906000000003</v>
      </c>
      <c r="AH509">
        <v>-76.897109</v>
      </c>
      <c r="AI509" t="s">
        <v>3596</v>
      </c>
      <c r="AL509" t="s">
        <v>1715</v>
      </c>
      <c r="AM509" t="s">
        <v>63</v>
      </c>
      <c r="AN509" t="s">
        <v>5772</v>
      </c>
      <c r="AO509">
        <v>193377</v>
      </c>
      <c r="AQ509" t="s">
        <v>5773</v>
      </c>
      <c r="AR509" t="s">
        <v>5774</v>
      </c>
      <c r="AS509" t="s">
        <v>5775</v>
      </c>
      <c r="AT509" t="s">
        <v>68</v>
      </c>
      <c r="AV509" t="s">
        <v>5776</v>
      </c>
      <c r="AW509" t="s">
        <v>5777</v>
      </c>
      <c r="AX509" t="s">
        <v>5778</v>
      </c>
      <c r="BA509" s="14" t="s">
        <v>72</v>
      </c>
      <c r="BB509" s="14" t="s">
        <v>73</v>
      </c>
      <c r="BC509" s="14" t="s">
        <v>1723</v>
      </c>
    </row>
    <row r="510" spans="1:55" ht="15" customHeight="1" x14ac:dyDescent="0.4">
      <c r="A510" s="12">
        <v>3826</v>
      </c>
      <c r="B510" s="21" t="s">
        <v>5779</v>
      </c>
      <c r="C510" s="13" t="s">
        <v>5780</v>
      </c>
      <c r="D510" s="25" t="s">
        <v>5780</v>
      </c>
      <c r="E510" s="13"/>
      <c r="F510" s="41"/>
      <c r="G510" s="41"/>
      <c r="H510" s="41"/>
      <c r="I510" s="41"/>
      <c r="J510" s="41"/>
      <c r="K510" s="65" t="str">
        <f>IFERROR(VLOOKUP(D510,Sheet4!A$1:M$56,11,FALSE),"")</f>
        <v/>
      </c>
      <c r="L510" s="65" t="str">
        <f t="shared" si="7"/>
        <v/>
      </c>
      <c r="M510" s="14" t="s">
        <v>1878</v>
      </c>
      <c r="N510" s="15">
        <v>44789</v>
      </c>
      <c r="O510" t="s">
        <v>2719</v>
      </c>
      <c r="P510" t="s">
        <v>51</v>
      </c>
      <c r="Q510" t="s">
        <v>52</v>
      </c>
      <c r="R510" t="s">
        <v>53</v>
      </c>
      <c r="S510" t="s">
        <v>5591</v>
      </c>
      <c r="T510" t="s">
        <v>5756</v>
      </c>
      <c r="U510" t="s">
        <v>56</v>
      </c>
      <c r="V510" s="21" t="s">
        <v>5757</v>
      </c>
      <c r="W510" s="21"/>
      <c r="X510" t="s">
        <v>5781</v>
      </c>
      <c r="Y510" t="s">
        <v>5782</v>
      </c>
      <c r="AC510" t="s">
        <v>1881</v>
      </c>
      <c r="AE510" s="15"/>
      <c r="AG510">
        <v>42.700262000000002</v>
      </c>
      <c r="AH510">
        <v>-76.896737000000002</v>
      </c>
      <c r="AI510" t="s">
        <v>3550</v>
      </c>
      <c r="AL510" t="s">
        <v>1715</v>
      </c>
      <c r="AM510" t="s">
        <v>63</v>
      </c>
      <c r="AN510" t="s">
        <v>5783</v>
      </c>
      <c r="AO510">
        <v>193376</v>
      </c>
      <c r="AQ510" t="s">
        <v>5784</v>
      </c>
      <c r="AR510" t="s">
        <v>5785</v>
      </c>
      <c r="AS510" t="s">
        <v>5786</v>
      </c>
      <c r="AT510" t="s">
        <v>68</v>
      </c>
      <c r="AV510" t="s">
        <v>5787</v>
      </c>
      <c r="AW510" t="s">
        <v>5788</v>
      </c>
      <c r="AX510" t="s">
        <v>5789</v>
      </c>
      <c r="BA510" s="14" t="s">
        <v>72</v>
      </c>
      <c r="BB510" s="14" t="s">
        <v>73</v>
      </c>
      <c r="BC510" s="14" t="s">
        <v>1723</v>
      </c>
    </row>
    <row r="511" spans="1:55" ht="15" customHeight="1" x14ac:dyDescent="0.4">
      <c r="A511" s="12">
        <v>3827</v>
      </c>
      <c r="B511" s="21" t="s">
        <v>5790</v>
      </c>
      <c r="C511" s="13" t="s">
        <v>5791</v>
      </c>
      <c r="D511" s="25" t="s">
        <v>5791</v>
      </c>
      <c r="E511" s="13"/>
      <c r="F511" s="41"/>
      <c r="G511" s="41"/>
      <c r="H511" s="41"/>
      <c r="I511" s="41"/>
      <c r="J511" s="41"/>
      <c r="K511" s="65" t="str">
        <f>IFERROR(VLOOKUP(D511,Sheet4!A$1:M$56,11,FALSE),"")</f>
        <v/>
      </c>
      <c r="L511" s="65" t="str">
        <f t="shared" si="7"/>
        <v/>
      </c>
      <c r="M511" s="14" t="s">
        <v>1878</v>
      </c>
      <c r="N511" s="15">
        <v>44789</v>
      </c>
      <c r="O511" t="s">
        <v>2719</v>
      </c>
      <c r="P511" t="s">
        <v>51</v>
      </c>
      <c r="Q511" t="s">
        <v>52</v>
      </c>
      <c r="R511" t="s">
        <v>53</v>
      </c>
      <c r="S511" t="s">
        <v>5591</v>
      </c>
      <c r="T511" t="s">
        <v>5756</v>
      </c>
      <c r="U511" t="s">
        <v>56</v>
      </c>
      <c r="V511" s="21" t="s">
        <v>5757</v>
      </c>
      <c r="W511" s="21"/>
      <c r="X511" t="s">
        <v>5792</v>
      </c>
      <c r="Y511" t="s">
        <v>5793</v>
      </c>
      <c r="AB511" t="s">
        <v>1758</v>
      </c>
      <c r="AC511" t="s">
        <v>1881</v>
      </c>
      <c r="AE511" s="15"/>
      <c r="AG511">
        <v>42.699741000000003</v>
      </c>
      <c r="AH511">
        <v>-76.895966000000001</v>
      </c>
      <c r="AI511" t="s">
        <v>5794</v>
      </c>
      <c r="AL511" t="s">
        <v>1715</v>
      </c>
      <c r="AM511" t="s">
        <v>63</v>
      </c>
      <c r="AN511" t="s">
        <v>5795</v>
      </c>
      <c r="AO511">
        <v>193942</v>
      </c>
      <c r="AQ511" t="s">
        <v>5796</v>
      </c>
      <c r="AR511" t="s">
        <v>5797</v>
      </c>
      <c r="AS511" t="s">
        <v>5798</v>
      </c>
      <c r="AT511" t="s">
        <v>68</v>
      </c>
      <c r="AV511" t="s">
        <v>5799</v>
      </c>
      <c r="AW511" t="s">
        <v>5800</v>
      </c>
      <c r="AX511" t="s">
        <v>5801</v>
      </c>
      <c r="BA511" s="14" t="s">
        <v>72</v>
      </c>
      <c r="BB511" s="14" t="s">
        <v>73</v>
      </c>
      <c r="BC511" s="14" t="s">
        <v>1723</v>
      </c>
    </row>
    <row r="512" spans="1:55" ht="15" customHeight="1" x14ac:dyDescent="0.4">
      <c r="A512" s="12">
        <v>3828</v>
      </c>
      <c r="B512" s="21" t="s">
        <v>5802</v>
      </c>
      <c r="C512" s="13" t="s">
        <v>5803</v>
      </c>
      <c r="D512" s="25" t="s">
        <v>5803</v>
      </c>
      <c r="E512" s="13"/>
      <c r="F512" s="41"/>
      <c r="G512" s="41"/>
      <c r="H512" s="41"/>
      <c r="I512" s="41"/>
      <c r="J512" s="41"/>
      <c r="K512" s="65" t="str">
        <f>IFERROR(VLOOKUP(D512,Sheet4!A$1:M$56,11,FALSE),"")</f>
        <v/>
      </c>
      <c r="L512" s="65" t="str">
        <f t="shared" si="7"/>
        <v/>
      </c>
      <c r="M512" s="14" t="s">
        <v>1878</v>
      </c>
      <c r="N512" s="15">
        <v>44789</v>
      </c>
      <c r="O512" t="s">
        <v>2719</v>
      </c>
      <c r="P512" t="s">
        <v>51</v>
      </c>
      <c r="Q512" t="s">
        <v>52</v>
      </c>
      <c r="R512" t="s">
        <v>53</v>
      </c>
      <c r="S512" t="s">
        <v>5591</v>
      </c>
      <c r="T512" t="s">
        <v>5756</v>
      </c>
      <c r="U512" t="s">
        <v>56</v>
      </c>
      <c r="V512" s="21" t="s">
        <v>5757</v>
      </c>
      <c r="W512" s="21"/>
      <c r="X512" t="s">
        <v>5804</v>
      </c>
      <c r="Y512" t="s">
        <v>5805</v>
      </c>
      <c r="AB512" t="s">
        <v>1758</v>
      </c>
      <c r="AC512" t="s">
        <v>1881</v>
      </c>
      <c r="AE512" s="15"/>
      <c r="AG512">
        <v>42.698391999999998</v>
      </c>
      <c r="AH512">
        <v>-76.895201</v>
      </c>
      <c r="AI512" t="s">
        <v>5806</v>
      </c>
      <c r="AL512" t="s">
        <v>1715</v>
      </c>
      <c r="AM512" t="s">
        <v>63</v>
      </c>
      <c r="AN512" t="s">
        <v>5807</v>
      </c>
      <c r="AO512">
        <v>193943</v>
      </c>
      <c r="AQ512" t="s">
        <v>5808</v>
      </c>
      <c r="AR512" t="s">
        <v>5809</v>
      </c>
      <c r="AS512" t="s">
        <v>5810</v>
      </c>
      <c r="AT512" t="s">
        <v>68</v>
      </c>
      <c r="AV512" t="s">
        <v>5811</v>
      </c>
      <c r="AW512" t="s">
        <v>5812</v>
      </c>
      <c r="AX512" t="s">
        <v>5813</v>
      </c>
      <c r="BA512" s="14" t="s">
        <v>72</v>
      </c>
      <c r="BB512" s="14" t="s">
        <v>73</v>
      </c>
      <c r="BC512" s="14" t="s">
        <v>1723</v>
      </c>
    </row>
    <row r="513" spans="1:55" ht="15" customHeight="1" x14ac:dyDescent="0.4">
      <c r="A513" s="12">
        <v>3829</v>
      </c>
      <c r="B513" s="21" t="s">
        <v>5814</v>
      </c>
      <c r="C513" s="13" t="s">
        <v>5815</v>
      </c>
      <c r="D513" s="25" t="s">
        <v>5815</v>
      </c>
      <c r="E513" s="13"/>
      <c r="F513" s="41"/>
      <c r="G513" s="41"/>
      <c r="H513" s="41"/>
      <c r="I513" s="41"/>
      <c r="J513" s="41"/>
      <c r="K513" s="65" t="str">
        <f>IFERROR(VLOOKUP(D513,Sheet4!A$1:M$56,11,FALSE),"")</f>
        <v/>
      </c>
      <c r="L513" s="65" t="str">
        <f t="shared" si="7"/>
        <v/>
      </c>
      <c r="M513" s="14" t="s">
        <v>49</v>
      </c>
      <c r="N513" s="15">
        <v>44789</v>
      </c>
      <c r="O513" t="s">
        <v>2719</v>
      </c>
      <c r="P513" t="s">
        <v>51</v>
      </c>
      <c r="Q513" t="s">
        <v>52</v>
      </c>
      <c r="R513" t="s">
        <v>53</v>
      </c>
      <c r="S513" t="s">
        <v>5591</v>
      </c>
      <c r="T513" t="s">
        <v>5756</v>
      </c>
      <c r="U513" t="s">
        <v>56</v>
      </c>
      <c r="V513" s="21" t="s">
        <v>5757</v>
      </c>
      <c r="W513" s="21"/>
      <c r="X513" t="s">
        <v>5816</v>
      </c>
      <c r="Y513" t="s">
        <v>5817</v>
      </c>
      <c r="AB513" t="s">
        <v>1758</v>
      </c>
      <c r="AC513" t="s">
        <v>60</v>
      </c>
      <c r="AE513" s="15"/>
      <c r="AG513">
        <v>42.740504999999999</v>
      </c>
      <c r="AH513">
        <v>-76.905844999999999</v>
      </c>
      <c r="AI513" t="s">
        <v>5818</v>
      </c>
      <c r="AL513" t="s">
        <v>1715</v>
      </c>
      <c r="AM513" t="s">
        <v>63</v>
      </c>
      <c r="AN513" t="s">
        <v>5819</v>
      </c>
      <c r="AO513">
        <v>194443</v>
      </c>
      <c r="AQ513" t="s">
        <v>5820</v>
      </c>
      <c r="AR513" t="s">
        <v>5821</v>
      </c>
      <c r="AS513" t="s">
        <v>5822</v>
      </c>
      <c r="AT513" t="s">
        <v>68</v>
      </c>
      <c r="AV513" t="s">
        <v>5823</v>
      </c>
      <c r="AW513" t="s">
        <v>5824</v>
      </c>
      <c r="AX513" t="s">
        <v>5825</v>
      </c>
      <c r="BA513" s="14" t="s">
        <v>72</v>
      </c>
      <c r="BB513" s="14" t="s">
        <v>73</v>
      </c>
      <c r="BC513" s="14" t="s">
        <v>74</v>
      </c>
    </row>
    <row r="514" spans="1:55" ht="15" customHeight="1" x14ac:dyDescent="0.4">
      <c r="A514" s="12">
        <v>3830</v>
      </c>
      <c r="B514" s="21" t="s">
        <v>5826</v>
      </c>
      <c r="C514" s="13" t="s">
        <v>5827</v>
      </c>
      <c r="D514" s="25" t="s">
        <v>5827</v>
      </c>
      <c r="E514" s="13"/>
      <c r="F514" s="45" t="s">
        <v>49</v>
      </c>
      <c r="G514" s="58" t="s">
        <v>8121</v>
      </c>
      <c r="H514" s="58"/>
      <c r="I514" s="45"/>
      <c r="J514" s="45"/>
      <c r="K514" s="65" t="str">
        <f>IFERROR(VLOOKUP(D514,Sheet4!A$1:M$56,11,FALSE),"")</f>
        <v>Based on ADMIXTURE results of 78,187 SNPs, admixed with Quercus muehlenbergii and Quercus bicolor</v>
      </c>
      <c r="L514" s="65" t="str">
        <f t="shared" si="7"/>
        <v>Based on ADMIXTURE results of 78,187 SNPs, admixed with Quercus muehlenbergii and Quercus bicolor</v>
      </c>
      <c r="M514" s="14" t="s">
        <v>49</v>
      </c>
      <c r="N514" s="15">
        <v>44789</v>
      </c>
      <c r="O514" t="s">
        <v>2719</v>
      </c>
      <c r="P514" t="s">
        <v>51</v>
      </c>
      <c r="Q514" t="s">
        <v>52</v>
      </c>
      <c r="R514" t="s">
        <v>53</v>
      </c>
      <c r="S514" t="s">
        <v>5591</v>
      </c>
      <c r="T514" t="s">
        <v>5756</v>
      </c>
      <c r="U514" t="s">
        <v>56</v>
      </c>
      <c r="V514" s="21" t="s">
        <v>5757</v>
      </c>
      <c r="W514" s="21"/>
      <c r="X514" t="s">
        <v>5828</v>
      </c>
      <c r="Y514" t="s">
        <v>5829</v>
      </c>
      <c r="AB514" t="s">
        <v>2440</v>
      </c>
      <c r="AC514" t="s">
        <v>60</v>
      </c>
      <c r="AE514" s="15"/>
      <c r="AG514">
        <v>42.740713</v>
      </c>
      <c r="AH514">
        <v>-76.904984999999996</v>
      </c>
      <c r="AI514" t="s">
        <v>5818</v>
      </c>
      <c r="AL514" t="s">
        <v>1715</v>
      </c>
      <c r="AM514" t="s">
        <v>63</v>
      </c>
      <c r="AN514" t="s">
        <v>5830</v>
      </c>
      <c r="AO514">
        <v>193369</v>
      </c>
      <c r="AQ514" t="s">
        <v>5831</v>
      </c>
      <c r="AR514" t="s">
        <v>5832</v>
      </c>
      <c r="AS514" t="s">
        <v>5833</v>
      </c>
      <c r="AT514" t="s">
        <v>68</v>
      </c>
      <c r="AV514" t="s">
        <v>5834</v>
      </c>
      <c r="AW514" t="s">
        <v>5835</v>
      </c>
      <c r="AX514" t="s">
        <v>5836</v>
      </c>
      <c r="BA514" s="14" t="s">
        <v>72</v>
      </c>
      <c r="BB514" s="14" t="s">
        <v>73</v>
      </c>
      <c r="BC514" s="14" t="s">
        <v>74</v>
      </c>
    </row>
    <row r="515" spans="1:55" ht="15" customHeight="1" x14ac:dyDescent="0.4">
      <c r="A515" s="12">
        <v>3831</v>
      </c>
      <c r="B515" s="21" t="s">
        <v>5837</v>
      </c>
      <c r="C515" s="13" t="s">
        <v>5838</v>
      </c>
      <c r="D515" s="25" t="s">
        <v>5838</v>
      </c>
      <c r="E515" s="13"/>
      <c r="F515" s="41" t="s">
        <v>2222</v>
      </c>
      <c r="G515" s="45" t="s">
        <v>8120</v>
      </c>
      <c r="H515" s="45"/>
      <c r="I515" s="45"/>
      <c r="J515" s="45"/>
      <c r="K515" s="65" t="str">
        <f>IFERROR(VLOOKUP(D515,Sheet4!A$1:M$56,11,FALSE),"")</f>
        <v>Based on ADMIXTURE results of 78,187 SNPs, admixed with Quercus macrocarpa</v>
      </c>
      <c r="L515" s="65" t="str">
        <f t="shared" ref="L515:L578" si="8">_xlfn.CONCAT(J515,K515)</f>
        <v>Based on ADMIXTURE results of 78,187 SNPs, admixed with Quercus macrocarpa</v>
      </c>
      <c r="M515" s="14" t="s">
        <v>49</v>
      </c>
      <c r="N515" s="15">
        <v>44789</v>
      </c>
      <c r="O515" t="s">
        <v>2719</v>
      </c>
      <c r="P515" t="s">
        <v>51</v>
      </c>
      <c r="Q515" t="s">
        <v>52</v>
      </c>
      <c r="R515" t="s">
        <v>53</v>
      </c>
      <c r="S515" t="s">
        <v>5591</v>
      </c>
      <c r="T515" t="s">
        <v>5756</v>
      </c>
      <c r="U515" t="s">
        <v>56</v>
      </c>
      <c r="V515" s="21" t="s">
        <v>5757</v>
      </c>
      <c r="W515" s="21"/>
      <c r="X515" t="s">
        <v>5839</v>
      </c>
      <c r="Y515" t="s">
        <v>5840</v>
      </c>
      <c r="AB515" t="s">
        <v>5841</v>
      </c>
      <c r="AC515" t="s">
        <v>60</v>
      </c>
      <c r="AE515" s="15"/>
      <c r="AG515">
        <v>42.741551000000001</v>
      </c>
      <c r="AH515">
        <v>-76.901053000000005</v>
      </c>
      <c r="AI515" t="s">
        <v>5842</v>
      </c>
      <c r="AL515" t="s">
        <v>1715</v>
      </c>
      <c r="AM515" t="s">
        <v>63</v>
      </c>
      <c r="AN515" t="s">
        <v>5843</v>
      </c>
      <c r="AO515">
        <v>192609</v>
      </c>
      <c r="AQ515" t="s">
        <v>5844</v>
      </c>
      <c r="AR515" t="s">
        <v>5845</v>
      </c>
      <c r="AS515" t="s">
        <v>5846</v>
      </c>
      <c r="AT515" t="s">
        <v>68</v>
      </c>
      <c r="AV515" t="s">
        <v>5847</v>
      </c>
      <c r="AW515" t="s">
        <v>5848</v>
      </c>
      <c r="AX515" t="s">
        <v>5849</v>
      </c>
      <c r="BA515" s="14" t="s">
        <v>72</v>
      </c>
      <c r="BB515" s="14" t="s">
        <v>73</v>
      </c>
      <c r="BC515" s="14" t="s">
        <v>74</v>
      </c>
    </row>
    <row r="516" spans="1:55" ht="15" customHeight="1" x14ac:dyDescent="0.4">
      <c r="A516" s="12">
        <v>3832</v>
      </c>
      <c r="B516" s="21" t="s">
        <v>5850</v>
      </c>
      <c r="C516" s="13" t="s">
        <v>5851</v>
      </c>
      <c r="D516" s="25" t="s">
        <v>5851</v>
      </c>
      <c r="E516" s="13"/>
      <c r="F516" s="41"/>
      <c r="G516" s="41"/>
      <c r="H516" s="41"/>
      <c r="I516" s="41"/>
      <c r="J516" s="41"/>
      <c r="K516" s="65" t="str">
        <f>IFERROR(VLOOKUP(D516,Sheet4!A$1:M$56,11,FALSE),"")</f>
        <v/>
      </c>
      <c r="L516" s="65" t="str">
        <f t="shared" si="8"/>
        <v/>
      </c>
      <c r="M516" s="14" t="s">
        <v>49</v>
      </c>
      <c r="N516" s="15">
        <v>44789</v>
      </c>
      <c r="O516" t="s">
        <v>2719</v>
      </c>
      <c r="P516" t="s">
        <v>51</v>
      </c>
      <c r="Q516" t="s">
        <v>52</v>
      </c>
      <c r="R516" t="s">
        <v>53</v>
      </c>
      <c r="S516" t="s">
        <v>5591</v>
      </c>
      <c r="T516" t="s">
        <v>5756</v>
      </c>
      <c r="U516" t="s">
        <v>56</v>
      </c>
      <c r="V516" s="21" t="s">
        <v>5757</v>
      </c>
      <c r="W516" s="21"/>
      <c r="X516" t="s">
        <v>5852</v>
      </c>
      <c r="Y516" t="s">
        <v>5853</v>
      </c>
      <c r="AC516" t="s">
        <v>60</v>
      </c>
      <c r="AE516" s="15"/>
      <c r="AG516">
        <v>42.734695000000002</v>
      </c>
      <c r="AH516">
        <v>-76.903081</v>
      </c>
      <c r="AI516" t="s">
        <v>5854</v>
      </c>
      <c r="AL516" t="s">
        <v>1715</v>
      </c>
      <c r="AM516" t="s">
        <v>63</v>
      </c>
      <c r="AN516" t="s">
        <v>5855</v>
      </c>
      <c r="AO516">
        <v>194444</v>
      </c>
      <c r="AQ516" t="s">
        <v>5856</v>
      </c>
      <c r="AR516" t="s">
        <v>5857</v>
      </c>
      <c r="AS516" t="s">
        <v>5858</v>
      </c>
      <c r="AT516" t="s">
        <v>68</v>
      </c>
      <c r="AV516" t="s">
        <v>5859</v>
      </c>
      <c r="AW516" t="s">
        <v>5860</v>
      </c>
      <c r="AX516" t="s">
        <v>5861</v>
      </c>
      <c r="BA516" s="14" t="s">
        <v>72</v>
      </c>
      <c r="BB516" s="14" t="s">
        <v>73</v>
      </c>
      <c r="BC516" s="14" t="s">
        <v>74</v>
      </c>
    </row>
    <row r="517" spans="1:55" ht="15" customHeight="1" x14ac:dyDescent="0.4">
      <c r="A517" s="12">
        <v>3833</v>
      </c>
      <c r="B517" s="21" t="s">
        <v>5862</v>
      </c>
      <c r="C517" s="13" t="s">
        <v>5863</v>
      </c>
      <c r="D517" s="25" t="s">
        <v>5863</v>
      </c>
      <c r="E517" s="13"/>
      <c r="F517" s="41"/>
      <c r="G517" s="41"/>
      <c r="H517" s="41"/>
      <c r="I517" s="41"/>
      <c r="J517" s="41"/>
      <c r="K517" s="65" t="str">
        <f>IFERROR(VLOOKUP(D517,Sheet4!A$1:M$56,11,FALSE),"")</f>
        <v/>
      </c>
      <c r="L517" s="65" t="str">
        <f t="shared" si="8"/>
        <v/>
      </c>
      <c r="M517" s="14" t="s">
        <v>49</v>
      </c>
      <c r="N517" s="15">
        <v>44789</v>
      </c>
      <c r="O517" t="s">
        <v>2719</v>
      </c>
      <c r="P517" t="s">
        <v>51</v>
      </c>
      <c r="Q517" t="s">
        <v>52</v>
      </c>
      <c r="R517" t="s">
        <v>53</v>
      </c>
      <c r="S517" t="s">
        <v>5591</v>
      </c>
      <c r="T517" t="s">
        <v>5756</v>
      </c>
      <c r="U517" t="s">
        <v>56</v>
      </c>
      <c r="V517" s="21" t="s">
        <v>5757</v>
      </c>
      <c r="W517" s="21"/>
      <c r="X517" t="s">
        <v>5864</v>
      </c>
      <c r="Y517" t="s">
        <v>5865</v>
      </c>
      <c r="AC517" t="s">
        <v>60</v>
      </c>
      <c r="AE517" s="15"/>
      <c r="AG517">
        <v>42.733991000000003</v>
      </c>
      <c r="AH517">
        <v>-76.902518000000001</v>
      </c>
      <c r="AI517" t="s">
        <v>5854</v>
      </c>
      <c r="AL517" t="s">
        <v>1715</v>
      </c>
      <c r="AM517" t="s">
        <v>63</v>
      </c>
      <c r="AN517" t="s">
        <v>5866</v>
      </c>
      <c r="AO517">
        <v>194445</v>
      </c>
      <c r="AQ517" t="s">
        <v>5867</v>
      </c>
      <c r="AR517" t="s">
        <v>5868</v>
      </c>
      <c r="AS517" t="s">
        <v>5869</v>
      </c>
      <c r="AT517" t="s">
        <v>68</v>
      </c>
      <c r="AV517" t="s">
        <v>5870</v>
      </c>
      <c r="AW517" t="s">
        <v>5871</v>
      </c>
      <c r="AX517" t="s">
        <v>5872</v>
      </c>
      <c r="BA517" s="14" t="s">
        <v>72</v>
      </c>
      <c r="BB517" s="14" t="s">
        <v>73</v>
      </c>
      <c r="BC517" s="14" t="s">
        <v>74</v>
      </c>
    </row>
    <row r="518" spans="1:55" ht="15" customHeight="1" x14ac:dyDescent="0.4">
      <c r="A518" s="12">
        <v>3733</v>
      </c>
      <c r="B518" s="21" t="s">
        <v>4687</v>
      </c>
      <c r="C518" s="13" t="s">
        <v>4688</v>
      </c>
      <c r="D518" s="25" t="s">
        <v>4688</v>
      </c>
      <c r="E518" s="13"/>
      <c r="F518" s="41"/>
      <c r="G518" s="41"/>
      <c r="H518" s="41"/>
      <c r="I518" s="41"/>
      <c r="J518" s="41"/>
      <c r="K518" s="65" t="str">
        <f>IFERROR(VLOOKUP(D518,Sheet4!A$1:M$56,11,FALSE),"")</f>
        <v/>
      </c>
      <c r="L518" s="65" t="str">
        <f t="shared" si="8"/>
        <v/>
      </c>
      <c r="M518" s="14" t="s">
        <v>2222</v>
      </c>
      <c r="N518" s="15">
        <v>44768</v>
      </c>
      <c r="O518" t="s">
        <v>2719</v>
      </c>
      <c r="P518" t="s">
        <v>51</v>
      </c>
      <c r="Q518" t="s">
        <v>52</v>
      </c>
      <c r="R518" t="s">
        <v>53</v>
      </c>
      <c r="S518" t="s">
        <v>1226</v>
      </c>
      <c r="T518" t="s">
        <v>4689</v>
      </c>
      <c r="U518" t="s">
        <v>56</v>
      </c>
      <c r="V518" s="21" t="s">
        <v>4690</v>
      </c>
      <c r="W518" s="21"/>
      <c r="X518" t="s">
        <v>4691</v>
      </c>
      <c r="Y518" t="s">
        <v>4692</v>
      </c>
      <c r="AC518" t="s">
        <v>2225</v>
      </c>
      <c r="AE518" s="15"/>
      <c r="AG518">
        <v>41.553216999999997</v>
      </c>
      <c r="AH518">
        <v>-84.361215000000001</v>
      </c>
      <c r="AI518" t="s">
        <v>4693</v>
      </c>
      <c r="AL518" t="s">
        <v>1715</v>
      </c>
      <c r="AM518" t="s">
        <v>63</v>
      </c>
      <c r="AN518" t="s">
        <v>4694</v>
      </c>
      <c r="AO518">
        <v>192603</v>
      </c>
      <c r="AQ518" t="s">
        <v>4695</v>
      </c>
      <c r="AR518" t="s">
        <v>4696</v>
      </c>
      <c r="AS518" t="s">
        <v>4697</v>
      </c>
      <c r="AT518" t="s">
        <v>68</v>
      </c>
      <c r="AV518" t="s">
        <v>4698</v>
      </c>
      <c r="AW518" t="s">
        <v>4699</v>
      </c>
      <c r="AX518" t="s">
        <v>4700</v>
      </c>
      <c r="BA518" s="14" t="s">
        <v>72</v>
      </c>
      <c r="BB518" s="14" t="s">
        <v>73</v>
      </c>
      <c r="BC518" s="14" t="s">
        <v>74</v>
      </c>
    </row>
    <row r="519" spans="1:55" ht="15" customHeight="1" x14ac:dyDescent="0.4">
      <c r="A519" s="12">
        <v>3734</v>
      </c>
      <c r="B519" s="21" t="s">
        <v>4701</v>
      </c>
      <c r="C519" s="13" t="s">
        <v>4702</v>
      </c>
      <c r="D519" s="25" t="s">
        <v>4702</v>
      </c>
      <c r="E519" s="13"/>
      <c r="F519" s="41"/>
      <c r="G519" s="41"/>
      <c r="H519" s="41"/>
      <c r="I519" s="41"/>
      <c r="J519" s="41"/>
      <c r="K519" s="65" t="str">
        <f>IFERROR(VLOOKUP(D519,Sheet4!A$1:M$56,11,FALSE),"")</f>
        <v/>
      </c>
      <c r="L519" s="65" t="str">
        <f t="shared" si="8"/>
        <v/>
      </c>
      <c r="M519" s="14" t="s">
        <v>2222</v>
      </c>
      <c r="N519" s="15">
        <v>44768</v>
      </c>
      <c r="O519" t="s">
        <v>2719</v>
      </c>
      <c r="P519" t="s">
        <v>51</v>
      </c>
      <c r="Q519" t="s">
        <v>52</v>
      </c>
      <c r="R519" t="s">
        <v>53</v>
      </c>
      <c r="S519" t="s">
        <v>1226</v>
      </c>
      <c r="T519" t="s">
        <v>4689</v>
      </c>
      <c r="U519" t="s">
        <v>56</v>
      </c>
      <c r="V519" s="21" t="s">
        <v>4690</v>
      </c>
      <c r="W519" s="21"/>
      <c r="X519" t="s">
        <v>4703</v>
      </c>
      <c r="Y519" t="s">
        <v>4704</v>
      </c>
      <c r="AC519" t="s">
        <v>2225</v>
      </c>
      <c r="AE519" s="15"/>
      <c r="AG519">
        <v>41.553038000000001</v>
      </c>
      <c r="AH519">
        <v>-84.361064999999996</v>
      </c>
      <c r="AI519" t="s">
        <v>4705</v>
      </c>
      <c r="AL519" t="s">
        <v>1715</v>
      </c>
      <c r="AM519" t="s">
        <v>63</v>
      </c>
      <c r="AN519" t="s">
        <v>4706</v>
      </c>
      <c r="AO519">
        <v>192604</v>
      </c>
      <c r="AQ519" t="s">
        <v>4707</v>
      </c>
      <c r="AR519" t="s">
        <v>4708</v>
      </c>
      <c r="AS519" t="s">
        <v>4709</v>
      </c>
      <c r="AT519" t="s">
        <v>68</v>
      </c>
      <c r="AV519" t="s">
        <v>4710</v>
      </c>
      <c r="AW519" t="s">
        <v>4711</v>
      </c>
      <c r="AX519" t="s">
        <v>4712</v>
      </c>
      <c r="BA519" s="14" t="s">
        <v>72</v>
      </c>
      <c r="BB519" s="14" t="s">
        <v>73</v>
      </c>
      <c r="BC519" s="14" t="s">
        <v>74</v>
      </c>
    </row>
    <row r="520" spans="1:55" ht="15" customHeight="1" x14ac:dyDescent="0.4">
      <c r="A520" s="12">
        <v>3735</v>
      </c>
      <c r="B520" s="21" t="s">
        <v>4713</v>
      </c>
      <c r="C520" s="13" t="s">
        <v>4714</v>
      </c>
      <c r="D520" s="25" t="s">
        <v>4714</v>
      </c>
      <c r="E520" s="13"/>
      <c r="F520" s="41"/>
      <c r="G520" s="41"/>
      <c r="H520" s="41"/>
      <c r="I520" s="41"/>
      <c r="J520" s="41"/>
      <c r="K520" s="65" t="str">
        <f>IFERROR(VLOOKUP(D520,Sheet4!A$1:M$56,11,FALSE),"")</f>
        <v/>
      </c>
      <c r="L520" s="65" t="str">
        <f t="shared" si="8"/>
        <v/>
      </c>
      <c r="M520" s="14" t="s">
        <v>1829</v>
      </c>
      <c r="N520" s="15">
        <v>44768</v>
      </c>
      <c r="O520" t="s">
        <v>2719</v>
      </c>
      <c r="P520" t="s">
        <v>51</v>
      </c>
      <c r="Q520" t="s">
        <v>52</v>
      </c>
      <c r="R520" t="s">
        <v>53</v>
      </c>
      <c r="S520" t="s">
        <v>1226</v>
      </c>
      <c r="T520" t="s">
        <v>4689</v>
      </c>
      <c r="U520" t="s">
        <v>56</v>
      </c>
      <c r="V520" s="21" t="s">
        <v>4690</v>
      </c>
      <c r="W520" s="21"/>
      <c r="X520" t="s">
        <v>4715</v>
      </c>
      <c r="Y520" t="s">
        <v>4716</v>
      </c>
      <c r="AC520" t="s">
        <v>1832</v>
      </c>
      <c r="AE520" s="15"/>
      <c r="AG520">
        <v>41.551110000000001</v>
      </c>
      <c r="AH520">
        <v>-84.358405000000005</v>
      </c>
      <c r="AI520" t="s">
        <v>4717</v>
      </c>
      <c r="AL520" t="s">
        <v>1715</v>
      </c>
      <c r="AM520" t="s">
        <v>63</v>
      </c>
      <c r="AN520" t="s">
        <v>4718</v>
      </c>
      <c r="AO520">
        <v>194530</v>
      </c>
      <c r="AQ520" t="s">
        <v>4719</v>
      </c>
      <c r="AR520" t="s">
        <v>4720</v>
      </c>
      <c r="AS520" t="s">
        <v>4721</v>
      </c>
      <c r="AT520" t="s">
        <v>68</v>
      </c>
      <c r="AV520" t="s">
        <v>4722</v>
      </c>
      <c r="AW520" t="s">
        <v>4723</v>
      </c>
      <c r="AX520" t="s">
        <v>4724</v>
      </c>
      <c r="BA520" s="14" t="s">
        <v>72</v>
      </c>
      <c r="BB520" s="14" t="s">
        <v>73</v>
      </c>
      <c r="BC520" s="14" t="s">
        <v>74</v>
      </c>
    </row>
    <row r="521" spans="1:55" ht="15" customHeight="1" x14ac:dyDescent="0.4">
      <c r="A521" s="12">
        <v>3736</v>
      </c>
      <c r="B521" s="21" t="s">
        <v>4725</v>
      </c>
      <c r="C521" s="13" t="s">
        <v>4726</v>
      </c>
      <c r="D521" s="25" t="s">
        <v>4726</v>
      </c>
      <c r="E521" s="13"/>
      <c r="F521" s="41"/>
      <c r="G521" s="41"/>
      <c r="H521" s="41"/>
      <c r="I521" s="41"/>
      <c r="J521" s="41"/>
      <c r="K521" s="65" t="str">
        <f>IFERROR(VLOOKUP(D521,Sheet4!A$1:M$56,11,FALSE),"")</f>
        <v/>
      </c>
      <c r="L521" s="65" t="str">
        <f t="shared" si="8"/>
        <v/>
      </c>
      <c r="M521" s="14" t="s">
        <v>49</v>
      </c>
      <c r="N521" s="15">
        <v>44768</v>
      </c>
      <c r="O521" t="s">
        <v>2719</v>
      </c>
      <c r="P521" t="s">
        <v>51</v>
      </c>
      <c r="Q521" t="s">
        <v>52</v>
      </c>
      <c r="R521" t="s">
        <v>53</v>
      </c>
      <c r="S521" t="s">
        <v>1226</v>
      </c>
      <c r="T521" t="s">
        <v>4689</v>
      </c>
      <c r="U521" t="s">
        <v>56</v>
      </c>
      <c r="V521" s="21" t="s">
        <v>4690</v>
      </c>
      <c r="W521" s="21"/>
      <c r="X521" t="s">
        <v>4727</v>
      </c>
      <c r="Y521" t="s">
        <v>4728</v>
      </c>
      <c r="AC521" t="s">
        <v>60</v>
      </c>
      <c r="AE521" s="15"/>
      <c r="AG521">
        <v>41.550873000000003</v>
      </c>
      <c r="AH521">
        <v>-84.356967999999995</v>
      </c>
      <c r="AI521" t="s">
        <v>4729</v>
      </c>
      <c r="AL521" t="s">
        <v>1715</v>
      </c>
      <c r="AM521" t="s">
        <v>63</v>
      </c>
      <c r="AN521" t="s">
        <v>4730</v>
      </c>
      <c r="AO521">
        <v>194467</v>
      </c>
      <c r="AQ521" t="s">
        <v>4731</v>
      </c>
      <c r="AR521" t="s">
        <v>4732</v>
      </c>
      <c r="AS521" t="s">
        <v>4733</v>
      </c>
      <c r="AT521" t="s">
        <v>68</v>
      </c>
      <c r="AV521" t="s">
        <v>4734</v>
      </c>
      <c r="AW521" t="s">
        <v>4735</v>
      </c>
      <c r="AX521" t="s">
        <v>4736</v>
      </c>
      <c r="BA521" s="14" t="s">
        <v>72</v>
      </c>
      <c r="BB521" s="14" t="s">
        <v>73</v>
      </c>
      <c r="BC521" s="14" t="s">
        <v>74</v>
      </c>
    </row>
    <row r="522" spans="1:55" ht="15" customHeight="1" x14ac:dyDescent="0.4">
      <c r="A522" s="12">
        <v>3737</v>
      </c>
      <c r="B522" s="21" t="s">
        <v>4737</v>
      </c>
      <c r="C522" s="13" t="s">
        <v>4738</v>
      </c>
      <c r="D522" s="25" t="s">
        <v>4738</v>
      </c>
      <c r="E522" s="13"/>
      <c r="F522" s="41"/>
      <c r="G522" s="41"/>
      <c r="H522" s="41"/>
      <c r="I522" s="41"/>
      <c r="J522" s="41"/>
      <c r="K522" s="65" t="str">
        <f>IFERROR(VLOOKUP(D522,Sheet4!A$1:M$56,11,FALSE),"")</f>
        <v/>
      </c>
      <c r="L522" s="65" t="str">
        <f t="shared" si="8"/>
        <v/>
      </c>
      <c r="M522" s="14" t="s">
        <v>1829</v>
      </c>
      <c r="N522" s="15">
        <v>44768</v>
      </c>
      <c r="O522" t="s">
        <v>2719</v>
      </c>
      <c r="P522" t="s">
        <v>51</v>
      </c>
      <c r="Q522" t="s">
        <v>52</v>
      </c>
      <c r="R522" t="s">
        <v>53</v>
      </c>
      <c r="S522" t="s">
        <v>1226</v>
      </c>
      <c r="T522" t="s">
        <v>4689</v>
      </c>
      <c r="U522" t="s">
        <v>56</v>
      </c>
      <c r="V522" s="21" t="s">
        <v>4690</v>
      </c>
      <c r="W522" s="21"/>
      <c r="X522" t="s">
        <v>4739</v>
      </c>
      <c r="Y522" t="s">
        <v>4740</v>
      </c>
      <c r="AC522" t="s">
        <v>1832</v>
      </c>
      <c r="AE522" s="15"/>
      <c r="AG522">
        <v>41.550806000000001</v>
      </c>
      <c r="AH522">
        <v>-84.356953000000004</v>
      </c>
      <c r="AI522" t="s">
        <v>4741</v>
      </c>
      <c r="AL522" t="s">
        <v>1715</v>
      </c>
      <c r="AM522" t="s">
        <v>63</v>
      </c>
      <c r="AN522" t="s">
        <v>4742</v>
      </c>
      <c r="AO522">
        <v>194531</v>
      </c>
      <c r="AQ522" t="s">
        <v>4743</v>
      </c>
      <c r="AR522" t="s">
        <v>4744</v>
      </c>
      <c r="AS522" t="s">
        <v>4745</v>
      </c>
      <c r="AT522" t="s">
        <v>68</v>
      </c>
      <c r="AV522" t="s">
        <v>4746</v>
      </c>
      <c r="AW522" t="s">
        <v>4747</v>
      </c>
      <c r="AX522" t="s">
        <v>4748</v>
      </c>
      <c r="BA522" s="14" t="s">
        <v>72</v>
      </c>
      <c r="BB522" s="14" t="s">
        <v>73</v>
      </c>
      <c r="BC522" s="14" t="s">
        <v>74</v>
      </c>
    </row>
    <row r="523" spans="1:55" ht="15" customHeight="1" x14ac:dyDescent="0.4">
      <c r="A523" s="12">
        <v>3738</v>
      </c>
      <c r="B523" s="21" t="s">
        <v>4749</v>
      </c>
      <c r="C523" s="13" t="s">
        <v>4750</v>
      </c>
      <c r="D523" s="25" t="s">
        <v>4750</v>
      </c>
      <c r="E523" s="13"/>
      <c r="F523" s="41"/>
      <c r="G523" s="41"/>
      <c r="H523" s="41"/>
      <c r="I523" s="41"/>
      <c r="J523" s="41"/>
      <c r="K523" s="65" t="str">
        <f>IFERROR(VLOOKUP(D523,Sheet4!A$1:M$56,11,FALSE),"")</f>
        <v/>
      </c>
      <c r="L523" s="65" t="str">
        <f t="shared" si="8"/>
        <v/>
      </c>
      <c r="M523" s="14" t="s">
        <v>49</v>
      </c>
      <c r="N523" s="15">
        <v>44768</v>
      </c>
      <c r="O523" t="s">
        <v>2719</v>
      </c>
      <c r="P523" t="s">
        <v>51</v>
      </c>
      <c r="Q523" t="s">
        <v>52</v>
      </c>
      <c r="R523" t="s">
        <v>53</v>
      </c>
      <c r="S523" t="s">
        <v>1226</v>
      </c>
      <c r="T523" t="s">
        <v>4689</v>
      </c>
      <c r="U523" t="s">
        <v>56</v>
      </c>
      <c r="V523" s="21" t="s">
        <v>4690</v>
      </c>
      <c r="W523" s="21"/>
      <c r="X523" t="s">
        <v>4751</v>
      </c>
      <c r="Y523" t="s">
        <v>4752</v>
      </c>
      <c r="AC523" t="s">
        <v>60</v>
      </c>
      <c r="AE523" s="15"/>
      <c r="AG523">
        <v>41.551419000000003</v>
      </c>
      <c r="AH523">
        <v>-84.355616999999995</v>
      </c>
      <c r="AI523" t="s">
        <v>4753</v>
      </c>
      <c r="AL523" t="s">
        <v>1715</v>
      </c>
      <c r="AM523" t="s">
        <v>63</v>
      </c>
      <c r="AN523" t="s">
        <v>4754</v>
      </c>
      <c r="AO523">
        <v>192668</v>
      </c>
      <c r="AQ523" t="s">
        <v>4755</v>
      </c>
      <c r="AR523" t="s">
        <v>4756</v>
      </c>
      <c r="AS523" t="s">
        <v>4757</v>
      </c>
      <c r="AT523" t="s">
        <v>68</v>
      </c>
      <c r="AV523" t="s">
        <v>4758</v>
      </c>
      <c r="AW523" t="s">
        <v>4759</v>
      </c>
      <c r="AX523" t="s">
        <v>4760</v>
      </c>
      <c r="BA523" s="14" t="s">
        <v>72</v>
      </c>
      <c r="BB523" s="14" t="s">
        <v>73</v>
      </c>
      <c r="BC523" s="14" t="s">
        <v>74</v>
      </c>
    </row>
    <row r="524" spans="1:55" ht="15" customHeight="1" x14ac:dyDescent="0.4">
      <c r="A524" s="12">
        <v>3739</v>
      </c>
      <c r="B524" s="21" t="s">
        <v>4761</v>
      </c>
      <c r="C524" s="13" t="s">
        <v>4762</v>
      </c>
      <c r="D524" s="25" t="s">
        <v>4762</v>
      </c>
      <c r="E524" s="13"/>
      <c r="F524" s="41"/>
      <c r="G524" s="41"/>
      <c r="H524" s="41"/>
      <c r="I524" s="41"/>
      <c r="J524" s="41"/>
      <c r="K524" s="65" t="str">
        <f>IFERROR(VLOOKUP(D524,Sheet4!A$1:M$56,11,FALSE),"")</f>
        <v/>
      </c>
      <c r="L524" s="65" t="str">
        <f t="shared" si="8"/>
        <v/>
      </c>
      <c r="M524" s="14" t="s">
        <v>1878</v>
      </c>
      <c r="N524" s="15">
        <v>44768</v>
      </c>
      <c r="O524" t="s">
        <v>2719</v>
      </c>
      <c r="P524" t="s">
        <v>51</v>
      </c>
      <c r="Q524" t="s">
        <v>52</v>
      </c>
      <c r="R524" t="s">
        <v>53</v>
      </c>
      <c r="S524" t="s">
        <v>1226</v>
      </c>
      <c r="T524" t="s">
        <v>4689</v>
      </c>
      <c r="U524" t="s">
        <v>56</v>
      </c>
      <c r="V524" s="21" t="s">
        <v>4690</v>
      </c>
      <c r="W524" s="21"/>
      <c r="X524" t="s">
        <v>4739</v>
      </c>
      <c r="Y524" t="s">
        <v>4763</v>
      </c>
      <c r="AC524" t="s">
        <v>1881</v>
      </c>
      <c r="AE524" s="15"/>
      <c r="AG524">
        <v>41.551786999999997</v>
      </c>
      <c r="AH524">
        <v>-84.355144999999993</v>
      </c>
      <c r="AI524" t="s">
        <v>2337</v>
      </c>
      <c r="AL524" t="s">
        <v>1715</v>
      </c>
      <c r="AM524" t="s">
        <v>63</v>
      </c>
      <c r="AN524" t="s">
        <v>4764</v>
      </c>
      <c r="AO524">
        <v>194216</v>
      </c>
      <c r="AQ524" t="s">
        <v>4765</v>
      </c>
      <c r="AR524" t="s">
        <v>4766</v>
      </c>
      <c r="AS524" t="s">
        <v>4767</v>
      </c>
      <c r="AT524" t="s">
        <v>68</v>
      </c>
      <c r="AV524" t="s">
        <v>4768</v>
      </c>
      <c r="AW524" t="s">
        <v>4769</v>
      </c>
      <c r="AX524" t="s">
        <v>4770</v>
      </c>
      <c r="BA524" s="14" t="s">
        <v>72</v>
      </c>
      <c r="BB524" s="14" t="s">
        <v>73</v>
      </c>
      <c r="BC524" s="14" t="s">
        <v>1723</v>
      </c>
    </row>
    <row r="525" spans="1:55" ht="15" customHeight="1" x14ac:dyDescent="0.4">
      <c r="A525" s="12">
        <v>3740</v>
      </c>
      <c r="B525" s="21" t="s">
        <v>4771</v>
      </c>
      <c r="C525" s="13" t="s">
        <v>4772</v>
      </c>
      <c r="D525" s="25" t="s">
        <v>4772</v>
      </c>
      <c r="E525" s="13"/>
      <c r="F525" s="41"/>
      <c r="G525" s="41"/>
      <c r="H525" s="41"/>
      <c r="I525" s="41"/>
      <c r="J525" s="41"/>
      <c r="K525" s="65" t="str">
        <f>IFERROR(VLOOKUP(D525,Sheet4!A$1:M$56,11,FALSE),"")</f>
        <v/>
      </c>
      <c r="L525" s="65" t="str">
        <f t="shared" si="8"/>
        <v/>
      </c>
      <c r="M525" s="14" t="s">
        <v>49</v>
      </c>
      <c r="N525" s="15">
        <v>44768</v>
      </c>
      <c r="O525" t="s">
        <v>2719</v>
      </c>
      <c r="P525" t="s">
        <v>51</v>
      </c>
      <c r="Q525" t="s">
        <v>52</v>
      </c>
      <c r="R525" t="s">
        <v>53</v>
      </c>
      <c r="S525" t="s">
        <v>1226</v>
      </c>
      <c r="T525" t="s">
        <v>4689</v>
      </c>
      <c r="U525" t="s">
        <v>56</v>
      </c>
      <c r="V525" s="21" t="s">
        <v>4690</v>
      </c>
      <c r="W525" s="21"/>
      <c r="X525" t="s">
        <v>4773</v>
      </c>
      <c r="Y525" t="s">
        <v>4774</v>
      </c>
      <c r="AC525" t="s">
        <v>60</v>
      </c>
      <c r="AE525" s="15"/>
      <c r="AG525">
        <v>41.551718999999999</v>
      </c>
      <c r="AH525">
        <v>-84.354975999999994</v>
      </c>
      <c r="AI525" t="s">
        <v>4729</v>
      </c>
      <c r="AL525" t="s">
        <v>1715</v>
      </c>
      <c r="AM525" t="s">
        <v>63</v>
      </c>
      <c r="AN525" t="s">
        <v>4775</v>
      </c>
      <c r="AO525">
        <v>194462</v>
      </c>
      <c r="AQ525" t="s">
        <v>4776</v>
      </c>
      <c r="AR525" t="s">
        <v>4777</v>
      </c>
      <c r="AS525" t="s">
        <v>4778</v>
      </c>
      <c r="AT525" t="s">
        <v>68</v>
      </c>
      <c r="AV525" t="s">
        <v>4779</v>
      </c>
      <c r="AW525" t="s">
        <v>4780</v>
      </c>
      <c r="AX525" t="s">
        <v>4781</v>
      </c>
      <c r="BA525" s="14" t="s">
        <v>72</v>
      </c>
      <c r="BB525" s="14" t="s">
        <v>73</v>
      </c>
      <c r="BC525" s="14" t="s">
        <v>74</v>
      </c>
    </row>
    <row r="526" spans="1:55" ht="15" customHeight="1" x14ac:dyDescent="0.4">
      <c r="A526" s="12">
        <v>3741</v>
      </c>
      <c r="B526" s="21" t="s">
        <v>4782</v>
      </c>
      <c r="C526" s="13" t="s">
        <v>4783</v>
      </c>
      <c r="D526" s="25" t="s">
        <v>4783</v>
      </c>
      <c r="E526" s="13"/>
      <c r="F526" s="41"/>
      <c r="G526" s="41"/>
      <c r="H526" s="41"/>
      <c r="I526" s="41"/>
      <c r="J526" s="41"/>
      <c r="K526" s="65" t="str">
        <f>IFERROR(VLOOKUP(D526,Sheet4!A$1:M$56,11,FALSE),"")</f>
        <v/>
      </c>
      <c r="L526" s="65" t="str">
        <f t="shared" si="8"/>
        <v/>
      </c>
      <c r="M526" s="14" t="s">
        <v>1878</v>
      </c>
      <c r="N526" s="15">
        <v>44768</v>
      </c>
      <c r="O526" t="s">
        <v>2719</v>
      </c>
      <c r="P526" t="s">
        <v>51</v>
      </c>
      <c r="Q526" t="s">
        <v>52</v>
      </c>
      <c r="R526" t="s">
        <v>53</v>
      </c>
      <c r="S526" t="s">
        <v>1226</v>
      </c>
      <c r="T526" t="s">
        <v>4689</v>
      </c>
      <c r="U526" t="s">
        <v>56</v>
      </c>
      <c r="V526" s="21" t="s">
        <v>4690</v>
      </c>
      <c r="W526" s="21"/>
      <c r="X526" t="s">
        <v>4784</v>
      </c>
      <c r="Y526" t="s">
        <v>4785</v>
      </c>
      <c r="AC526" t="s">
        <v>1881</v>
      </c>
      <c r="AE526" s="15"/>
      <c r="AG526">
        <v>41.551887000000001</v>
      </c>
      <c r="AH526">
        <v>-84.354708000000002</v>
      </c>
      <c r="AI526" t="s">
        <v>4786</v>
      </c>
      <c r="AL526" t="s">
        <v>1715</v>
      </c>
      <c r="AM526" t="s">
        <v>63</v>
      </c>
      <c r="AN526" t="s">
        <v>4787</v>
      </c>
      <c r="AO526">
        <v>194217</v>
      </c>
      <c r="AQ526" t="s">
        <v>4788</v>
      </c>
      <c r="AR526" t="s">
        <v>4789</v>
      </c>
      <c r="AS526" t="s">
        <v>4790</v>
      </c>
      <c r="AT526" t="s">
        <v>68</v>
      </c>
      <c r="AV526" t="s">
        <v>4791</v>
      </c>
      <c r="AW526" t="s">
        <v>4792</v>
      </c>
      <c r="AX526" t="s">
        <v>4793</v>
      </c>
      <c r="BA526" s="14" t="s">
        <v>72</v>
      </c>
      <c r="BB526" s="14" t="s">
        <v>73</v>
      </c>
      <c r="BC526" s="14" t="s">
        <v>1723</v>
      </c>
    </row>
    <row r="527" spans="1:55" ht="15" customHeight="1" x14ac:dyDescent="0.4">
      <c r="A527" s="12">
        <v>3742</v>
      </c>
      <c r="B527" s="21" t="s">
        <v>4794</v>
      </c>
      <c r="C527" s="13" t="s">
        <v>4795</v>
      </c>
      <c r="D527" s="25" t="s">
        <v>4795</v>
      </c>
      <c r="E527" s="13"/>
      <c r="F527" s="41"/>
      <c r="G527" s="41"/>
      <c r="H527" s="41"/>
      <c r="I527" s="41"/>
      <c r="J527" s="41"/>
      <c r="K527" s="65" t="str">
        <f>IFERROR(VLOOKUP(D527,Sheet4!A$1:M$56,11,FALSE),"")</f>
        <v/>
      </c>
      <c r="L527" s="65" t="str">
        <f t="shared" si="8"/>
        <v/>
      </c>
      <c r="M527" s="14" t="s">
        <v>49</v>
      </c>
      <c r="N527" s="15">
        <v>44768</v>
      </c>
      <c r="O527" t="s">
        <v>2719</v>
      </c>
      <c r="P527" t="s">
        <v>51</v>
      </c>
      <c r="Q527" t="s">
        <v>52</v>
      </c>
      <c r="R527" t="s">
        <v>53</v>
      </c>
      <c r="S527" t="s">
        <v>1226</v>
      </c>
      <c r="T527" t="s">
        <v>4689</v>
      </c>
      <c r="U527" t="s">
        <v>56</v>
      </c>
      <c r="V527" s="21" t="s">
        <v>4690</v>
      </c>
      <c r="W527" s="21"/>
      <c r="X527" t="s">
        <v>4784</v>
      </c>
      <c r="Y527" t="s">
        <v>4796</v>
      </c>
      <c r="AC527" t="s">
        <v>60</v>
      </c>
      <c r="AE527" s="15"/>
      <c r="AG527">
        <v>41.551873999999998</v>
      </c>
      <c r="AH527">
        <v>-84.354208</v>
      </c>
      <c r="AI527" t="s">
        <v>4797</v>
      </c>
      <c r="AL527" t="s">
        <v>1715</v>
      </c>
      <c r="AM527" t="s">
        <v>63</v>
      </c>
      <c r="AN527" t="s">
        <v>4798</v>
      </c>
      <c r="AO527">
        <v>194461</v>
      </c>
      <c r="AQ527" t="s">
        <v>4799</v>
      </c>
      <c r="AR527" t="s">
        <v>4800</v>
      </c>
      <c r="AS527" t="s">
        <v>4801</v>
      </c>
      <c r="AT527" t="s">
        <v>68</v>
      </c>
      <c r="AV527" t="s">
        <v>4802</v>
      </c>
      <c r="AW527" t="s">
        <v>4803</v>
      </c>
      <c r="AX527" t="s">
        <v>4804</v>
      </c>
      <c r="BA527" s="14" t="s">
        <v>72</v>
      </c>
      <c r="BB527" s="14" t="s">
        <v>73</v>
      </c>
      <c r="BC527" s="14" t="s">
        <v>74</v>
      </c>
    </row>
    <row r="528" spans="1:55" ht="15" customHeight="1" x14ac:dyDescent="0.4">
      <c r="A528" s="12">
        <v>3743</v>
      </c>
      <c r="B528" s="21" t="s">
        <v>4805</v>
      </c>
      <c r="C528" s="13" t="s">
        <v>4806</v>
      </c>
      <c r="D528" s="25" t="s">
        <v>4806</v>
      </c>
      <c r="E528" s="13"/>
      <c r="F528" s="41"/>
      <c r="G528" s="41"/>
      <c r="H528" s="41"/>
      <c r="I528" s="41"/>
      <c r="J528" s="41"/>
      <c r="K528" s="65" t="str">
        <f>IFERROR(VLOOKUP(D528,Sheet4!A$1:M$56,11,FALSE),"")</f>
        <v/>
      </c>
      <c r="L528" s="65" t="str">
        <f t="shared" si="8"/>
        <v/>
      </c>
      <c r="M528" s="14" t="s">
        <v>49</v>
      </c>
      <c r="N528" s="15">
        <v>44768</v>
      </c>
      <c r="O528" t="s">
        <v>2719</v>
      </c>
      <c r="P528" t="s">
        <v>51</v>
      </c>
      <c r="Q528" t="s">
        <v>52</v>
      </c>
      <c r="R528" t="s">
        <v>53</v>
      </c>
      <c r="S528" t="s">
        <v>1226</v>
      </c>
      <c r="T528" t="s">
        <v>4689</v>
      </c>
      <c r="U528" t="s">
        <v>56</v>
      </c>
      <c r="V528" s="21" t="s">
        <v>4690</v>
      </c>
      <c r="W528" s="21"/>
      <c r="X528" t="s">
        <v>4739</v>
      </c>
      <c r="Y528" t="s">
        <v>4807</v>
      </c>
      <c r="AC528" t="s">
        <v>60</v>
      </c>
      <c r="AE528" s="15"/>
      <c r="AG528">
        <v>41.552622</v>
      </c>
      <c r="AH528">
        <v>-84.353673000000001</v>
      </c>
      <c r="AI528" t="s">
        <v>4808</v>
      </c>
      <c r="AL528" t="s">
        <v>1715</v>
      </c>
      <c r="AM528" t="s">
        <v>63</v>
      </c>
      <c r="AN528" t="s">
        <v>4809</v>
      </c>
      <c r="AO528">
        <v>192667</v>
      </c>
      <c r="AQ528" t="s">
        <v>4810</v>
      </c>
      <c r="AR528" t="s">
        <v>4811</v>
      </c>
      <c r="AS528" t="s">
        <v>4812</v>
      </c>
      <c r="AT528" t="s">
        <v>68</v>
      </c>
      <c r="AV528" t="s">
        <v>4813</v>
      </c>
      <c r="AW528" t="s">
        <v>4814</v>
      </c>
      <c r="AX528" t="s">
        <v>4815</v>
      </c>
      <c r="BA528" s="14" t="s">
        <v>72</v>
      </c>
      <c r="BB528" s="14" t="s">
        <v>73</v>
      </c>
      <c r="BC528" s="14" t="s">
        <v>74</v>
      </c>
    </row>
    <row r="529" spans="1:55" ht="15" customHeight="1" x14ac:dyDescent="0.4">
      <c r="A529" s="12">
        <v>3744</v>
      </c>
      <c r="B529" s="21" t="s">
        <v>4816</v>
      </c>
      <c r="C529" s="13" t="s">
        <v>4817</v>
      </c>
      <c r="D529" s="25" t="s">
        <v>4817</v>
      </c>
      <c r="E529" s="13"/>
      <c r="F529" s="41"/>
      <c r="G529" s="41"/>
      <c r="H529" s="41"/>
      <c r="I529" s="41"/>
      <c r="J529" s="41"/>
      <c r="K529" s="65" t="str">
        <f>IFERROR(VLOOKUP(D529,Sheet4!A$1:M$56,11,FALSE),"")</f>
        <v/>
      </c>
      <c r="L529" s="65" t="str">
        <f t="shared" si="8"/>
        <v/>
      </c>
      <c r="M529" s="14" t="s">
        <v>1829</v>
      </c>
      <c r="N529" s="15">
        <v>44768</v>
      </c>
      <c r="O529" t="s">
        <v>2719</v>
      </c>
      <c r="P529" t="s">
        <v>51</v>
      </c>
      <c r="Q529" t="s">
        <v>52</v>
      </c>
      <c r="R529" t="s">
        <v>53</v>
      </c>
      <c r="S529" t="s">
        <v>1226</v>
      </c>
      <c r="T529" t="s">
        <v>4689</v>
      </c>
      <c r="U529" t="s">
        <v>56</v>
      </c>
      <c r="V529" s="21" t="s">
        <v>4690</v>
      </c>
      <c r="W529" s="21"/>
      <c r="X529" t="s">
        <v>4818</v>
      </c>
      <c r="Y529" t="s">
        <v>4819</v>
      </c>
      <c r="AC529" t="s">
        <v>1832</v>
      </c>
      <c r="AE529" s="15"/>
      <c r="AG529">
        <v>41.553659000000003</v>
      </c>
      <c r="AH529">
        <v>-84.353269999999995</v>
      </c>
      <c r="AI529" t="s">
        <v>4820</v>
      </c>
      <c r="AL529" t="s">
        <v>1715</v>
      </c>
      <c r="AM529" t="s">
        <v>63</v>
      </c>
      <c r="AN529" t="s">
        <v>4821</v>
      </c>
      <c r="AO529">
        <v>194532</v>
      </c>
      <c r="AQ529" t="s">
        <v>4822</v>
      </c>
      <c r="AR529" t="s">
        <v>4823</v>
      </c>
      <c r="AS529" t="s">
        <v>4824</v>
      </c>
      <c r="AT529" t="s">
        <v>68</v>
      </c>
      <c r="AU529" t="s">
        <v>4825</v>
      </c>
      <c r="AV529" t="s">
        <v>4826</v>
      </c>
      <c r="AW529" t="s">
        <v>4827</v>
      </c>
      <c r="AX529" t="s">
        <v>4828</v>
      </c>
      <c r="AY529" s="31" t="s">
        <v>4829</v>
      </c>
      <c r="BA529" s="14" t="s">
        <v>72</v>
      </c>
      <c r="BB529" s="14" t="s">
        <v>73</v>
      </c>
      <c r="BC529" s="14" t="s">
        <v>74</v>
      </c>
    </row>
    <row r="530" spans="1:55" ht="15" customHeight="1" x14ac:dyDescent="0.4">
      <c r="A530" s="12">
        <v>3745</v>
      </c>
      <c r="B530" s="21" t="s">
        <v>4830</v>
      </c>
      <c r="C530" s="13" t="s">
        <v>4831</v>
      </c>
      <c r="D530" s="25" t="s">
        <v>4831</v>
      </c>
      <c r="E530" s="13"/>
      <c r="F530" s="41"/>
      <c r="G530" s="41"/>
      <c r="H530" s="41"/>
      <c r="I530" s="41"/>
      <c r="J530" s="41"/>
      <c r="K530" s="65" t="str">
        <f>IFERROR(VLOOKUP(D530,Sheet4!A$1:M$56,11,FALSE),"")</f>
        <v/>
      </c>
      <c r="L530" s="65" t="str">
        <f t="shared" si="8"/>
        <v/>
      </c>
      <c r="M530" s="14" t="s">
        <v>1878</v>
      </c>
      <c r="N530" s="15">
        <v>44768</v>
      </c>
      <c r="O530" t="s">
        <v>2719</v>
      </c>
      <c r="P530" t="s">
        <v>51</v>
      </c>
      <c r="Q530" t="s">
        <v>52</v>
      </c>
      <c r="R530" t="s">
        <v>53</v>
      </c>
      <c r="S530" t="s">
        <v>1226</v>
      </c>
      <c r="T530" t="s">
        <v>4689</v>
      </c>
      <c r="U530" t="s">
        <v>56</v>
      </c>
      <c r="V530" s="21" t="s">
        <v>4690</v>
      </c>
      <c r="W530" s="21"/>
      <c r="X530" t="s">
        <v>4784</v>
      </c>
      <c r="Y530" t="s">
        <v>4832</v>
      </c>
      <c r="AC530" t="s">
        <v>1881</v>
      </c>
      <c r="AE530" s="15"/>
      <c r="AG530">
        <v>41.554231999999999</v>
      </c>
      <c r="AH530">
        <v>-84.356245000000001</v>
      </c>
      <c r="AI530" t="s">
        <v>2273</v>
      </c>
      <c r="AL530" t="s">
        <v>1715</v>
      </c>
      <c r="AM530" t="s">
        <v>63</v>
      </c>
      <c r="AN530" t="s">
        <v>4833</v>
      </c>
      <c r="AO530">
        <v>194218</v>
      </c>
      <c r="AQ530" t="s">
        <v>4834</v>
      </c>
      <c r="AR530" t="s">
        <v>4835</v>
      </c>
      <c r="AS530" t="s">
        <v>4836</v>
      </c>
      <c r="AT530" t="s">
        <v>68</v>
      </c>
      <c r="AV530" t="s">
        <v>4837</v>
      </c>
      <c r="AW530" t="s">
        <v>4838</v>
      </c>
      <c r="AX530" t="s">
        <v>4839</v>
      </c>
      <c r="BA530" s="14" t="s">
        <v>72</v>
      </c>
      <c r="BB530" s="14" t="s">
        <v>73</v>
      </c>
      <c r="BC530" s="14" t="s">
        <v>1723</v>
      </c>
    </row>
    <row r="531" spans="1:55" ht="15" customHeight="1" x14ac:dyDescent="0.4">
      <c r="A531" s="12">
        <v>3746</v>
      </c>
      <c r="B531" s="21" t="s">
        <v>4840</v>
      </c>
      <c r="C531" s="13" t="s">
        <v>4841</v>
      </c>
      <c r="D531" s="25" t="s">
        <v>4841</v>
      </c>
      <c r="E531" s="13"/>
      <c r="F531" s="41"/>
      <c r="G531" s="41"/>
      <c r="H531" s="41"/>
      <c r="I531" s="41"/>
      <c r="J531" s="41" t="s">
        <v>8177</v>
      </c>
      <c r="K531" s="65" t="str">
        <f>IFERROR(VLOOKUP(D531,Sheet4!A$1:M$56,11,FALSE),"")</f>
        <v/>
      </c>
      <c r="L531" s="65" t="str">
        <f t="shared" si="8"/>
        <v>May have genomic admixture with Q. prinoides</v>
      </c>
      <c r="M531" s="14" t="s">
        <v>1829</v>
      </c>
      <c r="N531" s="15">
        <v>44768</v>
      </c>
      <c r="O531" t="s">
        <v>2719</v>
      </c>
      <c r="P531" t="s">
        <v>51</v>
      </c>
      <c r="Q531" t="s">
        <v>52</v>
      </c>
      <c r="R531" t="s">
        <v>53</v>
      </c>
      <c r="S531" t="s">
        <v>1226</v>
      </c>
      <c r="T531" t="s">
        <v>4689</v>
      </c>
      <c r="U531" t="s">
        <v>56</v>
      </c>
      <c r="V531" s="21" t="s">
        <v>4690</v>
      </c>
      <c r="W531" s="21"/>
      <c r="X531" t="s">
        <v>4739</v>
      </c>
      <c r="Y531" t="s">
        <v>4842</v>
      </c>
      <c r="AC531" t="s">
        <v>1832</v>
      </c>
      <c r="AE531" s="15"/>
      <c r="AG531">
        <v>41.551442999999999</v>
      </c>
      <c r="AH531">
        <v>-84.357894000000002</v>
      </c>
      <c r="AI531" t="s">
        <v>478</v>
      </c>
      <c r="AL531" t="s">
        <v>1715</v>
      </c>
      <c r="AM531" t="s">
        <v>63</v>
      </c>
      <c r="AN531" t="s">
        <v>4843</v>
      </c>
      <c r="AO531">
        <v>194533</v>
      </c>
      <c r="AQ531" t="s">
        <v>4844</v>
      </c>
      <c r="AR531" t="s">
        <v>4845</v>
      </c>
      <c r="AS531" t="s">
        <v>4846</v>
      </c>
      <c r="AT531" t="s">
        <v>68</v>
      </c>
      <c r="AV531" t="s">
        <v>4847</v>
      </c>
      <c r="AW531" t="s">
        <v>4848</v>
      </c>
      <c r="AX531" t="s">
        <v>4849</v>
      </c>
      <c r="BA531" s="14" t="s">
        <v>72</v>
      </c>
      <c r="BB531" s="14" t="s">
        <v>73</v>
      </c>
      <c r="BC531" s="14" t="s">
        <v>74</v>
      </c>
    </row>
    <row r="532" spans="1:55" ht="15" customHeight="1" x14ac:dyDescent="0.4">
      <c r="A532" s="12">
        <v>3747</v>
      </c>
      <c r="B532" s="21" t="s">
        <v>4850</v>
      </c>
      <c r="C532" s="13" t="s">
        <v>4851</v>
      </c>
      <c r="D532" s="25" t="s">
        <v>4851</v>
      </c>
      <c r="E532" s="13"/>
      <c r="F532" s="41"/>
      <c r="G532" s="41"/>
      <c r="H532" s="41"/>
      <c r="I532" s="41"/>
      <c r="J532" s="41"/>
      <c r="K532" s="65" t="str">
        <f>IFERROR(VLOOKUP(D532,Sheet4!A$1:M$56,11,FALSE),"")</f>
        <v/>
      </c>
      <c r="L532" s="65" t="str">
        <f t="shared" si="8"/>
        <v/>
      </c>
      <c r="M532" s="14" t="s">
        <v>1878</v>
      </c>
      <c r="N532" s="15">
        <v>44768</v>
      </c>
      <c r="O532" t="s">
        <v>2719</v>
      </c>
      <c r="P532" t="s">
        <v>51</v>
      </c>
      <c r="Q532" t="s">
        <v>52</v>
      </c>
      <c r="R532" t="s">
        <v>53</v>
      </c>
      <c r="S532" t="s">
        <v>1226</v>
      </c>
      <c r="T532" t="s">
        <v>4689</v>
      </c>
      <c r="U532" t="s">
        <v>56</v>
      </c>
      <c r="V532" s="21" t="s">
        <v>4690</v>
      </c>
      <c r="W532" s="21"/>
      <c r="X532" t="s">
        <v>4852</v>
      </c>
      <c r="Y532" t="s">
        <v>4853</v>
      </c>
      <c r="AC532" t="s">
        <v>1881</v>
      </c>
      <c r="AE532" s="15"/>
      <c r="AG532">
        <v>41.553426000000002</v>
      </c>
      <c r="AH532">
        <v>-84.358202000000006</v>
      </c>
      <c r="AI532" t="s">
        <v>4854</v>
      </c>
      <c r="AL532" t="s">
        <v>1715</v>
      </c>
      <c r="AM532" t="s">
        <v>63</v>
      </c>
      <c r="AN532" t="s">
        <v>4855</v>
      </c>
      <c r="AO532">
        <v>194219</v>
      </c>
      <c r="AQ532" t="s">
        <v>4856</v>
      </c>
      <c r="AR532" t="s">
        <v>4857</v>
      </c>
      <c r="AS532" t="s">
        <v>4858</v>
      </c>
      <c r="AT532" t="s">
        <v>68</v>
      </c>
      <c r="AV532" t="s">
        <v>4859</v>
      </c>
      <c r="AW532" t="s">
        <v>4860</v>
      </c>
      <c r="AX532" t="s">
        <v>4861</v>
      </c>
      <c r="BA532" s="14" t="s">
        <v>72</v>
      </c>
      <c r="BB532" s="14" t="s">
        <v>73</v>
      </c>
      <c r="BC532" s="14" t="s">
        <v>1723</v>
      </c>
    </row>
    <row r="533" spans="1:55" ht="15" customHeight="1" x14ac:dyDescent="0.4">
      <c r="A533" s="12">
        <v>3997</v>
      </c>
      <c r="B533" s="21" t="s">
        <v>7779</v>
      </c>
      <c r="C533" s="13" t="s">
        <v>7780</v>
      </c>
      <c r="D533" s="25" t="s">
        <v>7780</v>
      </c>
      <c r="E533" s="13"/>
      <c r="F533" s="41"/>
      <c r="G533" s="41"/>
      <c r="H533" s="41"/>
      <c r="I533" s="41"/>
      <c r="J533" s="41"/>
      <c r="K533" s="65" t="str">
        <f>IFERROR(VLOOKUP(D533,Sheet4!A$1:M$56,11,FALSE),"")</f>
        <v/>
      </c>
      <c r="L533" s="65" t="str">
        <f t="shared" si="8"/>
        <v/>
      </c>
      <c r="M533" s="14" t="s">
        <v>1829</v>
      </c>
      <c r="N533" s="15">
        <v>44822</v>
      </c>
      <c r="O533" t="s">
        <v>2719</v>
      </c>
      <c r="P533" t="s">
        <v>51</v>
      </c>
      <c r="Q533" t="s">
        <v>52</v>
      </c>
      <c r="R533" t="s">
        <v>53</v>
      </c>
      <c r="S533" t="s">
        <v>1226</v>
      </c>
      <c r="T533" t="s">
        <v>7781</v>
      </c>
      <c r="U533" t="s">
        <v>56</v>
      </c>
      <c r="V533" s="21" t="s">
        <v>7782</v>
      </c>
      <c r="W533" s="21"/>
      <c r="X533" t="s">
        <v>7783</v>
      </c>
      <c r="Y533" t="s">
        <v>7784</v>
      </c>
      <c r="AB533" t="s">
        <v>1758</v>
      </c>
      <c r="AC533" t="s">
        <v>1832</v>
      </c>
      <c r="AE533" s="15"/>
      <c r="AG533">
        <v>39.345528000000002</v>
      </c>
      <c r="AH533">
        <v>-82.034701999999996</v>
      </c>
      <c r="AI533" t="s">
        <v>7179</v>
      </c>
      <c r="AL533" t="s">
        <v>1715</v>
      </c>
      <c r="AM533" t="s">
        <v>63</v>
      </c>
      <c r="AN533" t="s">
        <v>7785</v>
      </c>
      <c r="AO533">
        <v>194527</v>
      </c>
      <c r="AQ533" t="s">
        <v>7786</v>
      </c>
      <c r="AR533" t="s">
        <v>7787</v>
      </c>
      <c r="AS533" t="s">
        <v>7788</v>
      </c>
      <c r="AT533" t="s">
        <v>68</v>
      </c>
      <c r="AV533" t="s">
        <v>7789</v>
      </c>
      <c r="AW533" t="s">
        <v>7790</v>
      </c>
      <c r="AX533" t="s">
        <v>7791</v>
      </c>
      <c r="BA533" s="14" t="s">
        <v>72</v>
      </c>
      <c r="BB533" s="14" t="s">
        <v>73</v>
      </c>
      <c r="BC533" s="14" t="s">
        <v>74</v>
      </c>
    </row>
    <row r="534" spans="1:55" ht="15" customHeight="1" x14ac:dyDescent="0.4">
      <c r="A534" s="12">
        <v>3998</v>
      </c>
      <c r="B534" s="21" t="s">
        <v>7792</v>
      </c>
      <c r="C534" s="13" t="s">
        <v>7793</v>
      </c>
      <c r="D534" s="25" t="s">
        <v>7793</v>
      </c>
      <c r="E534" s="13"/>
      <c r="F534" s="41"/>
      <c r="G534" s="41"/>
      <c r="H534" s="41"/>
      <c r="I534" s="41"/>
      <c r="J534" s="41" t="s">
        <v>8177</v>
      </c>
      <c r="K534" s="65" t="str">
        <f>IFERROR(VLOOKUP(D534,Sheet4!A$1:M$56,11,FALSE),"")</f>
        <v/>
      </c>
      <c r="L534" s="65" t="str">
        <f t="shared" si="8"/>
        <v>May have genomic admixture with Q. prinoides</v>
      </c>
      <c r="M534" s="14" t="s">
        <v>1829</v>
      </c>
      <c r="N534" s="15">
        <v>44822</v>
      </c>
      <c r="O534" t="s">
        <v>2719</v>
      </c>
      <c r="P534" t="s">
        <v>51</v>
      </c>
      <c r="Q534" t="s">
        <v>52</v>
      </c>
      <c r="R534" t="s">
        <v>53</v>
      </c>
      <c r="S534" t="s">
        <v>1226</v>
      </c>
      <c r="T534" t="s">
        <v>7781</v>
      </c>
      <c r="U534" t="s">
        <v>56</v>
      </c>
      <c r="V534" s="21" t="s">
        <v>7782</v>
      </c>
      <c r="W534" s="21"/>
      <c r="X534" t="s">
        <v>7794</v>
      </c>
      <c r="Y534" t="s">
        <v>7795</v>
      </c>
      <c r="AC534" t="s">
        <v>1832</v>
      </c>
      <c r="AE534" s="15"/>
      <c r="AG534">
        <v>39.346829</v>
      </c>
      <c r="AH534">
        <v>-82.036901999999998</v>
      </c>
      <c r="AI534" t="s">
        <v>7700</v>
      </c>
      <c r="AL534" t="s">
        <v>1715</v>
      </c>
      <c r="AM534" t="s">
        <v>63</v>
      </c>
      <c r="AN534" t="s">
        <v>7796</v>
      </c>
      <c r="AO534">
        <v>194528</v>
      </c>
      <c r="AQ534" t="s">
        <v>7797</v>
      </c>
      <c r="AR534" t="s">
        <v>7798</v>
      </c>
      <c r="AS534" t="s">
        <v>7799</v>
      </c>
      <c r="AT534" t="s">
        <v>68</v>
      </c>
      <c r="AV534" t="s">
        <v>7800</v>
      </c>
      <c r="AW534" t="s">
        <v>7801</v>
      </c>
      <c r="AX534" t="s">
        <v>7802</v>
      </c>
      <c r="BA534" s="14" t="s">
        <v>72</v>
      </c>
      <c r="BB534" s="14" t="s">
        <v>73</v>
      </c>
      <c r="BC534" s="14" t="s">
        <v>74</v>
      </c>
    </row>
    <row r="535" spans="1:55" ht="15" customHeight="1" x14ac:dyDescent="0.4">
      <c r="A535" s="12">
        <v>3999</v>
      </c>
      <c r="B535" s="21" t="s">
        <v>7803</v>
      </c>
      <c r="C535" s="13" t="s">
        <v>7804</v>
      </c>
      <c r="D535" s="25" t="s">
        <v>7804</v>
      </c>
      <c r="E535" s="13"/>
      <c r="F535" s="41"/>
      <c r="G535" s="41"/>
      <c r="H535" s="41"/>
      <c r="I535" s="41"/>
      <c r="J535" s="41"/>
      <c r="K535" s="65" t="str">
        <f>IFERROR(VLOOKUP(D535,Sheet4!A$1:M$56,11,FALSE),"")</f>
        <v/>
      </c>
      <c r="L535" s="65" t="str">
        <f t="shared" si="8"/>
        <v/>
      </c>
      <c r="M535" s="14" t="s">
        <v>1878</v>
      </c>
      <c r="N535" s="15">
        <v>44822</v>
      </c>
      <c r="O535" t="s">
        <v>2719</v>
      </c>
      <c r="P535" t="s">
        <v>51</v>
      </c>
      <c r="Q535" t="s">
        <v>52</v>
      </c>
      <c r="R535" t="s">
        <v>53</v>
      </c>
      <c r="S535" t="s">
        <v>1226</v>
      </c>
      <c r="T535" t="s">
        <v>7781</v>
      </c>
      <c r="U535" t="s">
        <v>56</v>
      </c>
      <c r="V535" s="21" t="s">
        <v>7782</v>
      </c>
      <c r="W535" s="21"/>
      <c r="X535" t="s">
        <v>7794</v>
      </c>
      <c r="Y535" t="s">
        <v>7805</v>
      </c>
      <c r="AC535" t="s">
        <v>1881</v>
      </c>
      <c r="AE535" s="15"/>
      <c r="AG535">
        <v>39.346950999999997</v>
      </c>
      <c r="AH535">
        <v>-82.037267</v>
      </c>
      <c r="AI535" t="s">
        <v>7179</v>
      </c>
      <c r="AL535" t="s">
        <v>1715</v>
      </c>
      <c r="AM535" t="s">
        <v>63</v>
      </c>
      <c r="AN535" t="s">
        <v>7806</v>
      </c>
      <c r="AO535">
        <v>194144</v>
      </c>
      <c r="AQ535" t="s">
        <v>7807</v>
      </c>
      <c r="AR535" t="s">
        <v>7808</v>
      </c>
      <c r="AS535" t="s">
        <v>7809</v>
      </c>
      <c r="AT535" t="s">
        <v>68</v>
      </c>
      <c r="AV535" t="s">
        <v>7810</v>
      </c>
      <c r="AW535" t="s">
        <v>7811</v>
      </c>
      <c r="AX535" t="s">
        <v>7812</v>
      </c>
      <c r="BA535" s="14" t="s">
        <v>72</v>
      </c>
      <c r="BB535" s="14" t="s">
        <v>73</v>
      </c>
      <c r="BC535" s="14" t="s">
        <v>1723</v>
      </c>
    </row>
    <row r="536" spans="1:55" ht="15" customHeight="1" x14ac:dyDescent="0.4">
      <c r="A536" s="12">
        <v>4000</v>
      </c>
      <c r="B536" s="21" t="s">
        <v>7813</v>
      </c>
      <c r="C536" s="13" t="s">
        <v>7814</v>
      </c>
      <c r="D536" s="25" t="s">
        <v>7814</v>
      </c>
      <c r="E536" s="13"/>
      <c r="F536" s="41"/>
      <c r="G536" s="41"/>
      <c r="H536" s="41"/>
      <c r="I536" s="41"/>
      <c r="J536" s="41"/>
      <c r="K536" s="65" t="str">
        <f>IFERROR(VLOOKUP(D536,Sheet4!A$1:M$56,11,FALSE),"")</f>
        <v/>
      </c>
      <c r="L536" s="65" t="str">
        <f t="shared" si="8"/>
        <v/>
      </c>
      <c r="M536" s="14" t="s">
        <v>1878</v>
      </c>
      <c r="N536" s="15">
        <v>44822</v>
      </c>
      <c r="O536" t="s">
        <v>2719</v>
      </c>
      <c r="P536" t="s">
        <v>51</v>
      </c>
      <c r="Q536" t="s">
        <v>52</v>
      </c>
      <c r="R536" t="s">
        <v>53</v>
      </c>
      <c r="S536" t="s">
        <v>1226</v>
      </c>
      <c r="T536" t="s">
        <v>7781</v>
      </c>
      <c r="U536" t="s">
        <v>56</v>
      </c>
      <c r="V536" s="21" t="s">
        <v>7782</v>
      </c>
      <c r="W536" s="21"/>
      <c r="X536" t="s">
        <v>7815</v>
      </c>
      <c r="Y536" t="s">
        <v>7816</v>
      </c>
      <c r="AC536" t="s">
        <v>1881</v>
      </c>
      <c r="AE536" s="15"/>
      <c r="AG536">
        <v>39.348610000000001</v>
      </c>
      <c r="AH536">
        <v>-82.039720000000003</v>
      </c>
      <c r="AI536" t="s">
        <v>7278</v>
      </c>
      <c r="AL536" t="s">
        <v>1715</v>
      </c>
      <c r="AM536" t="s">
        <v>63</v>
      </c>
      <c r="AN536" t="s">
        <v>7817</v>
      </c>
      <c r="AO536">
        <v>194143</v>
      </c>
      <c r="AQ536" t="s">
        <v>7818</v>
      </c>
      <c r="AR536" t="s">
        <v>7819</v>
      </c>
      <c r="AS536" t="s">
        <v>7820</v>
      </c>
      <c r="AT536" t="s">
        <v>68</v>
      </c>
      <c r="AV536" t="s">
        <v>7821</v>
      </c>
      <c r="AW536" t="s">
        <v>7822</v>
      </c>
      <c r="AX536" t="s">
        <v>7823</v>
      </c>
      <c r="BA536" s="14" t="s">
        <v>72</v>
      </c>
      <c r="BB536" s="14" t="s">
        <v>73</v>
      </c>
      <c r="BC536" s="14" t="s">
        <v>1723</v>
      </c>
    </row>
    <row r="537" spans="1:55" ht="15" customHeight="1" x14ac:dyDescent="0.4">
      <c r="A537" s="12">
        <v>4001</v>
      </c>
      <c r="B537" s="21" t="s">
        <v>7824</v>
      </c>
      <c r="C537" s="13" t="s">
        <v>7825</v>
      </c>
      <c r="D537" s="25" t="s">
        <v>7825</v>
      </c>
      <c r="E537" s="13"/>
      <c r="F537" s="41"/>
      <c r="G537" s="41"/>
      <c r="H537" s="41"/>
      <c r="I537" s="41"/>
      <c r="J537" s="41"/>
      <c r="K537" s="65" t="str">
        <f>IFERROR(VLOOKUP(D537,Sheet4!A$1:M$56,11,FALSE),"")</f>
        <v/>
      </c>
      <c r="L537" s="65" t="str">
        <f t="shared" si="8"/>
        <v/>
      </c>
      <c r="M537" s="14" t="s">
        <v>6100</v>
      </c>
      <c r="N537" s="15">
        <v>44822</v>
      </c>
      <c r="O537" t="s">
        <v>2719</v>
      </c>
      <c r="P537" t="s">
        <v>51</v>
      </c>
      <c r="Q537" t="s">
        <v>52</v>
      </c>
      <c r="R537" t="s">
        <v>53</v>
      </c>
      <c r="S537" t="s">
        <v>1226</v>
      </c>
      <c r="T537" t="s">
        <v>7781</v>
      </c>
      <c r="U537" t="s">
        <v>56</v>
      </c>
      <c r="V537" s="21" t="s">
        <v>7782</v>
      </c>
      <c r="W537" s="21"/>
      <c r="X537" t="s">
        <v>7826</v>
      </c>
      <c r="Y537" t="s">
        <v>7827</v>
      </c>
      <c r="AB537" t="s">
        <v>2440</v>
      </c>
      <c r="AC537" t="s">
        <v>6105</v>
      </c>
      <c r="AE537" s="15"/>
      <c r="AG537">
        <v>39.349271999999999</v>
      </c>
      <c r="AH537">
        <v>-82.047353999999999</v>
      </c>
      <c r="AI537" t="s">
        <v>7828</v>
      </c>
      <c r="AL537" t="s">
        <v>1715</v>
      </c>
      <c r="AM537" t="s">
        <v>63</v>
      </c>
      <c r="AN537" t="s">
        <v>7829</v>
      </c>
      <c r="AO537">
        <v>193769</v>
      </c>
      <c r="AQ537" t="s">
        <v>7830</v>
      </c>
      <c r="AR537" t="s">
        <v>7831</v>
      </c>
      <c r="AS537" t="s">
        <v>7832</v>
      </c>
      <c r="AT537" t="s">
        <v>68</v>
      </c>
      <c r="AV537" t="s">
        <v>7833</v>
      </c>
      <c r="AW537" t="s">
        <v>7834</v>
      </c>
      <c r="AX537" t="s">
        <v>7835</v>
      </c>
      <c r="BA537" s="14" t="s">
        <v>72</v>
      </c>
      <c r="BB537" s="14" t="s">
        <v>73</v>
      </c>
      <c r="BC537" s="14" t="s">
        <v>1723</v>
      </c>
    </row>
    <row r="538" spans="1:55" ht="15" customHeight="1" x14ac:dyDescent="0.4">
      <c r="A538" s="12">
        <v>4002</v>
      </c>
      <c r="B538" s="21" t="s">
        <v>7836</v>
      </c>
      <c r="C538" s="13" t="s">
        <v>7837</v>
      </c>
      <c r="D538" s="25" t="s">
        <v>7837</v>
      </c>
      <c r="E538" s="13"/>
      <c r="F538" s="41"/>
      <c r="G538" s="41"/>
      <c r="H538" s="41"/>
      <c r="I538" s="41"/>
      <c r="J538" s="41"/>
      <c r="K538" s="65" t="str">
        <f>IFERROR(VLOOKUP(D538,Sheet4!A$1:M$56,11,FALSE),"")</f>
        <v/>
      </c>
      <c r="L538" s="65" t="str">
        <f t="shared" si="8"/>
        <v/>
      </c>
      <c r="M538" s="14" t="s">
        <v>6100</v>
      </c>
      <c r="N538" s="15">
        <v>44822</v>
      </c>
      <c r="O538" t="s">
        <v>2719</v>
      </c>
      <c r="P538" t="s">
        <v>51</v>
      </c>
      <c r="Q538" t="s">
        <v>52</v>
      </c>
      <c r="R538" t="s">
        <v>53</v>
      </c>
      <c r="S538" t="s">
        <v>1226</v>
      </c>
      <c r="T538" t="s">
        <v>7781</v>
      </c>
      <c r="U538" t="s">
        <v>56</v>
      </c>
      <c r="V538" s="21" t="s">
        <v>7782</v>
      </c>
      <c r="W538" s="21"/>
      <c r="X538" t="s">
        <v>7838</v>
      </c>
      <c r="Y538" t="s">
        <v>7839</v>
      </c>
      <c r="AB538" t="s">
        <v>2440</v>
      </c>
      <c r="AC538" t="s">
        <v>6105</v>
      </c>
      <c r="AE538" s="15"/>
      <c r="AG538">
        <v>39.349482000000002</v>
      </c>
      <c r="AH538">
        <v>-82.046768</v>
      </c>
      <c r="AI538" t="s">
        <v>4975</v>
      </c>
      <c r="AL538" t="s">
        <v>1715</v>
      </c>
      <c r="AM538" t="s">
        <v>63</v>
      </c>
      <c r="AN538" t="s">
        <v>7840</v>
      </c>
      <c r="AO538">
        <v>193770</v>
      </c>
      <c r="AQ538" t="s">
        <v>7841</v>
      </c>
      <c r="AR538" t="s">
        <v>7842</v>
      </c>
      <c r="AS538" s="23" t="s">
        <v>7843</v>
      </c>
      <c r="AT538" t="s">
        <v>68</v>
      </c>
      <c r="AV538" t="s">
        <v>7844</v>
      </c>
      <c r="AW538" t="s">
        <v>7845</v>
      </c>
      <c r="AX538" t="s">
        <v>7846</v>
      </c>
      <c r="BA538" s="14" t="s">
        <v>72</v>
      </c>
      <c r="BB538" s="14" t="s">
        <v>73</v>
      </c>
      <c r="BC538" s="14" t="s">
        <v>1723</v>
      </c>
    </row>
    <row r="539" spans="1:55" ht="15" customHeight="1" x14ac:dyDescent="0.4">
      <c r="A539" s="12">
        <v>4003</v>
      </c>
      <c r="B539" s="21" t="s">
        <v>7847</v>
      </c>
      <c r="C539" s="13" t="s">
        <v>7848</v>
      </c>
      <c r="D539" s="25" t="s">
        <v>7848</v>
      </c>
      <c r="E539" s="13"/>
      <c r="F539" s="41"/>
      <c r="G539" s="41"/>
      <c r="H539" s="41"/>
      <c r="I539" s="41"/>
      <c r="J539" s="41"/>
      <c r="K539" s="65" t="str">
        <f>IFERROR(VLOOKUP(D539,Sheet4!A$1:M$56,11,FALSE),"")</f>
        <v/>
      </c>
      <c r="L539" s="65" t="str">
        <f t="shared" si="8"/>
        <v/>
      </c>
      <c r="M539" s="14" t="s">
        <v>6100</v>
      </c>
      <c r="N539" s="15">
        <v>44822</v>
      </c>
      <c r="O539" t="s">
        <v>2719</v>
      </c>
      <c r="P539" t="s">
        <v>51</v>
      </c>
      <c r="Q539" t="s">
        <v>52</v>
      </c>
      <c r="R539" t="s">
        <v>53</v>
      </c>
      <c r="S539" t="s">
        <v>1226</v>
      </c>
      <c r="T539" t="s">
        <v>7781</v>
      </c>
      <c r="U539" t="s">
        <v>56</v>
      </c>
      <c r="V539" s="21" t="s">
        <v>7782</v>
      </c>
      <c r="W539" s="21"/>
      <c r="X539" t="s">
        <v>7849</v>
      </c>
      <c r="Y539" t="s">
        <v>7850</v>
      </c>
      <c r="AC539" t="s">
        <v>6105</v>
      </c>
      <c r="AE539" s="15"/>
      <c r="AG539">
        <v>39.336371</v>
      </c>
      <c r="AH539">
        <v>-82.015625</v>
      </c>
      <c r="AI539" t="s">
        <v>7851</v>
      </c>
      <c r="AL539" t="s">
        <v>1715</v>
      </c>
      <c r="AM539" t="s">
        <v>63</v>
      </c>
      <c r="AN539" t="s">
        <v>7852</v>
      </c>
      <c r="AO539">
        <v>193771</v>
      </c>
      <c r="AQ539" t="s">
        <v>7853</v>
      </c>
      <c r="AR539" t="s">
        <v>7854</v>
      </c>
      <c r="AS539" t="s">
        <v>7855</v>
      </c>
      <c r="AT539" t="s">
        <v>68</v>
      </c>
      <c r="AV539" t="s">
        <v>7856</v>
      </c>
      <c r="AW539" t="s">
        <v>7857</v>
      </c>
      <c r="AX539" t="s">
        <v>7858</v>
      </c>
      <c r="BA539" s="14" t="s">
        <v>72</v>
      </c>
      <c r="BB539" s="14" t="s">
        <v>73</v>
      </c>
      <c r="BC539" s="14" t="s">
        <v>1723</v>
      </c>
    </row>
    <row r="540" spans="1:55" ht="15" customHeight="1" x14ac:dyDescent="0.4">
      <c r="A540" s="12">
        <v>2460</v>
      </c>
      <c r="B540" t="s">
        <v>1223</v>
      </c>
      <c r="D540" t="s">
        <v>1224</v>
      </c>
      <c r="E540" s="13"/>
      <c r="F540" s="41"/>
      <c r="G540" s="41"/>
      <c r="H540" s="41"/>
      <c r="I540" s="41"/>
      <c r="J540" s="41"/>
      <c r="K540" s="65" t="str">
        <f>IFERROR(VLOOKUP(D540,Sheet4!A$1:M$56,11,FALSE),"")</f>
        <v/>
      </c>
      <c r="L540" s="65" t="str">
        <f t="shared" si="8"/>
        <v/>
      </c>
      <c r="M540" s="14" t="s">
        <v>49</v>
      </c>
      <c r="N540" s="15">
        <v>42983</v>
      </c>
      <c r="O540" t="s">
        <v>1225</v>
      </c>
      <c r="P540" t="s">
        <v>51</v>
      </c>
      <c r="Q540" s="15" t="s">
        <v>52</v>
      </c>
      <c r="R540" t="s">
        <v>53</v>
      </c>
      <c r="S540" t="s">
        <v>1226</v>
      </c>
      <c r="T540" t="s">
        <v>1227</v>
      </c>
      <c r="U540" t="s">
        <v>56</v>
      </c>
      <c r="V540" s="16" t="s">
        <v>1228</v>
      </c>
      <c r="W540" s="21"/>
      <c r="X540" t="s">
        <v>1229</v>
      </c>
      <c r="Y540" t="s">
        <v>1230</v>
      </c>
      <c r="AC540" t="s">
        <v>78</v>
      </c>
      <c r="AD540" t="s">
        <v>79</v>
      </c>
      <c r="AE540" s="15">
        <v>45597</v>
      </c>
      <c r="AF540" t="s">
        <v>48</v>
      </c>
      <c r="AG540">
        <v>40.043599999999998</v>
      </c>
      <c r="AH540">
        <v>-83.479870000000005</v>
      </c>
      <c r="AI540" t="s">
        <v>1231</v>
      </c>
      <c r="AL540" t="s">
        <v>62</v>
      </c>
      <c r="AM540" t="s">
        <v>63</v>
      </c>
      <c r="AN540" t="s">
        <v>1232</v>
      </c>
      <c r="AO540">
        <v>186111</v>
      </c>
      <c r="AQ540" t="s">
        <v>1233</v>
      </c>
      <c r="AR540" t="s">
        <v>1234</v>
      </c>
      <c r="AS540" t="s">
        <v>1235</v>
      </c>
      <c r="AT540" t="s">
        <v>68</v>
      </c>
      <c r="AV540" t="s">
        <v>1236</v>
      </c>
      <c r="AW540" t="s">
        <v>1237</v>
      </c>
      <c r="AX540" t="s">
        <v>1238</v>
      </c>
      <c r="AY540" s="31" t="s">
        <v>1239</v>
      </c>
      <c r="AZ540" s="31" t="s">
        <v>85</v>
      </c>
      <c r="BA540" s="14" t="s">
        <v>72</v>
      </c>
      <c r="BB540" s="14" t="s">
        <v>73</v>
      </c>
      <c r="BC540" s="14" t="s">
        <v>74</v>
      </c>
    </row>
    <row r="541" spans="1:55" ht="15" customHeight="1" x14ac:dyDescent="0.4">
      <c r="A541" s="12">
        <v>2461</v>
      </c>
      <c r="B541" t="s">
        <v>1240</v>
      </c>
      <c r="D541" t="s">
        <v>1241</v>
      </c>
      <c r="E541" s="13"/>
      <c r="F541" s="41"/>
      <c r="G541" s="41"/>
      <c r="H541" s="41"/>
      <c r="I541" s="41"/>
      <c r="J541" s="41"/>
      <c r="K541" s="65" t="str">
        <f>IFERROR(VLOOKUP(D541,Sheet4!A$1:M$56,11,FALSE),"")</f>
        <v/>
      </c>
      <c r="L541" s="65" t="str">
        <f t="shared" si="8"/>
        <v/>
      </c>
      <c r="M541" s="14" t="s">
        <v>49</v>
      </c>
      <c r="N541" s="15">
        <v>42983</v>
      </c>
      <c r="O541" t="s">
        <v>1225</v>
      </c>
      <c r="P541" t="s">
        <v>51</v>
      </c>
      <c r="Q541" s="15" t="s">
        <v>52</v>
      </c>
      <c r="R541" t="s">
        <v>53</v>
      </c>
      <c r="S541" t="s">
        <v>1226</v>
      </c>
      <c r="T541" t="s">
        <v>1227</v>
      </c>
      <c r="U541" t="s">
        <v>56</v>
      </c>
      <c r="V541" s="16" t="s">
        <v>1228</v>
      </c>
      <c r="W541" s="21"/>
      <c r="X541" t="s">
        <v>1229</v>
      </c>
      <c r="Y541" t="s">
        <v>1230</v>
      </c>
      <c r="AC541" t="s">
        <v>60</v>
      </c>
      <c r="AE541" s="15"/>
      <c r="AG541">
        <v>40.043970000000002</v>
      </c>
      <c r="AH541">
        <v>-83.480379999999997</v>
      </c>
      <c r="AI541" t="s">
        <v>1242</v>
      </c>
      <c r="AL541" t="s">
        <v>62</v>
      </c>
      <c r="AM541" t="s">
        <v>63</v>
      </c>
      <c r="AN541" t="s">
        <v>1243</v>
      </c>
      <c r="AO541" t="s">
        <v>1244</v>
      </c>
      <c r="AQ541" t="s">
        <v>1245</v>
      </c>
      <c r="AR541" t="s">
        <v>1246</v>
      </c>
      <c r="AS541" t="s">
        <v>1247</v>
      </c>
      <c r="AT541" t="s">
        <v>68</v>
      </c>
      <c r="AV541" t="s">
        <v>1248</v>
      </c>
      <c r="AW541" t="s">
        <v>1249</v>
      </c>
      <c r="AX541" t="s">
        <v>1250</v>
      </c>
      <c r="BA541" s="14" t="s">
        <v>72</v>
      </c>
      <c r="BB541" s="14" t="s">
        <v>73</v>
      </c>
      <c r="BC541" s="14" t="s">
        <v>74</v>
      </c>
    </row>
    <row r="542" spans="1:55" ht="15" customHeight="1" x14ac:dyDescent="0.4">
      <c r="A542" s="12">
        <v>2462</v>
      </c>
      <c r="B542" t="s">
        <v>1251</v>
      </c>
      <c r="D542" t="s">
        <v>1252</v>
      </c>
      <c r="E542" s="13"/>
      <c r="F542" s="41"/>
      <c r="G542" s="41"/>
      <c r="H542" s="41"/>
      <c r="I542" s="41"/>
      <c r="J542" s="41"/>
      <c r="K542" s="65" t="str">
        <f>IFERROR(VLOOKUP(D542,Sheet4!A$1:M$56,11,FALSE),"")</f>
        <v/>
      </c>
      <c r="L542" s="65" t="str">
        <f t="shared" si="8"/>
        <v/>
      </c>
      <c r="M542" s="14" t="s">
        <v>49</v>
      </c>
      <c r="N542" s="15">
        <v>42983</v>
      </c>
      <c r="O542" t="s">
        <v>1225</v>
      </c>
      <c r="P542" t="s">
        <v>51</v>
      </c>
      <c r="Q542" s="15" t="s">
        <v>52</v>
      </c>
      <c r="R542" t="s">
        <v>53</v>
      </c>
      <c r="S542" t="s">
        <v>1226</v>
      </c>
      <c r="T542" t="s">
        <v>1227</v>
      </c>
      <c r="U542" t="s">
        <v>56</v>
      </c>
      <c r="V542" s="16" t="s">
        <v>1228</v>
      </c>
      <c r="W542" s="21"/>
      <c r="X542" t="s">
        <v>1229</v>
      </c>
      <c r="Y542" t="s">
        <v>1230</v>
      </c>
      <c r="AC542" t="s">
        <v>60</v>
      </c>
      <c r="AE542" s="15"/>
      <c r="AG542">
        <v>40.044330000000002</v>
      </c>
      <c r="AH542">
        <v>-83.480639999999994</v>
      </c>
      <c r="AI542" t="s">
        <v>1253</v>
      </c>
      <c r="AL542" t="s">
        <v>62</v>
      </c>
      <c r="AM542" t="s">
        <v>63</v>
      </c>
      <c r="AN542" t="s">
        <v>1254</v>
      </c>
      <c r="AO542" t="s">
        <v>1255</v>
      </c>
      <c r="AQ542" t="s">
        <v>1256</v>
      </c>
      <c r="AR542" t="s">
        <v>1257</v>
      </c>
      <c r="AS542" t="s">
        <v>1258</v>
      </c>
      <c r="AT542" t="s">
        <v>68</v>
      </c>
      <c r="AV542" t="s">
        <v>1259</v>
      </c>
      <c r="AW542" t="s">
        <v>1260</v>
      </c>
      <c r="AX542" t="s">
        <v>1261</v>
      </c>
      <c r="BA542" s="14" t="s">
        <v>72</v>
      </c>
      <c r="BB542" s="14" t="s">
        <v>73</v>
      </c>
      <c r="BC542" s="14" t="s">
        <v>74</v>
      </c>
    </row>
    <row r="543" spans="1:55" ht="15" customHeight="1" x14ac:dyDescent="0.4">
      <c r="A543" s="12">
        <v>2463</v>
      </c>
      <c r="B543" t="s">
        <v>1262</v>
      </c>
      <c r="D543" t="s">
        <v>1263</v>
      </c>
      <c r="E543" s="13"/>
      <c r="F543" s="41"/>
      <c r="G543" s="41"/>
      <c r="H543" s="41"/>
      <c r="I543" s="41"/>
      <c r="J543" s="41"/>
      <c r="K543" s="65" t="str">
        <f>IFERROR(VLOOKUP(D543,Sheet4!A$1:M$56,11,FALSE),"")</f>
        <v/>
      </c>
      <c r="L543" s="65" t="str">
        <f t="shared" si="8"/>
        <v/>
      </c>
      <c r="M543" s="14" t="s">
        <v>49</v>
      </c>
      <c r="N543" s="15">
        <v>42983</v>
      </c>
      <c r="O543" t="s">
        <v>1225</v>
      </c>
      <c r="P543" t="s">
        <v>51</v>
      </c>
      <c r="Q543" s="15" t="s">
        <v>52</v>
      </c>
      <c r="R543" t="s">
        <v>53</v>
      </c>
      <c r="S543" t="s">
        <v>1226</v>
      </c>
      <c r="T543" t="s">
        <v>1227</v>
      </c>
      <c r="U543" t="s">
        <v>56</v>
      </c>
      <c r="V543" s="16" t="s">
        <v>1228</v>
      </c>
      <c r="W543" s="21"/>
      <c r="X543" t="s">
        <v>1229</v>
      </c>
      <c r="Y543" t="s">
        <v>1230</v>
      </c>
      <c r="AC543" t="s">
        <v>78</v>
      </c>
      <c r="AD543" t="s">
        <v>562</v>
      </c>
      <c r="AE543" s="15">
        <v>45597</v>
      </c>
      <c r="AF543" t="s">
        <v>48</v>
      </c>
      <c r="AG543">
        <v>40.045209999999997</v>
      </c>
      <c r="AH543">
        <v>-83.479240000000004</v>
      </c>
      <c r="AI543" t="s">
        <v>1264</v>
      </c>
      <c r="AL543" t="s">
        <v>62</v>
      </c>
      <c r="AM543" t="s">
        <v>63</v>
      </c>
      <c r="AN543" t="s">
        <v>1265</v>
      </c>
      <c r="AO543">
        <v>186411</v>
      </c>
      <c r="AQ543" t="s">
        <v>1266</v>
      </c>
      <c r="AR543" t="s">
        <v>1267</v>
      </c>
      <c r="AS543" t="s">
        <v>1268</v>
      </c>
      <c r="AT543" t="s">
        <v>68</v>
      </c>
      <c r="AV543" t="s">
        <v>1269</v>
      </c>
      <c r="AW543" t="s">
        <v>1270</v>
      </c>
      <c r="AX543" t="s">
        <v>1271</v>
      </c>
      <c r="AY543" s="31" t="s">
        <v>1272</v>
      </c>
      <c r="AZ543" s="31" t="s">
        <v>85</v>
      </c>
      <c r="BA543" s="14" t="s">
        <v>72</v>
      </c>
      <c r="BB543" s="14" t="s">
        <v>73</v>
      </c>
      <c r="BC543" s="14" t="s">
        <v>74</v>
      </c>
    </row>
    <row r="544" spans="1:55" ht="15" customHeight="1" x14ac:dyDescent="0.4">
      <c r="A544" s="12">
        <v>2464</v>
      </c>
      <c r="B544" t="s">
        <v>1273</v>
      </c>
      <c r="D544" t="s">
        <v>1274</v>
      </c>
      <c r="E544" s="13"/>
      <c r="F544" s="41"/>
      <c r="G544" s="41"/>
      <c r="H544" s="41"/>
      <c r="I544" s="41"/>
      <c r="J544" s="41"/>
      <c r="K544" s="65" t="str">
        <f>IFERROR(VLOOKUP(D544,Sheet4!A$1:M$56,11,FALSE),"")</f>
        <v/>
      </c>
      <c r="L544" s="65" t="str">
        <f t="shared" si="8"/>
        <v/>
      </c>
      <c r="M544" s="14" t="s">
        <v>49</v>
      </c>
      <c r="N544" s="15">
        <v>42983</v>
      </c>
      <c r="O544" t="s">
        <v>1225</v>
      </c>
      <c r="P544" t="s">
        <v>51</v>
      </c>
      <c r="Q544" s="15" t="s">
        <v>52</v>
      </c>
      <c r="R544" t="s">
        <v>53</v>
      </c>
      <c r="S544" t="s">
        <v>1226</v>
      </c>
      <c r="T544" t="s">
        <v>1227</v>
      </c>
      <c r="U544" t="s">
        <v>56</v>
      </c>
      <c r="V544" s="16" t="s">
        <v>1228</v>
      </c>
      <c r="W544" s="21"/>
      <c r="X544" t="s">
        <v>1229</v>
      </c>
      <c r="Y544" t="s">
        <v>1230</v>
      </c>
      <c r="AC544" t="s">
        <v>60</v>
      </c>
      <c r="AE544" s="15"/>
      <c r="AG544">
        <v>40.045679999999997</v>
      </c>
      <c r="AH544">
        <v>-83.479349999999997</v>
      </c>
      <c r="AI544" t="s">
        <v>1275</v>
      </c>
      <c r="AL544" t="s">
        <v>62</v>
      </c>
      <c r="AM544" t="s">
        <v>63</v>
      </c>
      <c r="AN544" t="s">
        <v>1276</v>
      </c>
      <c r="AO544" t="s">
        <v>1277</v>
      </c>
      <c r="AQ544" t="s">
        <v>1278</v>
      </c>
      <c r="AR544" t="s">
        <v>1279</v>
      </c>
      <c r="AS544" t="s">
        <v>1280</v>
      </c>
      <c r="AT544" t="s">
        <v>68</v>
      </c>
      <c r="AV544" t="s">
        <v>1281</v>
      </c>
      <c r="AW544" t="s">
        <v>1282</v>
      </c>
      <c r="AX544" t="s">
        <v>1283</v>
      </c>
      <c r="BA544" s="14" t="s">
        <v>72</v>
      </c>
      <c r="BB544" s="14" t="s">
        <v>73</v>
      </c>
      <c r="BC544" s="14" t="s">
        <v>74</v>
      </c>
    </row>
    <row r="545" spans="1:55" ht="15" customHeight="1" x14ac:dyDescent="0.4">
      <c r="A545" s="12">
        <v>2465</v>
      </c>
      <c r="B545" t="s">
        <v>1284</v>
      </c>
      <c r="D545" t="s">
        <v>1285</v>
      </c>
      <c r="E545" s="13"/>
      <c r="F545" s="41" t="s">
        <v>1752</v>
      </c>
      <c r="G545" s="41"/>
      <c r="H545" s="41"/>
      <c r="I545" s="41"/>
      <c r="J545" s="41"/>
      <c r="K545" s="65" t="str">
        <f>IFERROR(VLOOKUP(D545,Sheet4!A$1:M$56,11,FALSE),"")</f>
        <v/>
      </c>
      <c r="L545" s="65" t="str">
        <f t="shared" si="8"/>
        <v/>
      </c>
      <c r="M545" s="14" t="s">
        <v>49</v>
      </c>
      <c r="N545" s="15">
        <v>42983</v>
      </c>
      <c r="O545" t="s">
        <v>1225</v>
      </c>
      <c r="P545" t="s">
        <v>51</v>
      </c>
      <c r="Q545" s="15" t="s">
        <v>52</v>
      </c>
      <c r="R545" t="s">
        <v>53</v>
      </c>
      <c r="S545" t="s">
        <v>1226</v>
      </c>
      <c r="T545" t="s">
        <v>1227</v>
      </c>
      <c r="U545" t="s">
        <v>56</v>
      </c>
      <c r="V545" s="16" t="s">
        <v>1228</v>
      </c>
      <c r="W545" s="21"/>
      <c r="X545" t="s">
        <v>1229</v>
      </c>
      <c r="Y545" t="s">
        <v>1230</v>
      </c>
      <c r="AC545" t="s">
        <v>60</v>
      </c>
      <c r="AE545" s="15"/>
      <c r="AG545">
        <v>40.046039999999998</v>
      </c>
      <c r="AH545">
        <v>-83.478849999999994</v>
      </c>
      <c r="AI545" t="s">
        <v>1286</v>
      </c>
      <c r="AL545" t="s">
        <v>62</v>
      </c>
      <c r="AM545" t="s">
        <v>63</v>
      </c>
      <c r="AN545" t="s">
        <v>1287</v>
      </c>
      <c r="AO545" t="s">
        <v>1288</v>
      </c>
      <c r="AQ545" t="s">
        <v>1289</v>
      </c>
      <c r="AR545" t="s">
        <v>1290</v>
      </c>
      <c r="AS545" t="s">
        <v>1291</v>
      </c>
      <c r="AT545" t="s">
        <v>68</v>
      </c>
      <c r="AV545" t="s">
        <v>1292</v>
      </c>
      <c r="AW545" t="s">
        <v>1293</v>
      </c>
      <c r="AX545" t="s">
        <v>1294</v>
      </c>
      <c r="BA545" s="14" t="s">
        <v>72</v>
      </c>
      <c r="BB545" s="14" t="s">
        <v>73</v>
      </c>
      <c r="BC545" s="14" t="s">
        <v>74</v>
      </c>
    </row>
    <row r="546" spans="1:55" ht="15" customHeight="1" x14ac:dyDescent="0.4">
      <c r="A546" s="12">
        <v>2466</v>
      </c>
      <c r="B546" t="s">
        <v>1295</v>
      </c>
      <c r="D546" t="s">
        <v>1296</v>
      </c>
      <c r="E546" s="13"/>
      <c r="F546" s="41"/>
      <c r="G546" s="41"/>
      <c r="H546" s="41"/>
      <c r="I546" s="41"/>
      <c r="J546" s="41"/>
      <c r="K546" s="65" t="str">
        <f>IFERROR(VLOOKUP(D546,Sheet4!A$1:M$56,11,FALSE),"")</f>
        <v/>
      </c>
      <c r="L546" s="65" t="str">
        <f t="shared" si="8"/>
        <v/>
      </c>
      <c r="M546" s="14" t="s">
        <v>49</v>
      </c>
      <c r="N546" s="15">
        <v>42983</v>
      </c>
      <c r="O546" t="s">
        <v>1225</v>
      </c>
      <c r="P546" t="s">
        <v>51</v>
      </c>
      <c r="Q546" s="15" t="s">
        <v>52</v>
      </c>
      <c r="R546" t="s">
        <v>53</v>
      </c>
      <c r="S546" t="s">
        <v>1226</v>
      </c>
      <c r="T546" t="s">
        <v>1227</v>
      </c>
      <c r="U546" t="s">
        <v>56</v>
      </c>
      <c r="V546" s="16" t="s">
        <v>1228</v>
      </c>
      <c r="W546" s="21"/>
      <c r="X546" t="s">
        <v>1229</v>
      </c>
      <c r="Y546" t="s">
        <v>1230</v>
      </c>
      <c r="AC546" t="s">
        <v>60</v>
      </c>
      <c r="AE546" s="15"/>
      <c r="AG546">
        <v>40.044989999999999</v>
      </c>
      <c r="AH546">
        <v>-83.477350000000001</v>
      </c>
      <c r="AI546" t="s">
        <v>1297</v>
      </c>
      <c r="AL546" t="s">
        <v>62</v>
      </c>
      <c r="AM546" t="s">
        <v>63</v>
      </c>
      <c r="AN546" t="s">
        <v>1298</v>
      </c>
      <c r="AO546" t="s">
        <v>1299</v>
      </c>
      <c r="AQ546" t="s">
        <v>1300</v>
      </c>
      <c r="AR546" t="s">
        <v>1301</v>
      </c>
      <c r="AS546" t="s">
        <v>1302</v>
      </c>
      <c r="AT546" t="s">
        <v>68</v>
      </c>
      <c r="AV546" t="s">
        <v>1303</v>
      </c>
      <c r="AW546" t="s">
        <v>1304</v>
      </c>
      <c r="AX546" t="s">
        <v>1305</v>
      </c>
      <c r="BA546" s="14" t="s">
        <v>72</v>
      </c>
      <c r="BB546" s="14" t="s">
        <v>73</v>
      </c>
      <c r="BC546" s="14" t="s">
        <v>74</v>
      </c>
    </row>
    <row r="547" spans="1:55" ht="15" customHeight="1" x14ac:dyDescent="0.4">
      <c r="A547" s="12">
        <v>2467</v>
      </c>
      <c r="B547" t="s">
        <v>1306</v>
      </c>
      <c r="D547" t="s">
        <v>1307</v>
      </c>
      <c r="E547" s="13"/>
      <c r="F547" s="41"/>
      <c r="G547" s="41"/>
      <c r="H547" s="41"/>
      <c r="I547" s="41"/>
      <c r="J547" s="41"/>
      <c r="K547" s="65" t="str">
        <f>IFERROR(VLOOKUP(D547,Sheet4!A$1:M$56,11,FALSE),"")</f>
        <v/>
      </c>
      <c r="L547" s="65" t="str">
        <f t="shared" si="8"/>
        <v/>
      </c>
      <c r="M547" s="14" t="s">
        <v>49</v>
      </c>
      <c r="N547" s="15">
        <v>42983</v>
      </c>
      <c r="O547" t="s">
        <v>1225</v>
      </c>
      <c r="P547" t="s">
        <v>51</v>
      </c>
      <c r="Q547" s="15" t="s">
        <v>52</v>
      </c>
      <c r="R547" t="s">
        <v>53</v>
      </c>
      <c r="S547" t="s">
        <v>1226</v>
      </c>
      <c r="T547" t="s">
        <v>1227</v>
      </c>
      <c r="U547" t="s">
        <v>56</v>
      </c>
      <c r="V547" s="16" t="s">
        <v>1228</v>
      </c>
      <c r="W547" s="21"/>
      <c r="X547" t="s">
        <v>1229</v>
      </c>
      <c r="Y547" t="s">
        <v>1230</v>
      </c>
      <c r="AC547" t="s">
        <v>78</v>
      </c>
      <c r="AD547" t="s">
        <v>79</v>
      </c>
      <c r="AE547" s="15">
        <v>45597</v>
      </c>
      <c r="AF547" t="s">
        <v>48</v>
      </c>
      <c r="AG547">
        <v>40.044359999999998</v>
      </c>
      <c r="AH547">
        <v>-83.478909999999999</v>
      </c>
      <c r="AI547" t="s">
        <v>1308</v>
      </c>
      <c r="AL547" t="s">
        <v>62</v>
      </c>
      <c r="AM547" t="s">
        <v>63</v>
      </c>
      <c r="AN547" t="s">
        <v>1309</v>
      </c>
      <c r="AO547">
        <v>186413</v>
      </c>
      <c r="AQ547" t="s">
        <v>1310</v>
      </c>
      <c r="AR547" t="s">
        <v>1311</v>
      </c>
      <c r="AS547" t="s">
        <v>1312</v>
      </c>
      <c r="AT547" t="s">
        <v>68</v>
      </c>
      <c r="AV547" t="s">
        <v>1313</v>
      </c>
      <c r="AW547" t="s">
        <v>1314</v>
      </c>
      <c r="AX547" t="s">
        <v>1315</v>
      </c>
      <c r="AY547" s="31" t="s">
        <v>1316</v>
      </c>
      <c r="AZ547" s="31" t="s">
        <v>85</v>
      </c>
      <c r="BA547" s="14" t="s">
        <v>72</v>
      </c>
      <c r="BB547" s="14" t="s">
        <v>73</v>
      </c>
      <c r="BC547" s="14" t="s">
        <v>74</v>
      </c>
    </row>
    <row r="548" spans="1:55" ht="15" customHeight="1" x14ac:dyDescent="0.4">
      <c r="A548" s="12">
        <v>2468</v>
      </c>
      <c r="B548" t="s">
        <v>1317</v>
      </c>
      <c r="D548" t="s">
        <v>1318</v>
      </c>
      <c r="E548" s="13"/>
      <c r="F548" s="41"/>
      <c r="G548" s="41"/>
      <c r="H548" s="41"/>
      <c r="I548" s="41"/>
      <c r="J548" s="41"/>
      <c r="K548" s="65" t="str">
        <f>IFERROR(VLOOKUP(D548,Sheet4!A$1:M$56,11,FALSE),"")</f>
        <v/>
      </c>
      <c r="L548" s="65" t="str">
        <f t="shared" si="8"/>
        <v/>
      </c>
      <c r="M548" s="14" t="s">
        <v>49</v>
      </c>
      <c r="N548" s="15">
        <v>42983</v>
      </c>
      <c r="O548" t="s">
        <v>1225</v>
      </c>
      <c r="P548" t="s">
        <v>51</v>
      </c>
      <c r="Q548" s="15" t="s">
        <v>52</v>
      </c>
      <c r="R548" t="s">
        <v>53</v>
      </c>
      <c r="S548" t="s">
        <v>1226</v>
      </c>
      <c r="T548" t="s">
        <v>1227</v>
      </c>
      <c r="U548" t="s">
        <v>56</v>
      </c>
      <c r="V548" s="16" t="s">
        <v>1228</v>
      </c>
      <c r="W548" s="21"/>
      <c r="X548" t="s">
        <v>1229</v>
      </c>
      <c r="Y548" t="s">
        <v>1230</v>
      </c>
      <c r="AC548" t="s">
        <v>60</v>
      </c>
      <c r="AE548" s="15"/>
      <c r="AG548">
        <v>40.044130000000003</v>
      </c>
      <c r="AH548">
        <v>-83.478830000000002</v>
      </c>
      <c r="AI548" t="s">
        <v>1242</v>
      </c>
      <c r="AL548" t="s">
        <v>62</v>
      </c>
      <c r="AM548" t="s">
        <v>63</v>
      </c>
      <c r="AN548" t="s">
        <v>1319</v>
      </c>
      <c r="AO548" t="s">
        <v>1320</v>
      </c>
      <c r="AQ548" t="s">
        <v>1321</v>
      </c>
      <c r="AR548" t="s">
        <v>1322</v>
      </c>
      <c r="AS548" t="s">
        <v>1323</v>
      </c>
      <c r="AT548" t="s">
        <v>68</v>
      </c>
      <c r="AV548" t="s">
        <v>1324</v>
      </c>
      <c r="AW548" t="s">
        <v>1325</v>
      </c>
      <c r="AX548" t="s">
        <v>1326</v>
      </c>
      <c r="BA548" s="14" t="s">
        <v>72</v>
      </c>
      <c r="BB548" s="14" t="s">
        <v>73</v>
      </c>
      <c r="BC548" s="14" t="s">
        <v>74</v>
      </c>
    </row>
    <row r="549" spans="1:55" ht="15" customHeight="1" x14ac:dyDescent="0.4">
      <c r="A549" s="12">
        <v>2469</v>
      </c>
      <c r="B549" t="s">
        <v>1327</v>
      </c>
      <c r="D549" t="s">
        <v>1328</v>
      </c>
      <c r="E549" s="13"/>
      <c r="F549" s="41"/>
      <c r="G549" s="41"/>
      <c r="H549" s="41"/>
      <c r="I549" s="41"/>
      <c r="J549" s="41"/>
      <c r="K549" s="65" t="str">
        <f>IFERROR(VLOOKUP(D549,Sheet4!A$1:M$56,11,FALSE),"")</f>
        <v/>
      </c>
      <c r="L549" s="65" t="str">
        <f t="shared" si="8"/>
        <v/>
      </c>
      <c r="M549" s="14" t="s">
        <v>49</v>
      </c>
      <c r="N549" s="15">
        <v>42983</v>
      </c>
      <c r="O549" t="s">
        <v>1225</v>
      </c>
      <c r="P549" t="s">
        <v>51</v>
      </c>
      <c r="Q549" s="15" t="s">
        <v>52</v>
      </c>
      <c r="R549" t="s">
        <v>53</v>
      </c>
      <c r="S549" t="s">
        <v>1226</v>
      </c>
      <c r="T549" t="s">
        <v>1227</v>
      </c>
      <c r="U549" t="s">
        <v>56</v>
      </c>
      <c r="V549" s="16" t="s">
        <v>1228</v>
      </c>
      <c r="W549" s="21"/>
      <c r="X549" t="s">
        <v>1229</v>
      </c>
      <c r="Y549" t="s">
        <v>1230</v>
      </c>
      <c r="AC549" t="s">
        <v>60</v>
      </c>
      <c r="AE549" s="15"/>
      <c r="AG549">
        <v>40.043669999999999</v>
      </c>
      <c r="AH549">
        <v>-83.479560000000006</v>
      </c>
      <c r="AI549" t="s">
        <v>1329</v>
      </c>
      <c r="AL549" t="s">
        <v>62</v>
      </c>
      <c r="AM549" t="s">
        <v>63</v>
      </c>
      <c r="AN549" t="s">
        <v>1330</v>
      </c>
      <c r="AO549" t="s">
        <v>1331</v>
      </c>
      <c r="AQ549" t="s">
        <v>1332</v>
      </c>
      <c r="AR549" t="s">
        <v>1333</v>
      </c>
      <c r="AS549" t="s">
        <v>1334</v>
      </c>
      <c r="AT549" t="s">
        <v>68</v>
      </c>
      <c r="AV549" t="s">
        <v>1335</v>
      </c>
      <c r="AW549" t="s">
        <v>1336</v>
      </c>
      <c r="AX549" t="s">
        <v>1337</v>
      </c>
      <c r="BA549" s="14" t="s">
        <v>72</v>
      </c>
      <c r="BB549" s="14" t="s">
        <v>73</v>
      </c>
      <c r="BC549" s="14" t="s">
        <v>74</v>
      </c>
    </row>
    <row r="550" spans="1:55" ht="15" customHeight="1" x14ac:dyDescent="0.4">
      <c r="A550" s="12">
        <v>2470</v>
      </c>
      <c r="B550" t="s">
        <v>1338</v>
      </c>
      <c r="D550" t="s">
        <v>1339</v>
      </c>
      <c r="E550" s="13"/>
      <c r="F550" s="41"/>
      <c r="G550" s="41"/>
      <c r="H550" s="41"/>
      <c r="I550" s="41"/>
      <c r="J550" s="41"/>
      <c r="K550" s="65" t="str">
        <f>IFERROR(VLOOKUP(D550,Sheet4!A$1:M$56,11,FALSE),"")</f>
        <v/>
      </c>
      <c r="L550" s="65" t="str">
        <f t="shared" si="8"/>
        <v/>
      </c>
      <c r="M550" s="14" t="s">
        <v>49</v>
      </c>
      <c r="N550" s="15">
        <v>42983</v>
      </c>
      <c r="O550" t="s">
        <v>1225</v>
      </c>
      <c r="P550" t="s">
        <v>51</v>
      </c>
      <c r="Q550" s="15" t="s">
        <v>52</v>
      </c>
      <c r="R550" t="s">
        <v>53</v>
      </c>
      <c r="S550" t="s">
        <v>1226</v>
      </c>
      <c r="T550" t="s">
        <v>1340</v>
      </c>
      <c r="U550" t="s">
        <v>56</v>
      </c>
      <c r="V550" s="16" t="s">
        <v>1341</v>
      </c>
      <c r="W550" s="21"/>
      <c r="X550" t="s">
        <v>1229</v>
      </c>
      <c r="AC550" t="s">
        <v>60</v>
      </c>
      <c r="AE550" s="15"/>
      <c r="AG550">
        <v>40.730969999999999</v>
      </c>
      <c r="AH550">
        <v>-83.092569999999995</v>
      </c>
      <c r="AI550" t="s">
        <v>1342</v>
      </c>
      <c r="AL550" t="s">
        <v>62</v>
      </c>
      <c r="AM550" t="s">
        <v>63</v>
      </c>
      <c r="AN550" t="s">
        <v>1343</v>
      </c>
      <c r="AO550" t="s">
        <v>1344</v>
      </c>
      <c r="AQ550" t="s">
        <v>1345</v>
      </c>
      <c r="AR550" t="s">
        <v>1346</v>
      </c>
      <c r="AS550" t="s">
        <v>1347</v>
      </c>
      <c r="AT550" t="s">
        <v>68</v>
      </c>
      <c r="AV550" t="s">
        <v>1348</v>
      </c>
      <c r="AW550" t="s">
        <v>1349</v>
      </c>
      <c r="AX550" t="s">
        <v>1350</v>
      </c>
      <c r="BA550" s="14" t="s">
        <v>72</v>
      </c>
      <c r="BB550" s="14" t="s">
        <v>73</v>
      </c>
      <c r="BC550" s="14" t="s">
        <v>74</v>
      </c>
    </row>
    <row r="551" spans="1:55" ht="15" customHeight="1" x14ac:dyDescent="0.4">
      <c r="A551" s="12">
        <v>2471</v>
      </c>
      <c r="B551" t="s">
        <v>1351</v>
      </c>
      <c r="D551" t="s">
        <v>1352</v>
      </c>
      <c r="E551" s="13"/>
      <c r="F551" s="41"/>
      <c r="G551" s="41"/>
      <c r="H551" s="41"/>
      <c r="I551" s="41"/>
      <c r="J551" s="41"/>
      <c r="K551" s="65" t="str">
        <f>IFERROR(VLOOKUP(D551,Sheet4!A$1:M$56,11,FALSE),"")</f>
        <v/>
      </c>
      <c r="L551" s="65" t="str">
        <f t="shared" si="8"/>
        <v/>
      </c>
      <c r="M551" s="14" t="s">
        <v>49</v>
      </c>
      <c r="N551" s="15">
        <v>42983</v>
      </c>
      <c r="O551" t="s">
        <v>1225</v>
      </c>
      <c r="P551" t="s">
        <v>51</v>
      </c>
      <c r="Q551" s="15" t="s">
        <v>52</v>
      </c>
      <c r="R551" t="s">
        <v>53</v>
      </c>
      <c r="S551" t="s">
        <v>1226</v>
      </c>
      <c r="T551" t="s">
        <v>1340</v>
      </c>
      <c r="U551" t="s">
        <v>56</v>
      </c>
      <c r="V551" s="16" t="s">
        <v>1341</v>
      </c>
      <c r="W551" s="21"/>
      <c r="X551" t="s">
        <v>1229</v>
      </c>
      <c r="AC551" t="s">
        <v>78</v>
      </c>
      <c r="AD551" t="s">
        <v>79</v>
      </c>
      <c r="AE551" s="15">
        <v>45597</v>
      </c>
      <c r="AF551" t="s">
        <v>48</v>
      </c>
      <c r="AG551">
        <v>40.73122</v>
      </c>
      <c r="AH551">
        <v>-83.093279999999993</v>
      </c>
      <c r="AI551" t="s">
        <v>1353</v>
      </c>
      <c r="AL551" t="s">
        <v>62</v>
      </c>
      <c r="AM551" t="s">
        <v>63</v>
      </c>
      <c r="AN551" t="s">
        <v>1354</v>
      </c>
      <c r="AO551">
        <v>186415</v>
      </c>
      <c r="AQ551" t="s">
        <v>1355</v>
      </c>
      <c r="AR551" t="s">
        <v>1356</v>
      </c>
      <c r="AS551" t="s">
        <v>1357</v>
      </c>
      <c r="AT551" t="s">
        <v>68</v>
      </c>
      <c r="AV551" t="s">
        <v>1358</v>
      </c>
      <c r="AW551" t="s">
        <v>1359</v>
      </c>
      <c r="AX551" t="s">
        <v>1360</v>
      </c>
      <c r="AY551" s="31" t="s">
        <v>1361</v>
      </c>
      <c r="AZ551" s="31" t="s">
        <v>85</v>
      </c>
      <c r="BA551" s="14" t="s">
        <v>72</v>
      </c>
      <c r="BB551" s="14" t="s">
        <v>73</v>
      </c>
      <c r="BC551" s="14" t="s">
        <v>74</v>
      </c>
    </row>
    <row r="552" spans="1:55" ht="15" customHeight="1" x14ac:dyDescent="0.4">
      <c r="A552" s="12">
        <v>2472</v>
      </c>
      <c r="B552" t="s">
        <v>1362</v>
      </c>
      <c r="D552" t="s">
        <v>1363</v>
      </c>
      <c r="E552" s="13"/>
      <c r="F552" s="41"/>
      <c r="G552" s="41"/>
      <c r="H552" s="41"/>
      <c r="I552" s="41"/>
      <c r="J552" s="41"/>
      <c r="K552" s="65" t="str">
        <f>IFERROR(VLOOKUP(D552,Sheet4!A$1:M$56,11,FALSE),"")</f>
        <v/>
      </c>
      <c r="L552" s="65" t="str">
        <f t="shared" si="8"/>
        <v/>
      </c>
      <c r="M552" s="14" t="s">
        <v>49</v>
      </c>
      <c r="N552" s="15">
        <v>42983</v>
      </c>
      <c r="O552" t="s">
        <v>1225</v>
      </c>
      <c r="P552" t="s">
        <v>51</v>
      </c>
      <c r="Q552" s="15" t="s">
        <v>52</v>
      </c>
      <c r="R552" t="s">
        <v>53</v>
      </c>
      <c r="S552" t="s">
        <v>1226</v>
      </c>
      <c r="T552" t="s">
        <v>1340</v>
      </c>
      <c r="U552" t="s">
        <v>56</v>
      </c>
      <c r="V552" s="16" t="s">
        <v>1341</v>
      </c>
      <c r="W552" s="21"/>
      <c r="X552" t="s">
        <v>1229</v>
      </c>
      <c r="AC552" t="s">
        <v>60</v>
      </c>
      <c r="AE552" s="15"/>
      <c r="AG552">
        <v>40.731430000000003</v>
      </c>
      <c r="AH552">
        <v>-83.093999999999994</v>
      </c>
      <c r="AI552" t="s">
        <v>1364</v>
      </c>
      <c r="AL552" t="s">
        <v>62</v>
      </c>
      <c r="AM552" t="s">
        <v>63</v>
      </c>
      <c r="AN552" t="s">
        <v>1365</v>
      </c>
      <c r="AO552" t="s">
        <v>1366</v>
      </c>
      <c r="AQ552" t="s">
        <v>1367</v>
      </c>
      <c r="AR552" t="s">
        <v>1368</v>
      </c>
      <c r="AS552" t="s">
        <v>1369</v>
      </c>
      <c r="AT552" t="s">
        <v>68</v>
      </c>
      <c r="AV552" t="s">
        <v>1370</v>
      </c>
      <c r="AW552" t="s">
        <v>1371</v>
      </c>
      <c r="AX552" t="s">
        <v>1372</v>
      </c>
      <c r="BA552" s="14" t="s">
        <v>72</v>
      </c>
      <c r="BB552" s="14" t="s">
        <v>73</v>
      </c>
      <c r="BC552" s="14" t="s">
        <v>74</v>
      </c>
    </row>
    <row r="553" spans="1:55" ht="15" customHeight="1" x14ac:dyDescent="0.4">
      <c r="A553" s="12">
        <v>2473</v>
      </c>
      <c r="B553" t="s">
        <v>1373</v>
      </c>
      <c r="D553" t="s">
        <v>1374</v>
      </c>
      <c r="E553" s="13"/>
      <c r="F553" s="41"/>
      <c r="G553" s="41"/>
      <c r="H553" s="41"/>
      <c r="I553" s="41"/>
      <c r="J553" s="41"/>
      <c r="K553" s="65" t="str">
        <f>IFERROR(VLOOKUP(D553,Sheet4!A$1:M$56,11,FALSE),"")</f>
        <v/>
      </c>
      <c r="L553" s="65" t="str">
        <f t="shared" si="8"/>
        <v/>
      </c>
      <c r="M553" s="14" t="s">
        <v>49</v>
      </c>
      <c r="N553" s="15">
        <v>42983</v>
      </c>
      <c r="O553" t="s">
        <v>1225</v>
      </c>
      <c r="P553" t="s">
        <v>51</v>
      </c>
      <c r="Q553" s="15" t="s">
        <v>52</v>
      </c>
      <c r="R553" t="s">
        <v>53</v>
      </c>
      <c r="S553" t="s">
        <v>1226</v>
      </c>
      <c r="T553" t="s">
        <v>1340</v>
      </c>
      <c r="U553" t="s">
        <v>56</v>
      </c>
      <c r="V553" s="16" t="s">
        <v>1341</v>
      </c>
      <c r="W553" s="21"/>
      <c r="X553" t="s">
        <v>1229</v>
      </c>
      <c r="AC553" t="s">
        <v>60</v>
      </c>
      <c r="AE553" s="15"/>
      <c r="AG553">
        <v>40.731549999999999</v>
      </c>
      <c r="AH553">
        <v>-83.094539999999995</v>
      </c>
      <c r="AI553" t="s">
        <v>1364</v>
      </c>
      <c r="AL553" t="s">
        <v>62</v>
      </c>
      <c r="AM553" t="s">
        <v>63</v>
      </c>
      <c r="AN553" t="s">
        <v>1375</v>
      </c>
      <c r="AO553" t="s">
        <v>1376</v>
      </c>
      <c r="AQ553" t="s">
        <v>1377</v>
      </c>
      <c r="AR553" t="s">
        <v>1378</v>
      </c>
      <c r="AS553" t="s">
        <v>1379</v>
      </c>
      <c r="AT553" t="s">
        <v>68</v>
      </c>
      <c r="AV553" t="s">
        <v>1380</v>
      </c>
      <c r="AW553" t="s">
        <v>1381</v>
      </c>
      <c r="AX553" t="s">
        <v>1382</v>
      </c>
      <c r="BA553" s="14" t="s">
        <v>72</v>
      </c>
      <c r="BB553" s="14" t="s">
        <v>73</v>
      </c>
      <c r="BC553" s="14" t="s">
        <v>74</v>
      </c>
    </row>
    <row r="554" spans="1:55" ht="15" customHeight="1" x14ac:dyDescent="0.4">
      <c r="A554" s="12">
        <v>2474</v>
      </c>
      <c r="B554" t="s">
        <v>1383</v>
      </c>
      <c r="D554" t="s">
        <v>1384</v>
      </c>
      <c r="E554" s="13"/>
      <c r="F554" s="41"/>
      <c r="G554" s="41"/>
      <c r="H554" s="41"/>
      <c r="I554" s="41"/>
      <c r="J554" s="41"/>
      <c r="K554" s="65" t="str">
        <f>IFERROR(VLOOKUP(D554,Sheet4!A$1:M$56,11,FALSE),"")</f>
        <v/>
      </c>
      <c r="L554" s="65" t="str">
        <f t="shared" si="8"/>
        <v/>
      </c>
      <c r="M554" s="14" t="s">
        <v>49</v>
      </c>
      <c r="N554" s="15">
        <v>42983</v>
      </c>
      <c r="O554" t="s">
        <v>1225</v>
      </c>
      <c r="P554" t="s">
        <v>51</v>
      </c>
      <c r="Q554" s="15" t="s">
        <v>52</v>
      </c>
      <c r="R554" t="s">
        <v>53</v>
      </c>
      <c r="S554" t="s">
        <v>1226</v>
      </c>
      <c r="T554" t="s">
        <v>1340</v>
      </c>
      <c r="U554" t="s">
        <v>56</v>
      </c>
      <c r="V554" s="16" t="s">
        <v>1341</v>
      </c>
      <c r="W554" s="21"/>
      <c r="X554" t="s">
        <v>1229</v>
      </c>
      <c r="AC554" t="s">
        <v>180</v>
      </c>
      <c r="AD554" t="s">
        <v>79</v>
      </c>
      <c r="AE554" s="15">
        <v>45597</v>
      </c>
      <c r="AF554" t="s">
        <v>48</v>
      </c>
      <c r="AG554">
        <v>40.730359999999997</v>
      </c>
      <c r="AH554">
        <v>-83.094719999999995</v>
      </c>
      <c r="AI554" t="s">
        <v>1342</v>
      </c>
      <c r="AL554" t="s">
        <v>62</v>
      </c>
      <c r="AM554" t="s">
        <v>63</v>
      </c>
      <c r="AN554" t="s">
        <v>1385</v>
      </c>
      <c r="AO554">
        <v>186416</v>
      </c>
      <c r="AQ554" t="s">
        <v>1386</v>
      </c>
      <c r="AR554" t="s">
        <v>1387</v>
      </c>
      <c r="AS554" t="s">
        <v>1388</v>
      </c>
      <c r="AT554" t="s">
        <v>68</v>
      </c>
      <c r="AV554" t="s">
        <v>1389</v>
      </c>
      <c r="AW554" t="s">
        <v>1390</v>
      </c>
      <c r="AX554" t="s">
        <v>1391</v>
      </c>
      <c r="AY554" s="31" t="s">
        <v>1392</v>
      </c>
      <c r="AZ554" s="31" t="s">
        <v>85</v>
      </c>
      <c r="BA554" s="14" t="s">
        <v>72</v>
      </c>
      <c r="BB554" s="14" t="s">
        <v>73</v>
      </c>
      <c r="BC554" s="14" t="s">
        <v>74</v>
      </c>
    </row>
    <row r="555" spans="1:55" ht="15" customHeight="1" x14ac:dyDescent="0.4">
      <c r="A555" s="12">
        <v>2475</v>
      </c>
      <c r="B555" t="s">
        <v>1393</v>
      </c>
      <c r="D555" t="s">
        <v>1394</v>
      </c>
      <c r="E555" s="13"/>
      <c r="F555" s="41"/>
      <c r="G555" s="41"/>
      <c r="H555" s="41"/>
      <c r="I555" s="41"/>
      <c r="J555" s="41"/>
      <c r="K555" s="65" t="str">
        <f>IFERROR(VLOOKUP(D555,Sheet4!A$1:M$56,11,FALSE),"")</f>
        <v/>
      </c>
      <c r="L555" s="65" t="str">
        <f t="shared" si="8"/>
        <v/>
      </c>
      <c r="M555" s="14" t="s">
        <v>49</v>
      </c>
      <c r="N555" s="15">
        <v>42983</v>
      </c>
      <c r="O555" t="s">
        <v>1225</v>
      </c>
      <c r="P555" t="s">
        <v>51</v>
      </c>
      <c r="Q555" s="15" t="s">
        <v>52</v>
      </c>
      <c r="R555" t="s">
        <v>53</v>
      </c>
      <c r="S555" t="s">
        <v>1226</v>
      </c>
      <c r="T555" t="s">
        <v>1340</v>
      </c>
      <c r="U555" t="s">
        <v>56</v>
      </c>
      <c r="V555" s="16" t="s">
        <v>1341</v>
      </c>
      <c r="W555" s="21"/>
      <c r="X555" t="s">
        <v>1229</v>
      </c>
      <c r="AC555" t="s">
        <v>60</v>
      </c>
      <c r="AE555" s="15"/>
      <c r="AG555">
        <v>40.729460000000003</v>
      </c>
      <c r="AH555">
        <v>-83.097110000000001</v>
      </c>
      <c r="AI555" t="s">
        <v>1395</v>
      </c>
      <c r="AL555" t="s">
        <v>62</v>
      </c>
      <c r="AM555" t="s">
        <v>63</v>
      </c>
      <c r="AN555" t="s">
        <v>1396</v>
      </c>
      <c r="AO555" t="s">
        <v>1397</v>
      </c>
      <c r="AQ555" t="s">
        <v>1398</v>
      </c>
      <c r="AR555" t="s">
        <v>1399</v>
      </c>
      <c r="AS555" t="s">
        <v>1400</v>
      </c>
      <c r="AT555" t="s">
        <v>68</v>
      </c>
      <c r="AV555" t="s">
        <v>1401</v>
      </c>
      <c r="AW555" t="s">
        <v>1402</v>
      </c>
      <c r="AX555" t="s">
        <v>1403</v>
      </c>
      <c r="BA555" s="14" t="s">
        <v>72</v>
      </c>
      <c r="BB555" s="14" t="s">
        <v>73</v>
      </c>
      <c r="BC555" s="14" t="s">
        <v>74</v>
      </c>
    </row>
    <row r="556" spans="1:55" ht="15" customHeight="1" x14ac:dyDescent="0.4">
      <c r="A556" s="12">
        <v>2476</v>
      </c>
      <c r="B556" t="s">
        <v>1404</v>
      </c>
      <c r="D556" t="s">
        <v>1405</v>
      </c>
      <c r="E556" s="13"/>
      <c r="F556" s="41"/>
      <c r="G556" s="41"/>
      <c r="H556" s="41"/>
      <c r="I556" s="41"/>
      <c r="J556" s="41"/>
      <c r="K556" s="65" t="str">
        <f>IFERROR(VLOOKUP(D556,Sheet4!A$1:M$56,11,FALSE),"")</f>
        <v/>
      </c>
      <c r="L556" s="65" t="str">
        <f t="shared" si="8"/>
        <v/>
      </c>
      <c r="M556" s="14" t="s">
        <v>49</v>
      </c>
      <c r="N556" s="15">
        <v>42983</v>
      </c>
      <c r="O556" t="s">
        <v>1225</v>
      </c>
      <c r="P556" t="s">
        <v>51</v>
      </c>
      <c r="Q556" s="15" t="s">
        <v>52</v>
      </c>
      <c r="R556" t="s">
        <v>53</v>
      </c>
      <c r="S556" t="s">
        <v>1226</v>
      </c>
      <c r="T556" t="s">
        <v>1340</v>
      </c>
      <c r="U556" t="s">
        <v>56</v>
      </c>
      <c r="V556" s="16" t="s">
        <v>1341</v>
      </c>
      <c r="W556" s="21"/>
      <c r="X556" t="s">
        <v>1229</v>
      </c>
      <c r="AC556" t="s">
        <v>60</v>
      </c>
      <c r="AE556" s="15"/>
      <c r="AG556">
        <v>40.728340000000003</v>
      </c>
      <c r="AH556">
        <v>-83.096249999999998</v>
      </c>
      <c r="AI556" t="s">
        <v>1406</v>
      </c>
      <c r="AL556" t="s">
        <v>62</v>
      </c>
      <c r="AM556" t="s">
        <v>63</v>
      </c>
      <c r="AN556" t="s">
        <v>1407</v>
      </c>
      <c r="AO556" t="s">
        <v>1408</v>
      </c>
      <c r="AQ556" t="s">
        <v>1409</v>
      </c>
      <c r="AR556" t="s">
        <v>1410</v>
      </c>
      <c r="AS556" t="s">
        <v>1411</v>
      </c>
      <c r="AT556" t="s">
        <v>68</v>
      </c>
      <c r="AV556" t="s">
        <v>1412</v>
      </c>
      <c r="AW556" t="s">
        <v>1413</v>
      </c>
      <c r="AX556" t="s">
        <v>1414</v>
      </c>
      <c r="BA556" s="14" t="s">
        <v>72</v>
      </c>
      <c r="BB556" s="14" t="s">
        <v>73</v>
      </c>
      <c r="BC556" s="14" t="s">
        <v>74</v>
      </c>
    </row>
    <row r="557" spans="1:55" ht="15" customHeight="1" x14ac:dyDescent="0.4">
      <c r="A557" s="12">
        <v>2477</v>
      </c>
      <c r="B557" t="s">
        <v>1415</v>
      </c>
      <c r="D557" t="s">
        <v>1416</v>
      </c>
      <c r="E557" s="13"/>
      <c r="F557" s="41"/>
      <c r="G557" s="41"/>
      <c r="H557" s="41"/>
      <c r="I557" s="41"/>
      <c r="J557" s="41"/>
      <c r="K557" s="65" t="str">
        <f>IFERROR(VLOOKUP(D557,Sheet4!A$1:M$56,11,FALSE),"")</f>
        <v/>
      </c>
      <c r="L557" s="65" t="str">
        <f t="shared" si="8"/>
        <v/>
      </c>
      <c r="M557" s="14" t="s">
        <v>49</v>
      </c>
      <c r="N557" s="15">
        <v>42983</v>
      </c>
      <c r="O557" t="s">
        <v>1225</v>
      </c>
      <c r="P557" t="s">
        <v>51</v>
      </c>
      <c r="Q557" s="15" t="s">
        <v>52</v>
      </c>
      <c r="R557" t="s">
        <v>53</v>
      </c>
      <c r="S557" t="s">
        <v>1226</v>
      </c>
      <c r="T557" t="s">
        <v>1340</v>
      </c>
      <c r="U557" t="s">
        <v>56</v>
      </c>
      <c r="V557" s="16" t="s">
        <v>1341</v>
      </c>
      <c r="W557" s="21"/>
      <c r="X557" t="s">
        <v>1229</v>
      </c>
      <c r="AC557" t="s">
        <v>60</v>
      </c>
      <c r="AE557" s="15"/>
      <c r="AG557">
        <v>40.728349999999999</v>
      </c>
      <c r="AH557">
        <v>-83.095359999999999</v>
      </c>
      <c r="AI557" t="s">
        <v>1417</v>
      </c>
      <c r="AK557" s="61"/>
      <c r="AL557" t="s">
        <v>62</v>
      </c>
      <c r="AM557" t="s">
        <v>63</v>
      </c>
      <c r="AN557" t="s">
        <v>1418</v>
      </c>
      <c r="AO557" t="s">
        <v>1419</v>
      </c>
      <c r="AQ557" t="s">
        <v>1420</v>
      </c>
      <c r="AR557" t="s">
        <v>1421</v>
      </c>
      <c r="AS557" t="s">
        <v>1422</v>
      </c>
      <c r="AT557" t="s">
        <v>68</v>
      </c>
      <c r="AV557" t="s">
        <v>1423</v>
      </c>
      <c r="AW557" t="s">
        <v>1424</v>
      </c>
      <c r="AX557" t="s">
        <v>1425</v>
      </c>
      <c r="BA557" s="14" t="s">
        <v>72</v>
      </c>
      <c r="BB557" s="14" t="s">
        <v>73</v>
      </c>
      <c r="BC557" s="14" t="s">
        <v>74</v>
      </c>
    </row>
    <row r="558" spans="1:55" ht="15" customHeight="1" x14ac:dyDescent="0.4">
      <c r="A558" s="12">
        <v>2478</v>
      </c>
      <c r="B558" t="s">
        <v>1426</v>
      </c>
      <c r="D558" t="s">
        <v>1427</v>
      </c>
      <c r="E558" s="13"/>
      <c r="F558" s="41"/>
      <c r="G558" s="41"/>
      <c r="H558" s="41"/>
      <c r="I558" s="41"/>
      <c r="J558" s="41"/>
      <c r="K558" s="65" t="str">
        <f>IFERROR(VLOOKUP(D558,Sheet4!A$1:M$56,11,FALSE),"")</f>
        <v/>
      </c>
      <c r="L558" s="65" t="str">
        <f t="shared" si="8"/>
        <v/>
      </c>
      <c r="M558" s="14" t="s">
        <v>49</v>
      </c>
      <c r="N558" s="15">
        <v>42983</v>
      </c>
      <c r="O558" t="s">
        <v>1225</v>
      </c>
      <c r="P558" t="s">
        <v>51</v>
      </c>
      <c r="Q558" s="15" t="s">
        <v>52</v>
      </c>
      <c r="R558" t="s">
        <v>53</v>
      </c>
      <c r="S558" t="s">
        <v>1226</v>
      </c>
      <c r="T558" t="s">
        <v>1340</v>
      </c>
      <c r="U558" t="s">
        <v>56</v>
      </c>
      <c r="V558" s="16" t="s">
        <v>1341</v>
      </c>
      <c r="W558" s="21"/>
      <c r="X558" t="s">
        <v>1229</v>
      </c>
      <c r="AC558" t="s">
        <v>180</v>
      </c>
      <c r="AD558" t="s">
        <v>79</v>
      </c>
      <c r="AE558" s="15">
        <v>45597</v>
      </c>
      <c r="AF558" t="s">
        <v>48</v>
      </c>
      <c r="AG558">
        <v>40.728189999999998</v>
      </c>
      <c r="AH558">
        <v>-83.092939999999999</v>
      </c>
      <c r="AI558" t="s">
        <v>1428</v>
      </c>
      <c r="AL558" t="s">
        <v>62</v>
      </c>
      <c r="AM558" t="s">
        <v>63</v>
      </c>
      <c r="AN558" t="s">
        <v>1429</v>
      </c>
      <c r="AO558">
        <v>185962</v>
      </c>
      <c r="AQ558" t="s">
        <v>1430</v>
      </c>
      <c r="AR558" t="s">
        <v>1431</v>
      </c>
      <c r="AS558" t="s">
        <v>1432</v>
      </c>
      <c r="AT558" t="s">
        <v>68</v>
      </c>
      <c r="AV558" t="s">
        <v>1433</v>
      </c>
      <c r="AW558" t="s">
        <v>1434</v>
      </c>
      <c r="AX558" t="s">
        <v>1435</v>
      </c>
      <c r="AY558" s="31" t="s">
        <v>1436</v>
      </c>
      <c r="AZ558" s="31" t="s">
        <v>85</v>
      </c>
      <c r="BA558" s="14" t="s">
        <v>72</v>
      </c>
      <c r="BB558" s="14" t="s">
        <v>73</v>
      </c>
      <c r="BC558" s="14" t="s">
        <v>74</v>
      </c>
    </row>
    <row r="559" spans="1:55" ht="15" customHeight="1" x14ac:dyDescent="0.4">
      <c r="A559" s="12">
        <v>2479</v>
      </c>
      <c r="B559" t="s">
        <v>1437</v>
      </c>
      <c r="D559" t="s">
        <v>1438</v>
      </c>
      <c r="E559" s="13"/>
      <c r="F559" s="41"/>
      <c r="G559" s="41"/>
      <c r="H559" s="41"/>
      <c r="I559" s="41"/>
      <c r="J559" s="41"/>
      <c r="K559" s="65" t="str">
        <f>IFERROR(VLOOKUP(D559,Sheet4!A$1:M$56,11,FALSE),"")</f>
        <v/>
      </c>
      <c r="L559" s="65" t="str">
        <f t="shared" si="8"/>
        <v/>
      </c>
      <c r="M559" s="14" t="s">
        <v>49</v>
      </c>
      <c r="N559" s="15">
        <v>42983</v>
      </c>
      <c r="O559" t="s">
        <v>1225</v>
      </c>
      <c r="P559" t="s">
        <v>51</v>
      </c>
      <c r="Q559" s="15" t="s">
        <v>52</v>
      </c>
      <c r="R559" t="s">
        <v>53</v>
      </c>
      <c r="S559" t="s">
        <v>1226</v>
      </c>
      <c r="T559" t="s">
        <v>1340</v>
      </c>
      <c r="U559" t="s">
        <v>56</v>
      </c>
      <c r="V559" s="16" t="s">
        <v>1341</v>
      </c>
      <c r="W559" s="21"/>
      <c r="X559" t="s">
        <v>1229</v>
      </c>
      <c r="AC559" t="s">
        <v>60</v>
      </c>
      <c r="AE559" s="15"/>
      <c r="AG559">
        <v>40.729439999999997</v>
      </c>
      <c r="AH559">
        <v>-83.092609999999993</v>
      </c>
      <c r="AI559" t="s">
        <v>1364</v>
      </c>
      <c r="AL559" t="s">
        <v>62</v>
      </c>
      <c r="AM559" t="s">
        <v>63</v>
      </c>
      <c r="AN559" t="s">
        <v>1439</v>
      </c>
      <c r="AO559" t="s">
        <v>1440</v>
      </c>
      <c r="AQ559" t="s">
        <v>1441</v>
      </c>
      <c r="AR559" t="s">
        <v>1442</v>
      </c>
      <c r="AS559" t="s">
        <v>1443</v>
      </c>
      <c r="AT559" t="s">
        <v>68</v>
      </c>
      <c r="AV559" t="s">
        <v>1444</v>
      </c>
      <c r="AW559" t="s">
        <v>1445</v>
      </c>
      <c r="AX559" t="s">
        <v>1446</v>
      </c>
      <c r="BA559" s="14" t="s">
        <v>72</v>
      </c>
      <c r="BB559" s="14" t="s">
        <v>73</v>
      </c>
      <c r="BC559" s="14" t="s">
        <v>74</v>
      </c>
    </row>
    <row r="560" spans="1:55" ht="15" customHeight="1" x14ac:dyDescent="0.4">
      <c r="A560" s="12">
        <v>3603</v>
      </c>
      <c r="B560" s="21" t="s">
        <v>3162</v>
      </c>
      <c r="C560" s="13" t="s">
        <v>3163</v>
      </c>
      <c r="D560" s="25" t="s">
        <v>3163</v>
      </c>
      <c r="E560" s="13"/>
      <c r="F560" s="41"/>
      <c r="G560" s="41"/>
      <c r="H560" s="41"/>
      <c r="I560" s="41"/>
      <c r="J560" s="41" t="s">
        <v>8177</v>
      </c>
      <c r="K560" s="65" t="str">
        <f>IFERROR(VLOOKUP(D560,Sheet4!A$1:M$56,11,FALSE),"")</f>
        <v/>
      </c>
      <c r="L560" s="65" t="str">
        <f t="shared" si="8"/>
        <v>May have genomic admixture with Q. prinoides</v>
      </c>
      <c r="M560" s="14" t="s">
        <v>1829</v>
      </c>
      <c r="N560" s="15">
        <v>44736</v>
      </c>
      <c r="O560" t="s">
        <v>2719</v>
      </c>
      <c r="P560" t="s">
        <v>51</v>
      </c>
      <c r="Q560" t="s">
        <v>52</v>
      </c>
      <c r="R560" t="s">
        <v>53</v>
      </c>
      <c r="S560" t="s">
        <v>54</v>
      </c>
      <c r="T560" t="s">
        <v>3164</v>
      </c>
      <c r="U560" t="s">
        <v>56</v>
      </c>
      <c r="V560" s="21" t="s">
        <v>3165</v>
      </c>
      <c r="W560" s="21"/>
      <c r="X560" t="s">
        <v>3166</v>
      </c>
      <c r="Y560" t="s">
        <v>3167</v>
      </c>
      <c r="AB560" t="s">
        <v>1758</v>
      </c>
      <c r="AC560" t="s">
        <v>1832</v>
      </c>
      <c r="AE560" s="15"/>
      <c r="AG560">
        <v>35.435994000000001</v>
      </c>
      <c r="AH560">
        <v>-98.355638999999996</v>
      </c>
      <c r="AI560" t="s">
        <v>3168</v>
      </c>
      <c r="AL560" t="s">
        <v>1715</v>
      </c>
      <c r="AM560" t="s">
        <v>63</v>
      </c>
      <c r="AN560" t="s">
        <v>3169</v>
      </c>
      <c r="AO560">
        <v>194429</v>
      </c>
      <c r="AQ560" t="s">
        <v>3170</v>
      </c>
      <c r="AR560" t="s">
        <v>3171</v>
      </c>
      <c r="AS560" t="s">
        <v>3172</v>
      </c>
      <c r="AT560" t="s">
        <v>68</v>
      </c>
      <c r="AV560" t="s">
        <v>3173</v>
      </c>
      <c r="AW560" t="s">
        <v>3174</v>
      </c>
      <c r="AX560" t="s">
        <v>3175</v>
      </c>
      <c r="BA560" s="14" t="s">
        <v>72</v>
      </c>
      <c r="BB560" s="14" t="s">
        <v>73</v>
      </c>
      <c r="BC560" s="14" t="s">
        <v>74</v>
      </c>
    </row>
    <row r="561" spans="1:55" ht="15" customHeight="1" x14ac:dyDescent="0.4">
      <c r="A561" s="12">
        <v>3604</v>
      </c>
      <c r="B561" s="21" t="s">
        <v>3176</v>
      </c>
      <c r="C561" s="13" t="s">
        <v>3177</v>
      </c>
      <c r="D561" s="25" t="s">
        <v>3177</v>
      </c>
      <c r="E561" s="13"/>
      <c r="F561" s="41"/>
      <c r="G561" s="41"/>
      <c r="H561" s="41"/>
      <c r="I561" s="41"/>
      <c r="J561" s="41"/>
      <c r="K561" s="65" t="str">
        <f>IFERROR(VLOOKUP(D561,Sheet4!A$1:M$56,11,FALSE),"")</f>
        <v/>
      </c>
      <c r="L561" s="65" t="str">
        <f t="shared" si="8"/>
        <v/>
      </c>
      <c r="M561" s="14" t="s">
        <v>3178</v>
      </c>
      <c r="N561" s="15">
        <v>44736</v>
      </c>
      <c r="O561" t="s">
        <v>2719</v>
      </c>
      <c r="P561" t="s">
        <v>51</v>
      </c>
      <c r="Q561" t="s">
        <v>52</v>
      </c>
      <c r="R561" t="s">
        <v>53</v>
      </c>
      <c r="S561" t="s">
        <v>54</v>
      </c>
      <c r="T561" t="s">
        <v>3164</v>
      </c>
      <c r="U561" t="s">
        <v>56</v>
      </c>
      <c r="V561" s="21" t="s">
        <v>3165</v>
      </c>
      <c r="W561" s="21"/>
      <c r="X561" t="s">
        <v>3166</v>
      </c>
      <c r="Y561" t="s">
        <v>3179</v>
      </c>
      <c r="AB561" t="s">
        <v>2321</v>
      </c>
      <c r="AC561" t="s">
        <v>3180</v>
      </c>
      <c r="AD561" t="s">
        <v>3181</v>
      </c>
      <c r="AE561" s="15" t="s">
        <v>3182</v>
      </c>
      <c r="AF561" t="s">
        <v>3183</v>
      </c>
      <c r="AG561">
        <v>35.435972</v>
      </c>
      <c r="AH561">
        <v>-98.355531999999997</v>
      </c>
      <c r="AI561" t="s">
        <v>3184</v>
      </c>
      <c r="AL561" t="s">
        <v>1715</v>
      </c>
      <c r="AM561" t="s">
        <v>63</v>
      </c>
      <c r="AN561" t="s">
        <v>3185</v>
      </c>
      <c r="AO561">
        <v>193686</v>
      </c>
      <c r="AQ561" t="s">
        <v>3186</v>
      </c>
      <c r="AR561" t="s">
        <v>3187</v>
      </c>
      <c r="AS561" t="s">
        <v>3188</v>
      </c>
      <c r="AT561" t="s">
        <v>68</v>
      </c>
      <c r="AV561" t="s">
        <v>3189</v>
      </c>
      <c r="AW561" t="s">
        <v>3190</v>
      </c>
      <c r="AX561" t="s">
        <v>3191</v>
      </c>
      <c r="BA561" s="14" t="e">
        <v>#N/A</v>
      </c>
      <c r="BB561" s="14" t="e">
        <v>#N/A</v>
      </c>
      <c r="BC561" s="14" t="e">
        <v>#N/A</v>
      </c>
    </row>
    <row r="562" spans="1:55" ht="15" customHeight="1" x14ac:dyDescent="0.4">
      <c r="A562" s="12">
        <v>3606</v>
      </c>
      <c r="B562" s="21" t="s">
        <v>3203</v>
      </c>
      <c r="C562" s="13" t="s">
        <v>3204</v>
      </c>
      <c r="D562" s="25" t="s">
        <v>3204</v>
      </c>
      <c r="E562" s="13"/>
      <c r="F562" s="41"/>
      <c r="G562" s="41"/>
      <c r="H562" s="41"/>
      <c r="I562" s="41"/>
      <c r="J562" s="41" t="s">
        <v>8177</v>
      </c>
      <c r="K562" s="65" t="str">
        <f>IFERROR(VLOOKUP(D562,Sheet4!A$1:M$56,11,FALSE),"")</f>
        <v/>
      </c>
      <c r="L562" s="65" t="str">
        <f t="shared" si="8"/>
        <v>May have genomic admixture with Q. prinoides</v>
      </c>
      <c r="M562" s="14" t="s">
        <v>1829</v>
      </c>
      <c r="N562" s="15">
        <v>44736</v>
      </c>
      <c r="O562" t="s">
        <v>2719</v>
      </c>
      <c r="P562" t="s">
        <v>51</v>
      </c>
      <c r="Q562" t="s">
        <v>52</v>
      </c>
      <c r="R562" t="s">
        <v>53</v>
      </c>
      <c r="S562" t="s">
        <v>54</v>
      </c>
      <c r="T562" t="s">
        <v>3164</v>
      </c>
      <c r="U562" t="s">
        <v>56</v>
      </c>
      <c r="V562" s="21" t="s">
        <v>3165</v>
      </c>
      <c r="W562" s="21"/>
      <c r="X562" t="s">
        <v>3205</v>
      </c>
      <c r="Y562" t="s">
        <v>3206</v>
      </c>
      <c r="AB562" t="s">
        <v>1758</v>
      </c>
      <c r="AC562" t="s">
        <v>1832</v>
      </c>
      <c r="AE562" s="15"/>
      <c r="AG562">
        <v>35.435383000000002</v>
      </c>
      <c r="AH562">
        <v>-98.354130999999995</v>
      </c>
      <c r="AI562" t="s">
        <v>3207</v>
      </c>
      <c r="AL562" t="s">
        <v>1715</v>
      </c>
      <c r="AM562" t="s">
        <v>63</v>
      </c>
      <c r="AN562" t="s">
        <v>3208</v>
      </c>
      <c r="AO562">
        <v>194430</v>
      </c>
      <c r="AQ562" t="s">
        <v>3209</v>
      </c>
      <c r="AR562" t="s">
        <v>3210</v>
      </c>
      <c r="AS562" t="s">
        <v>3211</v>
      </c>
      <c r="AT562" t="s">
        <v>68</v>
      </c>
      <c r="AV562" t="s">
        <v>3212</v>
      </c>
      <c r="AW562" t="s">
        <v>3213</v>
      </c>
      <c r="AX562" t="s">
        <v>3214</v>
      </c>
      <c r="BA562" s="14" t="s">
        <v>72</v>
      </c>
      <c r="BB562" s="14" t="s">
        <v>73</v>
      </c>
      <c r="BC562" s="14" t="s">
        <v>74</v>
      </c>
    </row>
    <row r="563" spans="1:55" ht="15" customHeight="1" x14ac:dyDescent="0.4">
      <c r="A563" s="12">
        <v>3607</v>
      </c>
      <c r="B563" s="21" t="s">
        <v>3215</v>
      </c>
      <c r="C563" s="13" t="s">
        <v>3216</v>
      </c>
      <c r="D563" s="25" t="s">
        <v>3216</v>
      </c>
      <c r="E563" s="13"/>
      <c r="F563" s="41"/>
      <c r="G563" s="41"/>
      <c r="H563" s="41"/>
      <c r="I563" s="41"/>
      <c r="J563" s="41"/>
      <c r="K563" s="65" t="str">
        <f>IFERROR(VLOOKUP(D563,Sheet4!A$1:M$56,11,FALSE),"")</f>
        <v/>
      </c>
      <c r="L563" s="65" t="str">
        <f t="shared" si="8"/>
        <v/>
      </c>
      <c r="M563" s="14" t="s">
        <v>49</v>
      </c>
      <c r="N563" s="15">
        <v>44736</v>
      </c>
      <c r="O563" t="s">
        <v>2719</v>
      </c>
      <c r="P563" t="s">
        <v>51</v>
      </c>
      <c r="Q563" t="s">
        <v>52</v>
      </c>
      <c r="R563" t="s">
        <v>53</v>
      </c>
      <c r="S563" t="s">
        <v>54</v>
      </c>
      <c r="T563" t="s">
        <v>3164</v>
      </c>
      <c r="U563" t="s">
        <v>56</v>
      </c>
      <c r="V563" s="21" t="s">
        <v>3165</v>
      </c>
      <c r="W563" s="21"/>
      <c r="X563" t="s">
        <v>3205</v>
      </c>
      <c r="Y563" t="s">
        <v>3217</v>
      </c>
      <c r="AC563" t="s">
        <v>60</v>
      </c>
      <c r="AE563" s="15"/>
      <c r="AG563">
        <v>35.435378</v>
      </c>
      <c r="AH563">
        <v>-98.354117000000002</v>
      </c>
      <c r="AI563" t="s">
        <v>3218</v>
      </c>
      <c r="AL563" t="s">
        <v>1715</v>
      </c>
      <c r="AM563" t="s">
        <v>63</v>
      </c>
      <c r="AN563" t="s">
        <v>3219</v>
      </c>
      <c r="AO563">
        <v>194186</v>
      </c>
      <c r="AQ563" t="s">
        <v>3220</v>
      </c>
      <c r="AR563" t="s">
        <v>3221</v>
      </c>
      <c r="AS563" t="s">
        <v>3222</v>
      </c>
      <c r="AT563" t="s">
        <v>68</v>
      </c>
      <c r="AV563" t="s">
        <v>3223</v>
      </c>
      <c r="AW563" t="s">
        <v>3224</v>
      </c>
      <c r="AX563" t="s">
        <v>3225</v>
      </c>
      <c r="BA563" s="14" t="s">
        <v>72</v>
      </c>
      <c r="BB563" s="14" t="s">
        <v>73</v>
      </c>
      <c r="BC563" s="14" t="s">
        <v>74</v>
      </c>
    </row>
    <row r="564" spans="1:55" ht="15" customHeight="1" x14ac:dyDescent="0.4">
      <c r="A564" s="12">
        <v>3608</v>
      </c>
      <c r="B564" s="21" t="s">
        <v>3226</v>
      </c>
      <c r="C564" s="13" t="s">
        <v>3227</v>
      </c>
      <c r="D564" s="25" t="s">
        <v>3227</v>
      </c>
      <c r="E564" s="13"/>
      <c r="F564" s="41"/>
      <c r="G564" s="41"/>
      <c r="H564" s="41"/>
      <c r="I564" s="41"/>
      <c r="J564" s="41"/>
      <c r="K564" s="65" t="str">
        <f>IFERROR(VLOOKUP(D564,Sheet4!A$1:M$56,11,FALSE),"")</f>
        <v/>
      </c>
      <c r="L564" s="65" t="str">
        <f t="shared" si="8"/>
        <v/>
      </c>
      <c r="M564" s="14" t="s">
        <v>3178</v>
      </c>
      <c r="N564" s="15">
        <v>44736</v>
      </c>
      <c r="O564" t="s">
        <v>2719</v>
      </c>
      <c r="P564" t="s">
        <v>51</v>
      </c>
      <c r="Q564" t="s">
        <v>52</v>
      </c>
      <c r="R564" t="s">
        <v>53</v>
      </c>
      <c r="S564" t="s">
        <v>54</v>
      </c>
      <c r="T564" t="s">
        <v>3164</v>
      </c>
      <c r="U564" t="s">
        <v>56</v>
      </c>
      <c r="V564" s="21" t="s">
        <v>3165</v>
      </c>
      <c r="W564" s="21"/>
      <c r="X564" t="s">
        <v>3228</v>
      </c>
      <c r="Y564" t="s">
        <v>3229</v>
      </c>
      <c r="AB564" t="s">
        <v>1758</v>
      </c>
      <c r="AC564" t="s">
        <v>3194</v>
      </c>
      <c r="AD564" t="s">
        <v>3181</v>
      </c>
      <c r="AE564" s="15" t="s">
        <v>3182</v>
      </c>
      <c r="AF564" t="s">
        <v>3183</v>
      </c>
      <c r="AG564">
        <v>35.435200000000002</v>
      </c>
      <c r="AH564">
        <v>-98.353772000000006</v>
      </c>
      <c r="AI564" t="s">
        <v>3230</v>
      </c>
      <c r="AL564" t="s">
        <v>1715</v>
      </c>
      <c r="AM564" t="s">
        <v>63</v>
      </c>
      <c r="AN564" t="s">
        <v>3231</v>
      </c>
      <c r="AO564">
        <v>193687</v>
      </c>
      <c r="AQ564" t="s">
        <v>3232</v>
      </c>
      <c r="AR564" t="s">
        <v>3233</v>
      </c>
      <c r="AS564" t="s">
        <v>3234</v>
      </c>
      <c r="AT564" t="s">
        <v>68</v>
      </c>
      <c r="AV564" t="s">
        <v>3235</v>
      </c>
      <c r="AW564" t="s">
        <v>3236</v>
      </c>
      <c r="AX564" t="s">
        <v>3237</v>
      </c>
      <c r="BA564" s="14" t="e">
        <v>#N/A</v>
      </c>
      <c r="BB564" s="14" t="e">
        <v>#N/A</v>
      </c>
      <c r="BC564" s="14" t="e">
        <v>#N/A</v>
      </c>
    </row>
    <row r="565" spans="1:55" ht="15" customHeight="1" x14ac:dyDescent="0.4">
      <c r="A565" s="12">
        <v>3609</v>
      </c>
      <c r="B565" s="21" t="s">
        <v>3238</v>
      </c>
      <c r="C565" s="13" t="s">
        <v>3239</v>
      </c>
      <c r="D565" s="25" t="s">
        <v>3239</v>
      </c>
      <c r="E565" s="13"/>
      <c r="F565" s="41"/>
      <c r="G565" s="41"/>
      <c r="H565" s="41"/>
      <c r="I565" s="41"/>
      <c r="J565" s="41"/>
      <c r="K565" s="65" t="str">
        <f>IFERROR(VLOOKUP(D565,Sheet4!A$1:M$56,11,FALSE),"")</f>
        <v/>
      </c>
      <c r="L565" s="65" t="str">
        <f t="shared" si="8"/>
        <v/>
      </c>
      <c r="M565" s="14" t="s">
        <v>3178</v>
      </c>
      <c r="N565" s="15">
        <v>44736</v>
      </c>
      <c r="O565" t="s">
        <v>2719</v>
      </c>
      <c r="P565" t="s">
        <v>51</v>
      </c>
      <c r="Q565" t="s">
        <v>52</v>
      </c>
      <c r="R565" t="s">
        <v>53</v>
      </c>
      <c r="S565" t="s">
        <v>54</v>
      </c>
      <c r="T565" t="s">
        <v>3164</v>
      </c>
      <c r="U565" t="s">
        <v>56</v>
      </c>
      <c r="V565" s="21" t="s">
        <v>3165</v>
      </c>
      <c r="W565" s="21"/>
      <c r="X565" t="s">
        <v>3240</v>
      </c>
      <c r="Y565" t="s">
        <v>3241</v>
      </c>
      <c r="AB565" t="s">
        <v>1758</v>
      </c>
      <c r="AC565" t="s">
        <v>3194</v>
      </c>
      <c r="AD565" t="s">
        <v>3181</v>
      </c>
      <c r="AE565" s="15" t="s">
        <v>3182</v>
      </c>
      <c r="AF565" t="s">
        <v>3183</v>
      </c>
      <c r="AG565">
        <v>35.435951000000003</v>
      </c>
      <c r="AH565">
        <v>-98.353643000000005</v>
      </c>
      <c r="AI565" t="s">
        <v>3242</v>
      </c>
      <c r="AL565" t="s">
        <v>1715</v>
      </c>
      <c r="AM565" t="s">
        <v>63</v>
      </c>
      <c r="AN565" t="s">
        <v>3243</v>
      </c>
      <c r="AO565">
        <v>193688</v>
      </c>
      <c r="AQ565" t="s">
        <v>3244</v>
      </c>
      <c r="AR565" t="s">
        <v>3245</v>
      </c>
      <c r="AS565" t="s">
        <v>3246</v>
      </c>
      <c r="AT565" t="s">
        <v>68</v>
      </c>
      <c r="AV565" t="s">
        <v>3247</v>
      </c>
      <c r="AW565" t="s">
        <v>3248</v>
      </c>
      <c r="AX565" t="s">
        <v>3249</v>
      </c>
      <c r="BA565" s="14" t="e">
        <v>#N/A</v>
      </c>
      <c r="BB565" s="14" t="e">
        <v>#N/A</v>
      </c>
      <c r="BC565" s="14" t="e">
        <v>#N/A</v>
      </c>
    </row>
    <row r="566" spans="1:55" ht="15" customHeight="1" x14ac:dyDescent="0.4">
      <c r="A566" s="12">
        <v>3610</v>
      </c>
      <c r="B566" s="21" t="s">
        <v>3250</v>
      </c>
      <c r="C566" s="13" t="s">
        <v>3251</v>
      </c>
      <c r="D566" s="25" t="s">
        <v>3251</v>
      </c>
      <c r="E566" s="13"/>
      <c r="F566" s="41"/>
      <c r="G566" s="41"/>
      <c r="H566" s="41"/>
      <c r="I566" s="41"/>
      <c r="J566" s="41"/>
      <c r="K566" s="65" t="str">
        <f>IFERROR(VLOOKUP(D566,Sheet4!A$1:M$56,11,FALSE),"")</f>
        <v/>
      </c>
      <c r="L566" s="65" t="str">
        <f t="shared" si="8"/>
        <v/>
      </c>
      <c r="M566" s="14" t="s">
        <v>3178</v>
      </c>
      <c r="N566" s="15">
        <v>44736</v>
      </c>
      <c r="O566" t="s">
        <v>2719</v>
      </c>
      <c r="P566" t="s">
        <v>51</v>
      </c>
      <c r="Q566" t="s">
        <v>52</v>
      </c>
      <c r="R566" t="s">
        <v>53</v>
      </c>
      <c r="S566" t="s">
        <v>54</v>
      </c>
      <c r="T566" t="s">
        <v>3164</v>
      </c>
      <c r="U566" t="s">
        <v>56</v>
      </c>
      <c r="V566" s="21" t="s">
        <v>3165</v>
      </c>
      <c r="W566" s="21"/>
      <c r="X566" t="s">
        <v>3252</v>
      </c>
      <c r="Y566" t="s">
        <v>3253</v>
      </c>
      <c r="AC566" t="s">
        <v>3180</v>
      </c>
      <c r="AD566" t="s">
        <v>3181</v>
      </c>
      <c r="AE566" s="15" t="s">
        <v>3182</v>
      </c>
      <c r="AF566" t="s">
        <v>3183</v>
      </c>
      <c r="AG566">
        <v>35.43638</v>
      </c>
      <c r="AH566">
        <v>-98.353536000000005</v>
      </c>
      <c r="AI566" t="s">
        <v>3254</v>
      </c>
      <c r="AL566" t="s">
        <v>1715</v>
      </c>
      <c r="AM566" t="s">
        <v>63</v>
      </c>
      <c r="AN566" t="s">
        <v>3255</v>
      </c>
      <c r="AO566">
        <v>193689</v>
      </c>
      <c r="AQ566" t="s">
        <v>3256</v>
      </c>
      <c r="AR566" t="s">
        <v>3257</v>
      </c>
      <c r="AS566" t="s">
        <v>3258</v>
      </c>
      <c r="AT566" t="s">
        <v>68</v>
      </c>
      <c r="AV566" t="s">
        <v>3259</v>
      </c>
      <c r="AW566" t="s">
        <v>3260</v>
      </c>
      <c r="AX566" t="s">
        <v>3261</v>
      </c>
      <c r="BA566" s="14" t="e">
        <v>#N/A</v>
      </c>
      <c r="BB566" s="14" t="e">
        <v>#N/A</v>
      </c>
      <c r="BC566" s="14" t="e">
        <v>#N/A</v>
      </c>
    </row>
    <row r="567" spans="1:55" ht="15" customHeight="1" x14ac:dyDescent="0.4">
      <c r="A567" s="47">
        <v>3611</v>
      </c>
      <c r="B567" s="48" t="s">
        <v>3262</v>
      </c>
      <c r="C567" s="49" t="s">
        <v>3263</v>
      </c>
      <c r="D567" s="50" t="s">
        <v>3263</v>
      </c>
      <c r="E567" s="49"/>
      <c r="F567" s="51" t="s">
        <v>8134</v>
      </c>
      <c r="G567" s="46" t="s">
        <v>8171</v>
      </c>
      <c r="H567" s="46"/>
      <c r="I567" s="51"/>
      <c r="J567" s="46"/>
      <c r="K567" s="65" t="str">
        <f>IFERROR(VLOOKUP(D567,Sheet4!A$1:M$56,11,FALSE),"")</f>
        <v>Based on ADMIXTURE results of 78,187 SNPs, trace admixed (Q&lt;0.10) with other oaks</v>
      </c>
      <c r="L567" s="65" t="str">
        <f t="shared" si="8"/>
        <v>Based on ADMIXTURE results of 78,187 SNPs, trace admixed (Q&lt;0.10) with other oaks</v>
      </c>
      <c r="M567" s="52" t="s">
        <v>3178</v>
      </c>
      <c r="N567" s="53">
        <v>44736</v>
      </c>
      <c r="O567" s="52" t="s">
        <v>2719</v>
      </c>
      <c r="P567" s="52" t="s">
        <v>51</v>
      </c>
      <c r="Q567" s="52" t="s">
        <v>52</v>
      </c>
      <c r="R567" s="52" t="s">
        <v>53</v>
      </c>
      <c r="S567" s="52" t="s">
        <v>54</v>
      </c>
      <c r="T567" s="52" t="s">
        <v>3164</v>
      </c>
      <c r="U567" s="52" t="s">
        <v>56</v>
      </c>
      <c r="V567" s="48" t="s">
        <v>3165</v>
      </c>
      <c r="W567" s="48"/>
      <c r="X567" s="52" t="s">
        <v>3252</v>
      </c>
      <c r="Y567" s="52" t="s">
        <v>3264</v>
      </c>
      <c r="Z567" s="52"/>
      <c r="AA567" s="52"/>
      <c r="AB567" s="52"/>
      <c r="AC567" s="52" t="s">
        <v>3194</v>
      </c>
      <c r="AD567" s="52" t="s">
        <v>3181</v>
      </c>
      <c r="AE567" s="53" t="s">
        <v>3182</v>
      </c>
      <c r="AF567" s="52" t="s">
        <v>3183</v>
      </c>
      <c r="AG567" s="52">
        <v>35.436551999999999</v>
      </c>
      <c r="AH567" s="52">
        <v>-98.353515000000002</v>
      </c>
      <c r="AI567" s="52" t="s">
        <v>3265</v>
      </c>
      <c r="AJ567" s="52"/>
      <c r="AK567" s="52"/>
      <c r="AL567" s="52" t="s">
        <v>1715</v>
      </c>
      <c r="AM567" s="52" t="s">
        <v>63</v>
      </c>
      <c r="AN567" s="52" t="s">
        <v>3266</v>
      </c>
      <c r="AO567" s="52">
        <v>192572</v>
      </c>
      <c r="AP567" s="52"/>
      <c r="AQ567" s="52" t="s">
        <v>3267</v>
      </c>
      <c r="AR567" s="52" t="s">
        <v>3268</v>
      </c>
      <c r="AS567" s="52" t="s">
        <v>3269</v>
      </c>
      <c r="AT567" s="52" t="s">
        <v>68</v>
      </c>
      <c r="AU567" s="52"/>
      <c r="AV567" s="52" t="s">
        <v>3270</v>
      </c>
      <c r="AW567" s="52" t="s">
        <v>3271</v>
      </c>
      <c r="AX567" s="52" t="s">
        <v>3272</v>
      </c>
      <c r="AY567" s="52"/>
      <c r="AZ567" s="52"/>
      <c r="BA567" s="52" t="e">
        <v>#N/A</v>
      </c>
      <c r="BB567" s="52" t="e">
        <v>#N/A</v>
      </c>
      <c r="BC567" s="52" t="e">
        <v>#N/A</v>
      </c>
    </row>
    <row r="568" spans="1:55" ht="15" customHeight="1" x14ac:dyDescent="0.4">
      <c r="A568" s="12">
        <v>3612</v>
      </c>
      <c r="B568" s="21" t="s">
        <v>3273</v>
      </c>
      <c r="C568" s="13" t="s">
        <v>3274</v>
      </c>
      <c r="D568" s="25" t="s">
        <v>3274</v>
      </c>
      <c r="E568" s="13"/>
      <c r="F568" s="41"/>
      <c r="G568" s="41"/>
      <c r="H568" s="41"/>
      <c r="I568" s="41"/>
      <c r="J568" s="41" t="s">
        <v>8177</v>
      </c>
      <c r="K568" s="65" t="str">
        <f>IFERROR(VLOOKUP(D568,Sheet4!A$1:M$56,11,FALSE),"")</f>
        <v/>
      </c>
      <c r="L568" s="65" t="str">
        <f t="shared" si="8"/>
        <v>May have genomic admixture with Q. prinoides</v>
      </c>
      <c r="M568" s="14" t="s">
        <v>1829</v>
      </c>
      <c r="N568" s="15">
        <v>44736</v>
      </c>
      <c r="O568" t="s">
        <v>2719</v>
      </c>
      <c r="P568" t="s">
        <v>51</v>
      </c>
      <c r="Q568" t="s">
        <v>52</v>
      </c>
      <c r="R568" t="s">
        <v>53</v>
      </c>
      <c r="S568" t="s">
        <v>54</v>
      </c>
      <c r="T568" t="s">
        <v>3164</v>
      </c>
      <c r="U568" t="s">
        <v>56</v>
      </c>
      <c r="V568" s="21" t="s">
        <v>3165</v>
      </c>
      <c r="W568" s="21"/>
      <c r="X568" t="s">
        <v>3252</v>
      </c>
      <c r="Y568" t="s">
        <v>3275</v>
      </c>
      <c r="AB568" t="s">
        <v>1758</v>
      </c>
      <c r="AC568" t="s">
        <v>1832</v>
      </c>
      <c r="AE568" s="15"/>
      <c r="AG568">
        <v>35.436537999999999</v>
      </c>
      <c r="AH568">
        <v>-98.353515000000002</v>
      </c>
      <c r="AI568" t="s">
        <v>3276</v>
      </c>
      <c r="AL568" t="s">
        <v>1715</v>
      </c>
      <c r="AM568" t="s">
        <v>63</v>
      </c>
      <c r="AN568" t="s">
        <v>3277</v>
      </c>
      <c r="AO568">
        <v>194431</v>
      </c>
      <c r="AQ568" t="s">
        <v>3278</v>
      </c>
      <c r="AR568" t="s">
        <v>3279</v>
      </c>
      <c r="AS568" t="s">
        <v>3280</v>
      </c>
      <c r="AT568" t="s">
        <v>68</v>
      </c>
      <c r="AV568" t="s">
        <v>3281</v>
      </c>
      <c r="AW568" t="s">
        <v>3282</v>
      </c>
      <c r="AX568" t="s">
        <v>3283</v>
      </c>
      <c r="BA568" s="14" t="s">
        <v>72</v>
      </c>
      <c r="BB568" s="14" t="s">
        <v>73</v>
      </c>
      <c r="BC568" s="14" t="s">
        <v>74</v>
      </c>
    </row>
    <row r="569" spans="1:55" ht="15" customHeight="1" x14ac:dyDescent="0.4">
      <c r="A569" s="12">
        <v>3613</v>
      </c>
      <c r="B569" s="21" t="s">
        <v>3284</v>
      </c>
      <c r="C569" s="13" t="s">
        <v>3285</v>
      </c>
      <c r="D569" s="25" t="s">
        <v>3285</v>
      </c>
      <c r="E569" s="13"/>
      <c r="F569" s="41"/>
      <c r="G569" s="41"/>
      <c r="H569" s="41"/>
      <c r="I569" s="41"/>
      <c r="J569" s="41" t="s">
        <v>8177</v>
      </c>
      <c r="K569" s="65" t="str">
        <f>IFERROR(VLOOKUP(D569,Sheet4!A$1:M$56,11,FALSE),"")</f>
        <v/>
      </c>
      <c r="L569" s="65" t="str">
        <f t="shared" si="8"/>
        <v>May have genomic admixture with Q. prinoides</v>
      </c>
      <c r="M569" s="14" t="s">
        <v>1829</v>
      </c>
      <c r="N569" s="15">
        <v>44736</v>
      </c>
      <c r="O569" t="s">
        <v>2719</v>
      </c>
      <c r="P569" t="s">
        <v>51</v>
      </c>
      <c r="Q569" t="s">
        <v>52</v>
      </c>
      <c r="R569" t="s">
        <v>53</v>
      </c>
      <c r="S569" t="s">
        <v>54</v>
      </c>
      <c r="T569" t="s">
        <v>3164</v>
      </c>
      <c r="U569" t="s">
        <v>56</v>
      </c>
      <c r="V569" s="21" t="s">
        <v>3165</v>
      </c>
      <c r="W569" s="21"/>
      <c r="X569" t="s">
        <v>3286</v>
      </c>
      <c r="Y569" t="s">
        <v>3287</v>
      </c>
      <c r="AC569" t="s">
        <v>1832</v>
      </c>
      <c r="AE569" s="15"/>
      <c r="AG569">
        <v>35.436036999999999</v>
      </c>
      <c r="AH569">
        <v>-98.353943999999998</v>
      </c>
      <c r="AI569" t="s">
        <v>3230</v>
      </c>
      <c r="AL569" t="s">
        <v>1715</v>
      </c>
      <c r="AM569" t="s">
        <v>63</v>
      </c>
      <c r="AN569" t="s">
        <v>3288</v>
      </c>
      <c r="AO569">
        <v>194432</v>
      </c>
      <c r="AQ569" t="s">
        <v>3289</v>
      </c>
      <c r="AR569" t="s">
        <v>3290</v>
      </c>
      <c r="AS569" t="s">
        <v>3291</v>
      </c>
      <c r="AT569" t="s">
        <v>68</v>
      </c>
      <c r="AV569" t="s">
        <v>3292</v>
      </c>
      <c r="AW569" t="s">
        <v>3293</v>
      </c>
      <c r="AX569" t="s">
        <v>3294</v>
      </c>
      <c r="BA569" s="14" t="s">
        <v>72</v>
      </c>
      <c r="BB569" s="14" t="s">
        <v>73</v>
      </c>
      <c r="BC569" s="14" t="s">
        <v>74</v>
      </c>
    </row>
    <row r="570" spans="1:55" ht="15" customHeight="1" x14ac:dyDescent="0.4">
      <c r="A570" s="12">
        <v>3614</v>
      </c>
      <c r="B570" s="21" t="s">
        <v>3295</v>
      </c>
      <c r="C570" s="13" t="s">
        <v>3296</v>
      </c>
      <c r="D570" s="25" t="s">
        <v>3296</v>
      </c>
      <c r="E570" s="13"/>
      <c r="F570" s="41"/>
      <c r="G570" s="41"/>
      <c r="H570" s="41"/>
      <c r="I570" s="41"/>
      <c r="J570" s="41" t="s">
        <v>8177</v>
      </c>
      <c r="K570" s="65" t="str">
        <f>IFERROR(VLOOKUP(D570,Sheet4!A$1:M$56,11,FALSE),"")</f>
        <v/>
      </c>
      <c r="L570" s="65" t="str">
        <f t="shared" si="8"/>
        <v>May have genomic admixture with Q. prinoides</v>
      </c>
      <c r="M570" s="14" t="s">
        <v>1829</v>
      </c>
      <c r="N570" s="15">
        <v>44736</v>
      </c>
      <c r="O570" t="s">
        <v>2719</v>
      </c>
      <c r="P570" t="s">
        <v>51</v>
      </c>
      <c r="Q570" t="s">
        <v>52</v>
      </c>
      <c r="R570" t="s">
        <v>53</v>
      </c>
      <c r="S570" t="s">
        <v>54</v>
      </c>
      <c r="T570" t="s">
        <v>3164</v>
      </c>
      <c r="U570" t="s">
        <v>56</v>
      </c>
      <c r="V570" s="21" t="s">
        <v>3165</v>
      </c>
      <c r="W570" s="21"/>
      <c r="X570" t="s">
        <v>3297</v>
      </c>
      <c r="Y570" t="s">
        <v>3298</v>
      </c>
      <c r="AB570" t="s">
        <v>1758</v>
      </c>
      <c r="AC570" t="s">
        <v>1832</v>
      </c>
      <c r="AE570" s="15"/>
      <c r="AG570">
        <v>35.445520999999999</v>
      </c>
      <c r="AH570">
        <v>-98.353314999999995</v>
      </c>
      <c r="AI570" t="s">
        <v>3207</v>
      </c>
      <c r="AL570" t="s">
        <v>1715</v>
      </c>
      <c r="AM570" t="s">
        <v>63</v>
      </c>
      <c r="AN570" t="s">
        <v>3299</v>
      </c>
      <c r="AO570">
        <v>194433</v>
      </c>
      <c r="AQ570" t="s">
        <v>3300</v>
      </c>
      <c r="AR570" t="s">
        <v>3301</v>
      </c>
      <c r="AS570" t="s">
        <v>3302</v>
      </c>
      <c r="AT570" t="s">
        <v>68</v>
      </c>
      <c r="AV570" t="s">
        <v>3303</v>
      </c>
      <c r="AW570" t="s">
        <v>3304</v>
      </c>
      <c r="AX570" t="s">
        <v>3305</v>
      </c>
      <c r="BA570" s="14" t="s">
        <v>72</v>
      </c>
      <c r="BB570" s="14" t="s">
        <v>73</v>
      </c>
      <c r="BC570" s="14" t="s">
        <v>74</v>
      </c>
    </row>
    <row r="571" spans="1:55" ht="15" customHeight="1" x14ac:dyDescent="0.4">
      <c r="A571" s="12">
        <v>3615</v>
      </c>
      <c r="B571" s="21" t="s">
        <v>3306</v>
      </c>
      <c r="C571" s="13" t="s">
        <v>3307</v>
      </c>
      <c r="D571" s="25" t="s">
        <v>3307</v>
      </c>
      <c r="E571" s="13"/>
      <c r="F571" s="41"/>
      <c r="G571" s="41"/>
      <c r="H571" s="41"/>
      <c r="I571" s="41"/>
      <c r="J571" s="41"/>
      <c r="K571" s="65" t="str">
        <f>IFERROR(VLOOKUP(D571,Sheet4!A$1:M$56,11,FALSE),"")</f>
        <v/>
      </c>
      <c r="L571" s="65" t="str">
        <f t="shared" si="8"/>
        <v/>
      </c>
      <c r="M571" s="14" t="s">
        <v>49</v>
      </c>
      <c r="N571" s="15">
        <v>44736</v>
      </c>
      <c r="O571" t="s">
        <v>2719</v>
      </c>
      <c r="P571" t="s">
        <v>51</v>
      </c>
      <c r="Q571" t="s">
        <v>52</v>
      </c>
      <c r="R571" t="s">
        <v>53</v>
      </c>
      <c r="S571" t="s">
        <v>54</v>
      </c>
      <c r="T571" t="s">
        <v>3164</v>
      </c>
      <c r="U571" t="s">
        <v>56</v>
      </c>
      <c r="V571" s="21" t="s">
        <v>3165</v>
      </c>
      <c r="W571" s="21"/>
      <c r="X571" t="s">
        <v>3308</v>
      </c>
      <c r="Y571" t="s">
        <v>3309</v>
      </c>
      <c r="AB571" t="s">
        <v>1758</v>
      </c>
      <c r="AC571" t="s">
        <v>60</v>
      </c>
      <c r="AE571" s="15"/>
      <c r="AG571">
        <v>35.450242000000003</v>
      </c>
      <c r="AH571">
        <v>-98.352763999999993</v>
      </c>
      <c r="AI571" t="s">
        <v>3310</v>
      </c>
      <c r="AL571" t="s">
        <v>1715</v>
      </c>
      <c r="AM571" t="s">
        <v>63</v>
      </c>
      <c r="AN571" t="s">
        <v>3311</v>
      </c>
      <c r="AO571">
        <v>194187</v>
      </c>
      <c r="AQ571" t="s">
        <v>3312</v>
      </c>
      <c r="AR571" t="s">
        <v>3313</v>
      </c>
      <c r="AS571" t="s">
        <v>3314</v>
      </c>
      <c r="AT571" t="s">
        <v>68</v>
      </c>
      <c r="AV571" t="s">
        <v>3315</v>
      </c>
      <c r="AW571" t="s">
        <v>3316</v>
      </c>
      <c r="AX571" t="s">
        <v>3317</v>
      </c>
      <c r="BA571" s="14" t="s">
        <v>72</v>
      </c>
      <c r="BB571" s="14" t="s">
        <v>73</v>
      </c>
      <c r="BC571" s="14" t="s">
        <v>74</v>
      </c>
    </row>
    <row r="572" spans="1:55" ht="15" customHeight="1" x14ac:dyDescent="0.4">
      <c r="A572" s="12">
        <v>3616</v>
      </c>
      <c r="B572" s="21" t="s">
        <v>3318</v>
      </c>
      <c r="C572" s="13" t="s">
        <v>3319</v>
      </c>
      <c r="D572" s="25" t="s">
        <v>3319</v>
      </c>
      <c r="E572" s="13"/>
      <c r="F572" s="41"/>
      <c r="G572" s="41"/>
      <c r="H572" s="41"/>
      <c r="I572" s="41"/>
      <c r="J572" s="41"/>
      <c r="K572" s="65" t="str">
        <f>IFERROR(VLOOKUP(D572,Sheet4!A$1:M$56,11,FALSE),"")</f>
        <v/>
      </c>
      <c r="L572" s="65" t="str">
        <f t="shared" si="8"/>
        <v/>
      </c>
      <c r="M572" s="14" t="s">
        <v>49</v>
      </c>
      <c r="N572" s="15">
        <v>44736</v>
      </c>
      <c r="O572" t="s">
        <v>2719</v>
      </c>
      <c r="P572" t="s">
        <v>51</v>
      </c>
      <c r="Q572" t="s">
        <v>52</v>
      </c>
      <c r="R572" t="s">
        <v>53</v>
      </c>
      <c r="S572" t="s">
        <v>54</v>
      </c>
      <c r="T572" t="s">
        <v>3164</v>
      </c>
      <c r="U572" t="s">
        <v>56</v>
      </c>
      <c r="V572" s="21" t="s">
        <v>3165</v>
      </c>
      <c r="W572" s="21"/>
      <c r="X572" t="s">
        <v>3320</v>
      </c>
      <c r="Y572" t="s">
        <v>3321</v>
      </c>
      <c r="AC572" t="s">
        <v>60</v>
      </c>
      <c r="AE572" s="15"/>
      <c r="AG572">
        <v>35.456636000000003</v>
      </c>
      <c r="AH572">
        <v>-98.354330000000004</v>
      </c>
      <c r="AI572" t="s">
        <v>3322</v>
      </c>
      <c r="AL572" t="s">
        <v>1715</v>
      </c>
      <c r="AM572" t="s">
        <v>63</v>
      </c>
      <c r="AN572" t="s">
        <v>3323</v>
      </c>
      <c r="AO572">
        <v>193372</v>
      </c>
      <c r="AQ572" t="s">
        <v>3324</v>
      </c>
      <c r="AR572" t="s">
        <v>3325</v>
      </c>
      <c r="AS572" t="s">
        <v>3326</v>
      </c>
      <c r="AT572" t="s">
        <v>68</v>
      </c>
      <c r="AV572" t="s">
        <v>3327</v>
      </c>
      <c r="AW572" t="s">
        <v>3328</v>
      </c>
      <c r="AX572" t="s">
        <v>3329</v>
      </c>
      <c r="BA572" s="14" t="s">
        <v>72</v>
      </c>
      <c r="BB572" s="14" t="s">
        <v>73</v>
      </c>
      <c r="BC572" s="14" t="s">
        <v>74</v>
      </c>
    </row>
    <row r="573" spans="1:55" ht="15" customHeight="1" x14ac:dyDescent="0.4">
      <c r="A573" s="12">
        <v>3617</v>
      </c>
      <c r="B573" s="21" t="s">
        <v>3330</v>
      </c>
      <c r="C573" s="13" t="s">
        <v>3331</v>
      </c>
      <c r="D573" s="25" t="s">
        <v>3331</v>
      </c>
      <c r="E573" s="13"/>
      <c r="F573" s="41"/>
      <c r="G573" s="41"/>
      <c r="H573" s="41"/>
      <c r="I573" s="41"/>
      <c r="J573" s="41"/>
      <c r="K573" s="65" t="str">
        <f>IFERROR(VLOOKUP(D573,Sheet4!A$1:M$56,11,FALSE),"")</f>
        <v/>
      </c>
      <c r="L573" s="65" t="str">
        <f t="shared" si="8"/>
        <v/>
      </c>
      <c r="M573" s="14" t="s">
        <v>49</v>
      </c>
      <c r="N573" s="15">
        <v>44736</v>
      </c>
      <c r="O573" t="s">
        <v>2719</v>
      </c>
      <c r="P573" t="s">
        <v>51</v>
      </c>
      <c r="Q573" t="s">
        <v>52</v>
      </c>
      <c r="R573" t="s">
        <v>53</v>
      </c>
      <c r="S573" t="s">
        <v>54</v>
      </c>
      <c r="T573" t="s">
        <v>3164</v>
      </c>
      <c r="U573" t="s">
        <v>56</v>
      </c>
      <c r="V573" s="21" t="s">
        <v>3165</v>
      </c>
      <c r="W573" s="21"/>
      <c r="X573" t="s">
        <v>3332</v>
      </c>
      <c r="Y573" t="s">
        <v>3333</v>
      </c>
      <c r="AC573" t="s">
        <v>60</v>
      </c>
      <c r="AE573" s="15"/>
      <c r="AG573">
        <v>35.457220999999997</v>
      </c>
      <c r="AH573">
        <v>-98.353656000000001</v>
      </c>
      <c r="AI573" t="s">
        <v>3334</v>
      </c>
      <c r="AL573" t="s">
        <v>1715</v>
      </c>
      <c r="AM573" t="s">
        <v>63</v>
      </c>
      <c r="AN573" t="s">
        <v>3335</v>
      </c>
      <c r="AO573">
        <v>194188</v>
      </c>
      <c r="AQ573" t="s">
        <v>3336</v>
      </c>
      <c r="AR573" t="s">
        <v>3337</v>
      </c>
      <c r="AS573" t="s">
        <v>3338</v>
      </c>
      <c r="AT573" t="s">
        <v>68</v>
      </c>
      <c r="AV573" t="s">
        <v>3339</v>
      </c>
      <c r="AW573" t="s">
        <v>3340</v>
      </c>
      <c r="AX573" t="s">
        <v>3341</v>
      </c>
      <c r="BA573" s="14" t="s">
        <v>72</v>
      </c>
      <c r="BB573" s="14" t="s">
        <v>73</v>
      </c>
      <c r="BC573" s="14" t="s">
        <v>74</v>
      </c>
    </row>
    <row r="574" spans="1:55" ht="15" customHeight="1" x14ac:dyDescent="0.4">
      <c r="A574" s="33">
        <v>3618</v>
      </c>
      <c r="B574" s="37" t="s">
        <v>3342</v>
      </c>
      <c r="C574" s="35" t="s">
        <v>3343</v>
      </c>
      <c r="D574" s="55" t="s">
        <v>3343</v>
      </c>
      <c r="E574" s="35"/>
      <c r="F574" s="42" t="s">
        <v>8142</v>
      </c>
      <c r="G574" s="42"/>
      <c r="H574" s="42"/>
      <c r="I574" s="42"/>
      <c r="J574" s="42"/>
      <c r="K574" s="65" t="str">
        <f>IFERROR(VLOOKUP(D574,Sheet4!A$1:M$56,11,FALSE),"")</f>
        <v/>
      </c>
      <c r="L574" s="65" t="str">
        <f t="shared" si="8"/>
        <v/>
      </c>
      <c r="M574" s="34" t="s">
        <v>49</v>
      </c>
      <c r="N574" s="36">
        <v>44736</v>
      </c>
      <c r="O574" s="34" t="s">
        <v>2719</v>
      </c>
      <c r="P574" s="34" t="s">
        <v>51</v>
      </c>
      <c r="Q574" s="34" t="s">
        <v>52</v>
      </c>
      <c r="R574" s="34" t="s">
        <v>53</v>
      </c>
      <c r="S574" s="34" t="s">
        <v>54</v>
      </c>
      <c r="T574" s="34" t="s">
        <v>3164</v>
      </c>
      <c r="U574" s="34" t="s">
        <v>56</v>
      </c>
      <c r="V574" s="37" t="s">
        <v>3165</v>
      </c>
      <c r="W574" s="37"/>
      <c r="X574" s="34" t="s">
        <v>3344</v>
      </c>
      <c r="Y574" s="34" t="s">
        <v>3345</v>
      </c>
      <c r="Z574" s="34"/>
      <c r="AA574" s="34"/>
      <c r="AB574" s="34"/>
      <c r="AC574" s="34" t="s">
        <v>60</v>
      </c>
      <c r="AD574" s="34"/>
      <c r="AE574" s="36"/>
      <c r="AF574" s="34"/>
      <c r="AG574" s="34">
        <v>35.457323000000002</v>
      </c>
      <c r="AH574" s="34">
        <v>-98.352419999999995</v>
      </c>
      <c r="AI574" s="34" t="s">
        <v>3346</v>
      </c>
      <c r="AJ574" s="34"/>
      <c r="AK574" s="34"/>
      <c r="AL574" s="34" t="s">
        <v>1715</v>
      </c>
      <c r="AM574" s="34" t="s">
        <v>63</v>
      </c>
      <c r="AN574" s="34" t="s">
        <v>3347</v>
      </c>
      <c r="AO574" s="34">
        <v>193367</v>
      </c>
      <c r="AP574" s="34"/>
      <c r="AQ574" s="34" t="s">
        <v>3348</v>
      </c>
      <c r="AR574" s="34" t="s">
        <v>3349</v>
      </c>
      <c r="AS574" s="34" t="s">
        <v>3350</v>
      </c>
      <c r="AT574" s="34" t="s">
        <v>68</v>
      </c>
      <c r="AU574" s="34"/>
      <c r="AV574" s="34" t="s">
        <v>3351</v>
      </c>
      <c r="AW574" s="34" t="s">
        <v>3352</v>
      </c>
      <c r="AX574" s="34" t="s">
        <v>3353</v>
      </c>
      <c r="AY574" s="34"/>
      <c r="AZ574" s="34"/>
      <c r="BA574" s="34" t="s">
        <v>72</v>
      </c>
      <c r="BB574" s="34" t="s">
        <v>73</v>
      </c>
      <c r="BC574" s="34" t="s">
        <v>74</v>
      </c>
    </row>
    <row r="575" spans="1:55" ht="15" customHeight="1" x14ac:dyDescent="0.4">
      <c r="A575" s="12">
        <v>3619</v>
      </c>
      <c r="B575" s="21" t="s">
        <v>3354</v>
      </c>
      <c r="C575" s="13" t="s">
        <v>3355</v>
      </c>
      <c r="D575" s="25" t="s">
        <v>3355</v>
      </c>
      <c r="E575" s="13"/>
      <c r="F575" s="41"/>
      <c r="G575" s="41"/>
      <c r="H575" s="41"/>
      <c r="I575" s="41"/>
      <c r="J575" s="41"/>
      <c r="K575" s="65" t="str">
        <f>IFERROR(VLOOKUP(D575,Sheet4!A$1:M$56,11,FALSE),"")</f>
        <v/>
      </c>
      <c r="L575" s="65" t="str">
        <f t="shared" si="8"/>
        <v/>
      </c>
      <c r="M575" s="14" t="s">
        <v>3178</v>
      </c>
      <c r="N575" s="15">
        <v>44736</v>
      </c>
      <c r="O575" t="s">
        <v>2719</v>
      </c>
      <c r="P575" t="s">
        <v>51</v>
      </c>
      <c r="Q575" t="s">
        <v>52</v>
      </c>
      <c r="R575" t="s">
        <v>53</v>
      </c>
      <c r="S575" t="s">
        <v>54</v>
      </c>
      <c r="T575" t="s">
        <v>3164</v>
      </c>
      <c r="U575" t="s">
        <v>56</v>
      </c>
      <c r="V575" s="21" t="s">
        <v>3165</v>
      </c>
      <c r="W575" s="21"/>
      <c r="X575" t="s">
        <v>3356</v>
      </c>
      <c r="Y575" t="s">
        <v>3357</v>
      </c>
      <c r="AB575" t="s">
        <v>1758</v>
      </c>
      <c r="AC575" t="s">
        <v>3180</v>
      </c>
      <c r="AD575" t="s">
        <v>3181</v>
      </c>
      <c r="AE575" s="15" t="s">
        <v>3182</v>
      </c>
      <c r="AF575" t="s">
        <v>3183</v>
      </c>
      <c r="AG575">
        <v>35.436058000000003</v>
      </c>
      <c r="AH575">
        <v>-98.355745999999996</v>
      </c>
      <c r="AI575" t="s">
        <v>3358</v>
      </c>
      <c r="AL575" t="s">
        <v>1715</v>
      </c>
      <c r="AM575" t="s">
        <v>63</v>
      </c>
      <c r="AN575" t="s">
        <v>3359</v>
      </c>
      <c r="AO575">
        <v>193690</v>
      </c>
      <c r="AQ575" t="s">
        <v>3360</v>
      </c>
      <c r="AR575" t="s">
        <v>3361</v>
      </c>
      <c r="AS575" t="s">
        <v>3362</v>
      </c>
      <c r="AT575" t="s">
        <v>68</v>
      </c>
      <c r="AV575" t="s">
        <v>3363</v>
      </c>
      <c r="AW575" t="s">
        <v>3364</v>
      </c>
      <c r="AX575" t="s">
        <v>3365</v>
      </c>
      <c r="BA575" s="14" t="e">
        <v>#N/A</v>
      </c>
      <c r="BB575" s="14" t="e">
        <v>#N/A</v>
      </c>
      <c r="BC575" s="14" t="e">
        <v>#N/A</v>
      </c>
    </row>
    <row r="576" spans="1:55" ht="15" customHeight="1" x14ac:dyDescent="0.4">
      <c r="A576" s="12">
        <v>3620</v>
      </c>
      <c r="B576" s="21" t="s">
        <v>3366</v>
      </c>
      <c r="C576" s="13" t="s">
        <v>3367</v>
      </c>
      <c r="D576" s="25" t="s">
        <v>3367</v>
      </c>
      <c r="E576" s="13"/>
      <c r="F576" s="41"/>
      <c r="G576" s="41"/>
      <c r="H576" s="41"/>
      <c r="I576" s="41"/>
      <c r="J576" s="41"/>
      <c r="K576" s="65" t="str">
        <f>IFERROR(VLOOKUP(D576,Sheet4!A$1:M$56,11,FALSE),"")</f>
        <v/>
      </c>
      <c r="L576" s="65" t="str">
        <f t="shared" si="8"/>
        <v/>
      </c>
      <c r="M576" s="14" t="s">
        <v>49</v>
      </c>
      <c r="N576" s="15">
        <v>44737</v>
      </c>
      <c r="O576" t="s">
        <v>2719</v>
      </c>
      <c r="P576" t="s">
        <v>51</v>
      </c>
      <c r="Q576" t="s">
        <v>52</v>
      </c>
      <c r="R576" t="s">
        <v>53</v>
      </c>
      <c r="S576" t="s">
        <v>54</v>
      </c>
      <c r="T576" t="s">
        <v>3368</v>
      </c>
      <c r="U576" t="s">
        <v>56</v>
      </c>
      <c r="V576" s="21" t="s">
        <v>3369</v>
      </c>
      <c r="W576" s="21"/>
      <c r="X576" t="s">
        <v>3370</v>
      </c>
      <c r="Y576" t="s">
        <v>3371</v>
      </c>
      <c r="AB576" t="s">
        <v>1758</v>
      </c>
      <c r="AC576" t="s">
        <v>60</v>
      </c>
      <c r="AE576" s="15"/>
      <c r="AG576">
        <v>36.845101</v>
      </c>
      <c r="AH576">
        <v>-96.426447999999993</v>
      </c>
      <c r="AI576" t="s">
        <v>3372</v>
      </c>
      <c r="AL576" t="s">
        <v>1715</v>
      </c>
      <c r="AM576" t="s">
        <v>63</v>
      </c>
      <c r="AN576" t="s">
        <v>3373</v>
      </c>
      <c r="AO576">
        <v>194189</v>
      </c>
      <c r="AQ576" t="s">
        <v>3374</v>
      </c>
      <c r="AR576" t="s">
        <v>3375</v>
      </c>
      <c r="AS576" t="s">
        <v>3376</v>
      </c>
      <c r="AT576" t="s">
        <v>68</v>
      </c>
      <c r="AV576" t="s">
        <v>3377</v>
      </c>
      <c r="AW576" t="s">
        <v>3378</v>
      </c>
      <c r="AX576" t="s">
        <v>3379</v>
      </c>
      <c r="BA576" s="14" t="s">
        <v>72</v>
      </c>
      <c r="BB576" s="14" t="s">
        <v>73</v>
      </c>
      <c r="BC576" s="14" t="s">
        <v>74</v>
      </c>
    </row>
    <row r="577" spans="1:55" ht="15" customHeight="1" x14ac:dyDescent="0.4">
      <c r="A577" s="12">
        <v>3621</v>
      </c>
      <c r="B577" s="21" t="s">
        <v>3380</v>
      </c>
      <c r="C577" s="13" t="s">
        <v>3381</v>
      </c>
      <c r="D577" s="25" t="s">
        <v>3381</v>
      </c>
      <c r="E577" s="13"/>
      <c r="F577" s="41"/>
      <c r="G577" s="41"/>
      <c r="H577" s="41"/>
      <c r="I577" s="41"/>
      <c r="J577" s="41"/>
      <c r="K577" s="65" t="str">
        <f>IFERROR(VLOOKUP(D577,Sheet4!A$1:M$56,11,FALSE),"")</f>
        <v/>
      </c>
      <c r="L577" s="65" t="str">
        <f t="shared" si="8"/>
        <v/>
      </c>
      <c r="M577" s="14" t="s">
        <v>49</v>
      </c>
      <c r="N577" s="15">
        <v>44737</v>
      </c>
      <c r="O577" t="s">
        <v>2719</v>
      </c>
      <c r="P577" t="s">
        <v>51</v>
      </c>
      <c r="Q577" t="s">
        <v>52</v>
      </c>
      <c r="R577" t="s">
        <v>53</v>
      </c>
      <c r="S577" t="s">
        <v>54</v>
      </c>
      <c r="T577" t="s">
        <v>3368</v>
      </c>
      <c r="U577" t="s">
        <v>56</v>
      </c>
      <c r="V577" s="21" t="s">
        <v>3369</v>
      </c>
      <c r="W577" s="21"/>
      <c r="X577" t="s">
        <v>3382</v>
      </c>
      <c r="Y577" t="s">
        <v>3383</v>
      </c>
      <c r="AB577" t="s">
        <v>1758</v>
      </c>
      <c r="AC577" t="s">
        <v>60</v>
      </c>
      <c r="AE577" s="15"/>
      <c r="AG577">
        <v>36.845784000000002</v>
      </c>
      <c r="AH577">
        <v>-96.426593999999994</v>
      </c>
      <c r="AI577" t="s">
        <v>3384</v>
      </c>
      <c r="AL577" t="s">
        <v>1715</v>
      </c>
      <c r="AM577" t="s">
        <v>63</v>
      </c>
      <c r="AN577" t="s">
        <v>3385</v>
      </c>
      <c r="AO577">
        <v>194190</v>
      </c>
      <c r="AQ577" t="s">
        <v>3386</v>
      </c>
      <c r="AR577" t="s">
        <v>3387</v>
      </c>
      <c r="AS577" t="s">
        <v>3388</v>
      </c>
      <c r="AT577" t="s">
        <v>68</v>
      </c>
      <c r="AV577" t="s">
        <v>3389</v>
      </c>
      <c r="AW577" t="s">
        <v>3390</v>
      </c>
      <c r="AX577" t="s">
        <v>3391</v>
      </c>
      <c r="BA577" s="14" t="s">
        <v>72</v>
      </c>
      <c r="BB577" s="14" t="s">
        <v>73</v>
      </c>
      <c r="BC577" s="14" t="s">
        <v>74</v>
      </c>
    </row>
    <row r="578" spans="1:55" ht="15" customHeight="1" x14ac:dyDescent="0.4">
      <c r="A578" s="12">
        <v>3622</v>
      </c>
      <c r="B578" s="21" t="s">
        <v>3392</v>
      </c>
      <c r="C578" s="13" t="s">
        <v>3393</v>
      </c>
      <c r="D578" s="25" t="s">
        <v>3393</v>
      </c>
      <c r="E578" s="13"/>
      <c r="F578" s="41"/>
      <c r="G578" s="41"/>
      <c r="H578" s="41"/>
      <c r="I578" s="41"/>
      <c r="J578" s="41"/>
      <c r="K578" s="65" t="str">
        <f>IFERROR(VLOOKUP(D578,Sheet4!A$1:M$56,11,FALSE),"")</f>
        <v/>
      </c>
      <c r="L578" s="65" t="str">
        <f t="shared" si="8"/>
        <v/>
      </c>
      <c r="M578" s="14" t="s">
        <v>1752</v>
      </c>
      <c r="N578" s="15">
        <v>44737</v>
      </c>
      <c r="O578" t="s">
        <v>2719</v>
      </c>
      <c r="P578" t="s">
        <v>51</v>
      </c>
      <c r="Q578" t="s">
        <v>52</v>
      </c>
      <c r="R578" t="s">
        <v>53</v>
      </c>
      <c r="S578" t="s">
        <v>54</v>
      </c>
      <c r="T578" t="s">
        <v>3368</v>
      </c>
      <c r="U578" t="s">
        <v>56</v>
      </c>
      <c r="V578" s="21" t="s">
        <v>3369</v>
      </c>
      <c r="W578" s="21"/>
      <c r="X578" t="s">
        <v>3394</v>
      </c>
      <c r="Y578" t="s">
        <v>3395</v>
      </c>
      <c r="AC578" t="s">
        <v>1759</v>
      </c>
      <c r="AE578" s="15"/>
      <c r="AG578">
        <v>36.845564000000003</v>
      </c>
      <c r="AH578">
        <v>-96.428413000000006</v>
      </c>
      <c r="AI578" t="s">
        <v>3396</v>
      </c>
      <c r="AL578" t="s">
        <v>1715</v>
      </c>
      <c r="AM578" t="s">
        <v>63</v>
      </c>
      <c r="AN578" t="s">
        <v>3397</v>
      </c>
      <c r="AO578">
        <v>193520</v>
      </c>
      <c r="AQ578" t="s">
        <v>3398</v>
      </c>
      <c r="AR578" t="s">
        <v>3399</v>
      </c>
      <c r="AS578" t="s">
        <v>3400</v>
      </c>
      <c r="AT578" t="s">
        <v>68</v>
      </c>
      <c r="AV578" t="s">
        <v>3401</v>
      </c>
      <c r="AW578" t="s">
        <v>3402</v>
      </c>
      <c r="AX578" t="s">
        <v>3403</v>
      </c>
      <c r="BA578" s="14" t="s">
        <v>72</v>
      </c>
      <c r="BB578" s="14" t="s">
        <v>73</v>
      </c>
      <c r="BC578" s="14" t="s">
        <v>1768</v>
      </c>
    </row>
    <row r="579" spans="1:55" ht="15" customHeight="1" x14ac:dyDescent="0.4">
      <c r="A579" s="12">
        <v>3623</v>
      </c>
      <c r="B579" s="21" t="s">
        <v>3404</v>
      </c>
      <c r="C579" s="13" t="s">
        <v>3405</v>
      </c>
      <c r="D579" s="25" t="s">
        <v>3405</v>
      </c>
      <c r="E579" s="13"/>
      <c r="F579" s="41"/>
      <c r="G579" s="41"/>
      <c r="H579" s="41"/>
      <c r="I579" s="41"/>
      <c r="J579" s="41"/>
      <c r="K579" s="65" t="str">
        <f>IFERROR(VLOOKUP(D579,Sheet4!A$1:M$56,11,FALSE),"")</f>
        <v/>
      </c>
      <c r="L579" s="65" t="str">
        <f t="shared" ref="L579:L642" si="9">_xlfn.CONCAT(J579,K579)</f>
        <v/>
      </c>
      <c r="M579" s="14" t="s">
        <v>1829</v>
      </c>
      <c r="N579" s="15">
        <v>44737</v>
      </c>
      <c r="O579" t="s">
        <v>2719</v>
      </c>
      <c r="P579" t="s">
        <v>51</v>
      </c>
      <c r="Q579" t="s">
        <v>52</v>
      </c>
      <c r="R579" t="s">
        <v>53</v>
      </c>
      <c r="S579" t="s">
        <v>54</v>
      </c>
      <c r="T579" t="s">
        <v>3368</v>
      </c>
      <c r="U579" t="s">
        <v>56</v>
      </c>
      <c r="V579" s="21" t="s">
        <v>3369</v>
      </c>
      <c r="W579" s="21"/>
      <c r="X579" t="s">
        <v>3406</v>
      </c>
      <c r="Y579" t="s">
        <v>3407</v>
      </c>
      <c r="AB579" t="s">
        <v>1758</v>
      </c>
      <c r="AC579" t="s">
        <v>1832</v>
      </c>
      <c r="AE579" s="15"/>
      <c r="AG579">
        <v>36.845779</v>
      </c>
      <c r="AH579">
        <v>-96.428591999999995</v>
      </c>
      <c r="AI579" t="s">
        <v>3408</v>
      </c>
      <c r="AL579" t="s">
        <v>1715</v>
      </c>
      <c r="AM579" t="s">
        <v>63</v>
      </c>
      <c r="AN579" t="s">
        <v>3409</v>
      </c>
      <c r="AO579">
        <v>194434</v>
      </c>
      <c r="AQ579" t="s">
        <v>3410</v>
      </c>
      <c r="AR579" t="s">
        <v>3411</v>
      </c>
      <c r="AS579" t="s">
        <v>3412</v>
      </c>
      <c r="AT579" t="s">
        <v>68</v>
      </c>
      <c r="AV579" t="s">
        <v>3413</v>
      </c>
      <c r="AW579" t="s">
        <v>3414</v>
      </c>
      <c r="AX579" t="s">
        <v>3415</v>
      </c>
      <c r="BA579" s="14" t="s">
        <v>72</v>
      </c>
      <c r="BB579" s="14" t="s">
        <v>73</v>
      </c>
      <c r="BC579" s="14" t="s">
        <v>74</v>
      </c>
    </row>
    <row r="580" spans="1:55" ht="15" customHeight="1" x14ac:dyDescent="0.4">
      <c r="A580" s="12">
        <v>3624</v>
      </c>
      <c r="B580" s="21" t="s">
        <v>3416</v>
      </c>
      <c r="C580" s="13" t="s">
        <v>3417</v>
      </c>
      <c r="D580" s="25" t="s">
        <v>3417</v>
      </c>
      <c r="E580" s="13"/>
      <c r="F580" s="41"/>
      <c r="G580" s="41"/>
      <c r="H580" s="41"/>
      <c r="I580" s="41"/>
      <c r="J580" s="41"/>
      <c r="K580" s="65" t="str">
        <f>IFERROR(VLOOKUP(D580,Sheet4!A$1:M$56,11,FALSE),"")</f>
        <v/>
      </c>
      <c r="L580" s="65" t="str">
        <f t="shared" si="9"/>
        <v/>
      </c>
      <c r="M580" s="14" t="s">
        <v>49</v>
      </c>
      <c r="N580" s="15">
        <v>44737</v>
      </c>
      <c r="O580" t="s">
        <v>2719</v>
      </c>
      <c r="P580" t="s">
        <v>51</v>
      </c>
      <c r="Q580" t="s">
        <v>52</v>
      </c>
      <c r="R580" t="s">
        <v>53</v>
      </c>
      <c r="S580" t="s">
        <v>54</v>
      </c>
      <c r="T580" t="s">
        <v>3368</v>
      </c>
      <c r="U580" t="s">
        <v>56</v>
      </c>
      <c r="V580" s="21" t="s">
        <v>3369</v>
      </c>
      <c r="W580" s="21"/>
      <c r="X580" t="s">
        <v>3418</v>
      </c>
      <c r="Y580" t="s">
        <v>3419</v>
      </c>
      <c r="AC580" t="s">
        <v>60</v>
      </c>
      <c r="AE580" s="15"/>
      <c r="AG580">
        <v>36.846021999999998</v>
      </c>
      <c r="AH580">
        <v>-96.428747000000001</v>
      </c>
      <c r="AI580" t="s">
        <v>3420</v>
      </c>
      <c r="AL580" t="s">
        <v>1715</v>
      </c>
      <c r="AM580" t="s">
        <v>63</v>
      </c>
      <c r="AN580" t="s">
        <v>3421</v>
      </c>
      <c r="AO580">
        <v>192672</v>
      </c>
      <c r="AQ580" t="s">
        <v>3422</v>
      </c>
      <c r="AR580" t="s">
        <v>3423</v>
      </c>
      <c r="AS580" t="s">
        <v>3424</v>
      </c>
      <c r="AT580" t="s">
        <v>68</v>
      </c>
      <c r="AV580" t="s">
        <v>3425</v>
      </c>
      <c r="AW580" t="s">
        <v>3426</v>
      </c>
      <c r="AX580" t="s">
        <v>3427</v>
      </c>
      <c r="BA580" s="14" t="s">
        <v>72</v>
      </c>
      <c r="BB580" s="14" t="s">
        <v>73</v>
      </c>
      <c r="BC580" s="14" t="s">
        <v>74</v>
      </c>
    </row>
    <row r="581" spans="1:55" ht="15" customHeight="1" x14ac:dyDescent="0.4">
      <c r="A581" s="12">
        <v>3625</v>
      </c>
      <c r="B581" s="21" t="s">
        <v>3428</v>
      </c>
      <c r="C581" s="13" t="s">
        <v>3429</v>
      </c>
      <c r="D581" s="25" t="s">
        <v>3429</v>
      </c>
      <c r="E581" s="13"/>
      <c r="F581" s="41"/>
      <c r="G581" s="41"/>
      <c r="H581" s="41"/>
      <c r="I581" s="41"/>
      <c r="J581" s="41"/>
      <c r="K581" s="65" t="str">
        <f>IFERROR(VLOOKUP(D581,Sheet4!A$1:M$56,11,FALSE),"")</f>
        <v/>
      </c>
      <c r="L581" s="65" t="str">
        <f t="shared" si="9"/>
        <v/>
      </c>
      <c r="M581" s="14" t="s">
        <v>49</v>
      </c>
      <c r="N581" s="15">
        <v>44737</v>
      </c>
      <c r="O581" t="s">
        <v>2719</v>
      </c>
      <c r="P581" t="s">
        <v>51</v>
      </c>
      <c r="Q581" t="s">
        <v>52</v>
      </c>
      <c r="R581" t="s">
        <v>53</v>
      </c>
      <c r="S581" t="s">
        <v>54</v>
      </c>
      <c r="T581" t="s">
        <v>3368</v>
      </c>
      <c r="U581" t="s">
        <v>56</v>
      </c>
      <c r="V581" s="21" t="s">
        <v>3369</v>
      </c>
      <c r="W581" s="21"/>
      <c r="X581" t="s">
        <v>3430</v>
      </c>
      <c r="Y581" t="s">
        <v>3431</v>
      </c>
      <c r="AC581" t="s">
        <v>60</v>
      </c>
      <c r="AE581" s="15"/>
      <c r="AG581">
        <v>36.846654000000001</v>
      </c>
      <c r="AH581">
        <v>-96.429275000000004</v>
      </c>
      <c r="AL581" t="s">
        <v>1715</v>
      </c>
      <c r="AM581" t="s">
        <v>63</v>
      </c>
      <c r="AN581" t="s">
        <v>3432</v>
      </c>
      <c r="AO581">
        <v>194201</v>
      </c>
      <c r="AQ581" t="s">
        <v>3433</v>
      </c>
      <c r="AR581" t="s">
        <v>3434</v>
      </c>
      <c r="AS581" t="s">
        <v>3435</v>
      </c>
      <c r="AT581" t="s">
        <v>68</v>
      </c>
      <c r="AV581" t="s">
        <v>3436</v>
      </c>
      <c r="AW581" t="s">
        <v>3437</v>
      </c>
      <c r="AX581" t="s">
        <v>3438</v>
      </c>
      <c r="BA581" s="14" t="s">
        <v>72</v>
      </c>
      <c r="BB581" s="14" t="s">
        <v>73</v>
      </c>
      <c r="BC581" s="14" t="s">
        <v>74</v>
      </c>
    </row>
    <row r="582" spans="1:55" ht="15" customHeight="1" x14ac:dyDescent="0.4">
      <c r="A582" s="12">
        <v>3626</v>
      </c>
      <c r="B582" s="21" t="s">
        <v>3439</v>
      </c>
      <c r="C582" s="13" t="s">
        <v>3440</v>
      </c>
      <c r="D582" s="25" t="s">
        <v>3440</v>
      </c>
      <c r="E582" s="13"/>
      <c r="F582" s="41"/>
      <c r="G582" s="41"/>
      <c r="H582" s="41"/>
      <c r="I582" s="41"/>
      <c r="J582" s="41" t="s">
        <v>8177</v>
      </c>
      <c r="K582" s="65" t="str">
        <f>IFERROR(VLOOKUP(D582,Sheet4!A$1:M$56,11,FALSE),"")</f>
        <v/>
      </c>
      <c r="L582" s="65" t="str">
        <f t="shared" si="9"/>
        <v>May have genomic admixture with Q. prinoides</v>
      </c>
      <c r="M582" s="14" t="s">
        <v>1829</v>
      </c>
      <c r="N582" s="15">
        <v>44737</v>
      </c>
      <c r="O582" t="s">
        <v>2719</v>
      </c>
      <c r="P582" t="s">
        <v>51</v>
      </c>
      <c r="Q582" t="s">
        <v>52</v>
      </c>
      <c r="R582" t="s">
        <v>53</v>
      </c>
      <c r="S582" t="s">
        <v>54</v>
      </c>
      <c r="T582" t="s">
        <v>3368</v>
      </c>
      <c r="U582" t="s">
        <v>56</v>
      </c>
      <c r="V582" s="21" t="s">
        <v>3369</v>
      </c>
      <c r="W582" s="21"/>
      <c r="X582" t="s">
        <v>3441</v>
      </c>
      <c r="Y582" t="s">
        <v>3442</v>
      </c>
      <c r="AB582" t="s">
        <v>1758</v>
      </c>
      <c r="AC582" t="s">
        <v>1832</v>
      </c>
      <c r="AE582" s="15"/>
      <c r="AG582">
        <v>36.846612999999998</v>
      </c>
      <c r="AH582">
        <v>-96.429364000000007</v>
      </c>
      <c r="AL582" t="s">
        <v>1715</v>
      </c>
      <c r="AM582" t="s">
        <v>63</v>
      </c>
      <c r="AN582" t="s">
        <v>3443</v>
      </c>
      <c r="AO582">
        <v>194435</v>
      </c>
      <c r="AQ582" t="s">
        <v>3444</v>
      </c>
      <c r="AR582" t="s">
        <v>3445</v>
      </c>
      <c r="AS582" t="s">
        <v>3446</v>
      </c>
      <c r="AT582" t="s">
        <v>68</v>
      </c>
      <c r="AV582" t="s">
        <v>3447</v>
      </c>
      <c r="AW582" t="s">
        <v>3448</v>
      </c>
      <c r="AX582" t="s">
        <v>3449</v>
      </c>
      <c r="BA582" s="14" t="s">
        <v>72</v>
      </c>
      <c r="BB582" s="14" t="s">
        <v>73</v>
      </c>
      <c r="BC582" s="14" t="s">
        <v>74</v>
      </c>
    </row>
    <row r="583" spans="1:55" ht="15" customHeight="1" x14ac:dyDescent="0.4">
      <c r="A583" s="12">
        <v>3627</v>
      </c>
      <c r="B583" s="21" t="s">
        <v>3450</v>
      </c>
      <c r="C583" s="13" t="s">
        <v>3451</v>
      </c>
      <c r="D583" s="25" t="s">
        <v>3451</v>
      </c>
      <c r="E583" s="13"/>
      <c r="F583" s="41"/>
      <c r="G583" s="41"/>
      <c r="H583" s="41"/>
      <c r="I583" s="41"/>
      <c r="J583" s="41"/>
      <c r="K583" s="65" t="str">
        <f>IFERROR(VLOOKUP(D583,Sheet4!A$1:M$56,11,FALSE),"")</f>
        <v/>
      </c>
      <c r="L583" s="65" t="str">
        <f t="shared" si="9"/>
        <v/>
      </c>
      <c r="M583" s="14" t="s">
        <v>1752</v>
      </c>
      <c r="N583" s="15">
        <v>44737</v>
      </c>
      <c r="O583" t="s">
        <v>2719</v>
      </c>
      <c r="P583" t="s">
        <v>51</v>
      </c>
      <c r="Q583" t="s">
        <v>52</v>
      </c>
      <c r="R583" t="s">
        <v>53</v>
      </c>
      <c r="S583" t="s">
        <v>54</v>
      </c>
      <c r="T583" t="s">
        <v>3368</v>
      </c>
      <c r="U583" t="s">
        <v>56</v>
      </c>
      <c r="V583" s="21" t="s">
        <v>3369</v>
      </c>
      <c r="W583" s="21"/>
      <c r="X583" t="s">
        <v>3452</v>
      </c>
      <c r="Y583" t="s">
        <v>3453</v>
      </c>
      <c r="AB583" t="s">
        <v>1758</v>
      </c>
      <c r="AC583" t="s">
        <v>1759</v>
      </c>
      <c r="AE583" s="15"/>
      <c r="AG583">
        <v>36.846825000000003</v>
      </c>
      <c r="AH583">
        <v>-96.429918000000001</v>
      </c>
      <c r="AI583" t="s">
        <v>3454</v>
      </c>
      <c r="AL583" t="s">
        <v>1715</v>
      </c>
      <c r="AM583" t="s">
        <v>63</v>
      </c>
      <c r="AN583" t="s">
        <v>3455</v>
      </c>
      <c r="AO583">
        <v>193528</v>
      </c>
      <c r="AQ583" t="s">
        <v>3456</v>
      </c>
      <c r="AR583" t="s">
        <v>3457</v>
      </c>
      <c r="AS583" t="s">
        <v>3458</v>
      </c>
      <c r="AT583" t="s">
        <v>68</v>
      </c>
      <c r="AV583" t="s">
        <v>3459</v>
      </c>
      <c r="AW583" t="s">
        <v>3460</v>
      </c>
      <c r="AX583" t="s">
        <v>3461</v>
      </c>
      <c r="BA583" s="14" t="s">
        <v>72</v>
      </c>
      <c r="BB583" s="14" t="s">
        <v>73</v>
      </c>
      <c r="BC583" s="14" t="s">
        <v>1768</v>
      </c>
    </row>
    <row r="584" spans="1:55" ht="15" customHeight="1" x14ac:dyDescent="0.4">
      <c r="A584" s="12">
        <v>3628</v>
      </c>
      <c r="B584" s="21" t="s">
        <v>3462</v>
      </c>
      <c r="C584" s="13" t="s">
        <v>3463</v>
      </c>
      <c r="D584" s="25" t="s">
        <v>3463</v>
      </c>
      <c r="E584" s="13"/>
      <c r="F584" s="51" t="s">
        <v>1752</v>
      </c>
      <c r="G584" s="46" t="s">
        <v>8144</v>
      </c>
      <c r="H584" s="46"/>
      <c r="I584" s="51"/>
      <c r="J584" s="46" t="s">
        <v>8144</v>
      </c>
      <c r="K584" s="65" t="str">
        <f>IFERROR(VLOOKUP(D584,Sheet4!A$1:M$56,11,FALSE),"")</f>
        <v/>
      </c>
      <c r="L584" s="65" t="str">
        <f t="shared" si="9"/>
        <v>morphologically and genomically some Q. margaretiae</v>
      </c>
      <c r="M584" s="14" t="s">
        <v>1752</v>
      </c>
      <c r="N584" s="15">
        <v>44737</v>
      </c>
      <c r="O584" t="s">
        <v>2719</v>
      </c>
      <c r="P584" t="s">
        <v>51</v>
      </c>
      <c r="Q584" t="s">
        <v>52</v>
      </c>
      <c r="R584" t="s">
        <v>53</v>
      </c>
      <c r="S584" t="s">
        <v>54</v>
      </c>
      <c r="T584" t="s">
        <v>3368</v>
      </c>
      <c r="U584" t="s">
        <v>56</v>
      </c>
      <c r="V584" s="21" t="s">
        <v>3369</v>
      </c>
      <c r="W584" s="21"/>
      <c r="X584" t="s">
        <v>3464</v>
      </c>
      <c r="Y584" t="s">
        <v>3465</v>
      </c>
      <c r="AB584" t="s">
        <v>1758</v>
      </c>
      <c r="AC584" t="s">
        <v>1759</v>
      </c>
      <c r="AE584" s="15"/>
      <c r="AG584">
        <v>36.844152999999999</v>
      </c>
      <c r="AH584">
        <v>-96.427087999999998</v>
      </c>
      <c r="AI584" t="s">
        <v>1231</v>
      </c>
      <c r="AL584" t="s">
        <v>1715</v>
      </c>
      <c r="AM584" t="s">
        <v>63</v>
      </c>
      <c r="AN584" t="s">
        <v>3466</v>
      </c>
      <c r="AO584">
        <v>193529</v>
      </c>
      <c r="AQ584" t="s">
        <v>3467</v>
      </c>
      <c r="AR584" t="s">
        <v>3468</v>
      </c>
      <c r="AS584" t="s">
        <v>3469</v>
      </c>
      <c r="AT584" t="s">
        <v>68</v>
      </c>
      <c r="AV584" t="s">
        <v>3470</v>
      </c>
      <c r="AW584" t="s">
        <v>3471</v>
      </c>
      <c r="AX584" t="s">
        <v>3472</v>
      </c>
      <c r="BA584" s="14" t="s">
        <v>72</v>
      </c>
      <c r="BB584" s="14" t="s">
        <v>73</v>
      </c>
      <c r="BC584" s="14" t="s">
        <v>1768</v>
      </c>
    </row>
    <row r="585" spans="1:55" ht="15" customHeight="1" x14ac:dyDescent="0.4">
      <c r="A585" s="12">
        <v>3629</v>
      </c>
      <c r="B585" s="21" t="s">
        <v>3473</v>
      </c>
      <c r="C585" s="13" t="s">
        <v>3474</v>
      </c>
      <c r="D585" s="25" t="s">
        <v>3474</v>
      </c>
      <c r="E585" s="13"/>
      <c r="F585" s="41"/>
      <c r="G585" s="41"/>
      <c r="H585" s="41"/>
      <c r="I585" s="41"/>
      <c r="J585" s="41"/>
      <c r="K585" s="65" t="str">
        <f>IFERROR(VLOOKUP(D585,Sheet4!A$1:M$56,11,FALSE),"")</f>
        <v/>
      </c>
      <c r="L585" s="65" t="str">
        <f t="shared" si="9"/>
        <v/>
      </c>
      <c r="M585" s="14" t="s">
        <v>49</v>
      </c>
      <c r="N585" s="15">
        <v>44737</v>
      </c>
      <c r="O585" t="s">
        <v>2719</v>
      </c>
      <c r="P585" t="s">
        <v>51</v>
      </c>
      <c r="Q585" t="s">
        <v>52</v>
      </c>
      <c r="R585" t="s">
        <v>53</v>
      </c>
      <c r="S585" t="s">
        <v>54</v>
      </c>
      <c r="T585" t="s">
        <v>3368</v>
      </c>
      <c r="U585" t="s">
        <v>56</v>
      </c>
      <c r="V585" s="21" t="s">
        <v>3369</v>
      </c>
      <c r="W585" s="21"/>
      <c r="X585" t="s">
        <v>3475</v>
      </c>
      <c r="Y585" t="s">
        <v>3476</v>
      </c>
      <c r="AC585" t="s">
        <v>60</v>
      </c>
      <c r="AE585" s="15"/>
      <c r="AG585">
        <v>36.844363000000001</v>
      </c>
      <c r="AH585">
        <v>-96.426753000000005</v>
      </c>
      <c r="AI585" t="s">
        <v>3477</v>
      </c>
      <c r="AL585" t="s">
        <v>1715</v>
      </c>
      <c r="AM585" t="s">
        <v>63</v>
      </c>
      <c r="AN585" t="s">
        <v>3478</v>
      </c>
      <c r="AO585">
        <v>194202</v>
      </c>
      <c r="AQ585" t="s">
        <v>3479</v>
      </c>
      <c r="AR585" t="s">
        <v>3480</v>
      </c>
      <c r="AS585" t="s">
        <v>3481</v>
      </c>
      <c r="AT585" t="s">
        <v>68</v>
      </c>
      <c r="AV585" t="s">
        <v>3482</v>
      </c>
      <c r="AW585" t="s">
        <v>3483</v>
      </c>
      <c r="AX585" t="s">
        <v>3484</v>
      </c>
      <c r="BA585" s="14" t="s">
        <v>72</v>
      </c>
      <c r="BB585" s="14" t="s">
        <v>73</v>
      </c>
      <c r="BC585" s="14" t="s">
        <v>74</v>
      </c>
    </row>
    <row r="586" spans="1:55" ht="15" customHeight="1" x14ac:dyDescent="0.4">
      <c r="A586" s="12">
        <v>3630</v>
      </c>
      <c r="B586" s="21" t="s">
        <v>3485</v>
      </c>
      <c r="C586" s="13" t="s">
        <v>3486</v>
      </c>
      <c r="D586" s="25" t="s">
        <v>3486</v>
      </c>
      <c r="E586" s="13"/>
      <c r="F586" s="41"/>
      <c r="G586" s="41"/>
      <c r="H586" s="41"/>
      <c r="I586" s="41"/>
      <c r="J586" s="41"/>
      <c r="K586" s="65" t="str">
        <f>IFERROR(VLOOKUP(D586,Sheet4!A$1:M$56,11,FALSE),"")</f>
        <v/>
      </c>
      <c r="L586" s="65" t="str">
        <f t="shared" si="9"/>
        <v/>
      </c>
      <c r="M586" s="14" t="s">
        <v>1752</v>
      </c>
      <c r="N586" s="15">
        <v>44737</v>
      </c>
      <c r="O586" t="s">
        <v>2719</v>
      </c>
      <c r="P586" t="s">
        <v>51</v>
      </c>
      <c r="Q586" t="s">
        <v>52</v>
      </c>
      <c r="R586" t="s">
        <v>53</v>
      </c>
      <c r="S586" t="s">
        <v>54</v>
      </c>
      <c r="T586" t="s">
        <v>3368</v>
      </c>
      <c r="U586" t="s">
        <v>56</v>
      </c>
      <c r="V586" s="21" t="s">
        <v>3369</v>
      </c>
      <c r="W586" s="21"/>
      <c r="X586" t="s">
        <v>3487</v>
      </c>
      <c r="Y586" t="s">
        <v>3488</v>
      </c>
      <c r="AB586" t="s">
        <v>1758</v>
      </c>
      <c r="AC586" t="s">
        <v>1759</v>
      </c>
      <c r="AE586" s="15"/>
      <c r="AG586">
        <v>36.855210999999997</v>
      </c>
      <c r="AH586">
        <v>-96.423107000000002</v>
      </c>
      <c r="AI586" t="s">
        <v>3489</v>
      </c>
      <c r="AL586" t="s">
        <v>1715</v>
      </c>
      <c r="AM586" t="s">
        <v>63</v>
      </c>
      <c r="AN586" t="s">
        <v>3490</v>
      </c>
      <c r="AO586">
        <v>193530</v>
      </c>
      <c r="AQ586" t="s">
        <v>3491</v>
      </c>
      <c r="AR586" t="s">
        <v>3492</v>
      </c>
      <c r="AS586" t="s">
        <v>3493</v>
      </c>
      <c r="AT586" t="s">
        <v>68</v>
      </c>
      <c r="AV586" t="s">
        <v>3494</v>
      </c>
      <c r="AW586" t="s">
        <v>3495</v>
      </c>
      <c r="AX586" t="s">
        <v>3496</v>
      </c>
      <c r="BA586" s="14" t="s">
        <v>72</v>
      </c>
      <c r="BB586" s="14" t="s">
        <v>73</v>
      </c>
      <c r="BC586" s="14" t="s">
        <v>1768</v>
      </c>
    </row>
    <row r="587" spans="1:55" ht="15" customHeight="1" x14ac:dyDescent="0.4">
      <c r="A587" s="12">
        <v>3631</v>
      </c>
      <c r="B587" s="21" t="s">
        <v>3497</v>
      </c>
      <c r="C587" s="13" t="s">
        <v>3498</v>
      </c>
      <c r="D587" s="25" t="s">
        <v>3498</v>
      </c>
      <c r="E587" s="13"/>
      <c r="F587" s="41"/>
      <c r="G587" s="41"/>
      <c r="H587" s="41"/>
      <c r="I587" s="41"/>
      <c r="J587" s="41"/>
      <c r="K587" s="65" t="str">
        <f>IFERROR(VLOOKUP(D587,Sheet4!A$1:M$56,11,FALSE),"")</f>
        <v/>
      </c>
      <c r="L587" s="65" t="str">
        <f t="shared" si="9"/>
        <v/>
      </c>
      <c r="M587" s="14" t="s">
        <v>1752</v>
      </c>
      <c r="N587" s="15">
        <v>44737</v>
      </c>
      <c r="O587" t="s">
        <v>2719</v>
      </c>
      <c r="P587" t="s">
        <v>51</v>
      </c>
      <c r="Q587" t="s">
        <v>52</v>
      </c>
      <c r="R587" t="s">
        <v>53</v>
      </c>
      <c r="S587" t="s">
        <v>54</v>
      </c>
      <c r="T587" t="s">
        <v>3368</v>
      </c>
      <c r="U587" t="s">
        <v>56</v>
      </c>
      <c r="V587" s="21" t="s">
        <v>3369</v>
      </c>
      <c r="W587" s="21"/>
      <c r="X587" t="s">
        <v>3499</v>
      </c>
      <c r="Y587" t="s">
        <v>3500</v>
      </c>
      <c r="AB587" t="s">
        <v>1758</v>
      </c>
      <c r="AC587" t="s">
        <v>1759</v>
      </c>
      <c r="AE587" s="15"/>
      <c r="AG587">
        <v>36.847630000000002</v>
      </c>
      <c r="AH587">
        <v>-96.422002000000006</v>
      </c>
      <c r="AI587" t="s">
        <v>3501</v>
      </c>
      <c r="AL587" t="s">
        <v>1715</v>
      </c>
      <c r="AM587" t="s">
        <v>63</v>
      </c>
      <c r="AN587" t="s">
        <v>3502</v>
      </c>
      <c r="AO587">
        <v>193531</v>
      </c>
      <c r="AQ587" t="s">
        <v>3503</v>
      </c>
      <c r="AR587" t="s">
        <v>3504</v>
      </c>
      <c r="AS587" t="s">
        <v>3505</v>
      </c>
      <c r="AT587" t="s">
        <v>68</v>
      </c>
      <c r="AV587" t="s">
        <v>3506</v>
      </c>
      <c r="AW587" t="s">
        <v>3507</v>
      </c>
      <c r="AX587" t="s">
        <v>3508</v>
      </c>
      <c r="BA587" s="14" t="s">
        <v>72</v>
      </c>
      <c r="BB587" s="14" t="s">
        <v>73</v>
      </c>
      <c r="BC587" s="14" t="s">
        <v>1768</v>
      </c>
    </row>
    <row r="588" spans="1:55" ht="15" customHeight="1" x14ac:dyDescent="0.4">
      <c r="A588" s="12">
        <v>3632</v>
      </c>
      <c r="B588" s="21" t="s">
        <v>3509</v>
      </c>
      <c r="C588" s="13" t="s">
        <v>3510</v>
      </c>
      <c r="D588" s="25" t="s">
        <v>3510</v>
      </c>
      <c r="E588" s="13"/>
      <c r="F588" s="41"/>
      <c r="G588" s="41"/>
      <c r="H588" s="41"/>
      <c r="I588" s="41"/>
      <c r="J588" s="41"/>
      <c r="K588" s="65" t="str">
        <f>IFERROR(VLOOKUP(D588,Sheet4!A$1:M$56,11,FALSE),"")</f>
        <v/>
      </c>
      <c r="L588" s="65" t="str">
        <f t="shared" si="9"/>
        <v/>
      </c>
      <c r="M588" s="14" t="s">
        <v>1829</v>
      </c>
      <c r="N588" s="15">
        <v>44737</v>
      </c>
      <c r="O588" t="s">
        <v>2719</v>
      </c>
      <c r="P588" t="s">
        <v>51</v>
      </c>
      <c r="Q588" t="s">
        <v>52</v>
      </c>
      <c r="R588" t="s">
        <v>53</v>
      </c>
      <c r="S588" t="s">
        <v>54</v>
      </c>
      <c r="T588" t="s">
        <v>3368</v>
      </c>
      <c r="U588" t="s">
        <v>56</v>
      </c>
      <c r="V588" s="21" t="s">
        <v>3369</v>
      </c>
      <c r="W588" s="21"/>
      <c r="X588" t="s">
        <v>3511</v>
      </c>
      <c r="Y588" t="s">
        <v>3512</v>
      </c>
      <c r="AB588" t="s">
        <v>1758</v>
      </c>
      <c r="AC588" t="s">
        <v>1832</v>
      </c>
      <c r="AE588" s="15"/>
      <c r="AG588">
        <v>36.845999999999997</v>
      </c>
      <c r="AH588">
        <v>-96.428886000000006</v>
      </c>
      <c r="AI588" t="s">
        <v>3372</v>
      </c>
      <c r="AL588" t="s">
        <v>1715</v>
      </c>
      <c r="AM588" t="s">
        <v>63</v>
      </c>
      <c r="AN588" t="s">
        <v>3513</v>
      </c>
      <c r="AO588">
        <v>194436</v>
      </c>
      <c r="AQ588" t="s">
        <v>3514</v>
      </c>
      <c r="AR588" t="s">
        <v>3515</v>
      </c>
      <c r="AS588" t="s">
        <v>3516</v>
      </c>
      <c r="AT588" t="s">
        <v>68</v>
      </c>
      <c r="AV588" t="s">
        <v>3517</v>
      </c>
      <c r="AW588" t="s">
        <v>3518</v>
      </c>
      <c r="AX588" t="s">
        <v>3519</v>
      </c>
      <c r="BA588" s="14" t="s">
        <v>72</v>
      </c>
      <c r="BB588" s="14" t="s">
        <v>73</v>
      </c>
      <c r="BC588" s="14" t="s">
        <v>74</v>
      </c>
    </row>
    <row r="589" spans="1:55" ht="15" customHeight="1" x14ac:dyDescent="0.4">
      <c r="A589" s="12">
        <v>1903</v>
      </c>
      <c r="B589" t="s">
        <v>46</v>
      </c>
      <c r="D589" t="s">
        <v>47</v>
      </c>
      <c r="E589" s="13"/>
      <c r="F589" s="41"/>
      <c r="G589" s="41"/>
      <c r="H589" s="41"/>
      <c r="I589" s="41"/>
      <c r="J589" s="41"/>
      <c r="K589" s="65" t="str">
        <f>IFERROR(VLOOKUP(D589,Sheet4!A$1:M$56,11,FALSE),"")</f>
        <v/>
      </c>
      <c r="L589" s="65" t="str">
        <f t="shared" si="9"/>
        <v/>
      </c>
      <c r="M589" s="14" t="s">
        <v>49</v>
      </c>
      <c r="N589" s="15">
        <v>42907</v>
      </c>
      <c r="O589" t="s">
        <v>50</v>
      </c>
      <c r="P589" t="s">
        <v>51</v>
      </c>
      <c r="Q589" t="s">
        <v>52</v>
      </c>
      <c r="R589" t="s">
        <v>53</v>
      </c>
      <c r="S589" t="s">
        <v>54</v>
      </c>
      <c r="T589" t="s">
        <v>55</v>
      </c>
      <c r="U589" t="s">
        <v>56</v>
      </c>
      <c r="V589" t="s">
        <v>57</v>
      </c>
      <c r="W589" s="16" t="s">
        <v>58</v>
      </c>
      <c r="X589" t="s">
        <v>59</v>
      </c>
      <c r="AC589" t="s">
        <v>60</v>
      </c>
      <c r="AE589" s="15"/>
      <c r="AG589" s="17">
        <v>35.177030000000002</v>
      </c>
      <c r="AH589" s="17">
        <v>-97.450190000000006</v>
      </c>
      <c r="AI589" t="s">
        <v>61</v>
      </c>
      <c r="AL589" t="s">
        <v>62</v>
      </c>
      <c r="AM589" t="s">
        <v>63</v>
      </c>
      <c r="AN589" t="s">
        <v>64</v>
      </c>
      <c r="AO589">
        <v>185382</v>
      </c>
      <c r="AQ589" t="s">
        <v>65</v>
      </c>
      <c r="AR589" t="s">
        <v>66</v>
      </c>
      <c r="AS589" t="s">
        <v>67</v>
      </c>
      <c r="AT589" t="s">
        <v>68</v>
      </c>
      <c r="AV589" t="s">
        <v>69</v>
      </c>
      <c r="AW589" t="s">
        <v>70</v>
      </c>
      <c r="AX589" t="s">
        <v>71</v>
      </c>
      <c r="BA589" s="14" t="s">
        <v>72</v>
      </c>
      <c r="BB589" s="14" t="s">
        <v>73</v>
      </c>
      <c r="BC589" s="14" t="s">
        <v>74</v>
      </c>
    </row>
    <row r="590" spans="1:55" ht="15" customHeight="1" x14ac:dyDescent="0.4">
      <c r="A590" s="12">
        <v>1904</v>
      </c>
      <c r="B590" t="s">
        <v>75</v>
      </c>
      <c r="D590" t="s">
        <v>76</v>
      </c>
      <c r="E590" s="13"/>
      <c r="F590" s="41"/>
      <c r="G590" s="41"/>
      <c r="H590" s="41"/>
      <c r="I590" s="41"/>
      <c r="J590" s="41"/>
      <c r="K590" s="65" t="str">
        <f>IFERROR(VLOOKUP(D590,Sheet4!A$1:M$56,11,FALSE),"")</f>
        <v/>
      </c>
      <c r="L590" s="65" t="str">
        <f t="shared" si="9"/>
        <v/>
      </c>
      <c r="M590" s="14" t="s">
        <v>49</v>
      </c>
      <c r="N590" s="15">
        <v>42907</v>
      </c>
      <c r="O590" t="s">
        <v>50</v>
      </c>
      <c r="P590" t="s">
        <v>51</v>
      </c>
      <c r="Q590" t="s">
        <v>52</v>
      </c>
      <c r="R590" t="s">
        <v>53</v>
      </c>
      <c r="S590" t="s">
        <v>54</v>
      </c>
      <c r="T590" t="s">
        <v>55</v>
      </c>
      <c r="U590" t="s">
        <v>56</v>
      </c>
      <c r="V590" t="s">
        <v>57</v>
      </c>
      <c r="W590" s="16" t="s">
        <v>58</v>
      </c>
      <c r="X590" t="s">
        <v>77</v>
      </c>
      <c r="AC590" t="s">
        <v>78</v>
      </c>
      <c r="AD590" t="s">
        <v>79</v>
      </c>
      <c r="AE590" s="15">
        <v>45597</v>
      </c>
      <c r="AF590" t="s">
        <v>48</v>
      </c>
      <c r="AG590" s="17">
        <v>35.177050000000001</v>
      </c>
      <c r="AH590" s="17">
        <v>-97.449209999999994</v>
      </c>
      <c r="AI590" t="s">
        <v>80</v>
      </c>
      <c r="AL590" t="s">
        <v>62</v>
      </c>
      <c r="AM590" t="s">
        <v>63</v>
      </c>
      <c r="AN590" t="s">
        <v>81</v>
      </c>
      <c r="AO590">
        <v>185383</v>
      </c>
      <c r="AQ590" t="s">
        <v>82</v>
      </c>
      <c r="AR590" t="s">
        <v>83</v>
      </c>
      <c r="AS590" t="s">
        <v>84</v>
      </c>
      <c r="AT590" t="s">
        <v>68</v>
      </c>
      <c r="AV590" t="s">
        <v>86</v>
      </c>
      <c r="AW590" t="s">
        <v>87</v>
      </c>
      <c r="AX590" t="s">
        <v>88</v>
      </c>
      <c r="AY590" s="31" t="s">
        <v>89</v>
      </c>
      <c r="AZ590" s="31" t="s">
        <v>85</v>
      </c>
      <c r="BA590" s="14" t="s">
        <v>72</v>
      </c>
      <c r="BB590" s="14" t="s">
        <v>73</v>
      </c>
      <c r="BC590" s="14" t="s">
        <v>74</v>
      </c>
    </row>
    <row r="591" spans="1:55" ht="15" customHeight="1" x14ac:dyDescent="0.4">
      <c r="A591" s="12">
        <v>1905</v>
      </c>
      <c r="B591" t="s">
        <v>90</v>
      </c>
      <c r="D591" t="s">
        <v>91</v>
      </c>
      <c r="E591" s="13"/>
      <c r="F591" s="41"/>
      <c r="G591" s="41"/>
      <c r="H591" s="41"/>
      <c r="I591" s="41"/>
      <c r="J591" s="41"/>
      <c r="K591" s="65" t="str">
        <f>IFERROR(VLOOKUP(D591,Sheet4!A$1:M$56,11,FALSE),"")</f>
        <v/>
      </c>
      <c r="L591" s="65" t="str">
        <f t="shared" si="9"/>
        <v/>
      </c>
      <c r="M591" s="14" t="s">
        <v>49</v>
      </c>
      <c r="N591" s="15">
        <v>42907</v>
      </c>
      <c r="O591" t="s">
        <v>50</v>
      </c>
      <c r="P591" t="s">
        <v>51</v>
      </c>
      <c r="Q591" t="s">
        <v>52</v>
      </c>
      <c r="R591" t="s">
        <v>53</v>
      </c>
      <c r="S591" t="s">
        <v>54</v>
      </c>
      <c r="T591" t="s">
        <v>55</v>
      </c>
      <c r="U591" t="s">
        <v>56</v>
      </c>
      <c r="V591" t="s">
        <v>57</v>
      </c>
      <c r="W591" s="16" t="s">
        <v>58</v>
      </c>
      <c r="X591" t="s">
        <v>77</v>
      </c>
      <c r="AC591" t="s">
        <v>60</v>
      </c>
      <c r="AE591" s="15"/>
      <c r="AG591" s="17">
        <v>35.177219999999998</v>
      </c>
      <c r="AH591" s="17">
        <v>-97.449669999999998</v>
      </c>
      <c r="AI591" t="s">
        <v>92</v>
      </c>
      <c r="AL591" t="s">
        <v>62</v>
      </c>
      <c r="AM591" t="s">
        <v>63</v>
      </c>
      <c r="AN591" t="s">
        <v>93</v>
      </c>
      <c r="AO591">
        <v>185384</v>
      </c>
      <c r="AQ591" t="s">
        <v>94</v>
      </c>
      <c r="AR591" t="s">
        <v>95</v>
      </c>
      <c r="AS591" t="s">
        <v>96</v>
      </c>
      <c r="AT591" t="s">
        <v>68</v>
      </c>
      <c r="AV591" t="s">
        <v>97</v>
      </c>
      <c r="AW591" t="s">
        <v>98</v>
      </c>
      <c r="AX591" t="s">
        <v>99</v>
      </c>
      <c r="BA591" s="14" t="s">
        <v>72</v>
      </c>
      <c r="BB591" s="14" t="s">
        <v>73</v>
      </c>
      <c r="BC591" s="14" t="s">
        <v>74</v>
      </c>
    </row>
    <row r="592" spans="1:55" ht="15" customHeight="1" x14ac:dyDescent="0.4">
      <c r="A592" s="12">
        <v>1906</v>
      </c>
      <c r="B592" t="s">
        <v>100</v>
      </c>
      <c r="D592" t="s">
        <v>101</v>
      </c>
      <c r="E592" s="13"/>
      <c r="F592" s="41"/>
      <c r="G592" s="41"/>
      <c r="H592" s="41"/>
      <c r="I592" s="41"/>
      <c r="J592" s="41"/>
      <c r="K592" s="65" t="str">
        <f>IFERROR(VLOOKUP(D592,Sheet4!A$1:M$56,11,FALSE),"")</f>
        <v/>
      </c>
      <c r="L592" s="65" t="str">
        <f t="shared" si="9"/>
        <v/>
      </c>
      <c r="M592" s="14" t="s">
        <v>49</v>
      </c>
      <c r="N592" s="15">
        <v>42907</v>
      </c>
      <c r="O592" t="s">
        <v>50</v>
      </c>
      <c r="P592" t="s">
        <v>51</v>
      </c>
      <c r="Q592" t="s">
        <v>52</v>
      </c>
      <c r="R592" t="s">
        <v>53</v>
      </c>
      <c r="S592" t="s">
        <v>54</v>
      </c>
      <c r="T592" t="s">
        <v>55</v>
      </c>
      <c r="U592" t="s">
        <v>56</v>
      </c>
      <c r="V592" t="s">
        <v>57</v>
      </c>
      <c r="W592" s="16" t="s">
        <v>58</v>
      </c>
      <c r="X592" t="s">
        <v>77</v>
      </c>
      <c r="AC592" t="s">
        <v>60</v>
      </c>
      <c r="AE592" s="15"/>
      <c r="AG592" s="17">
        <v>35.177039999999998</v>
      </c>
      <c r="AH592" s="17">
        <v>-97.449770000000001</v>
      </c>
      <c r="AI592" t="s">
        <v>102</v>
      </c>
      <c r="AL592" t="s">
        <v>62</v>
      </c>
      <c r="AM592" t="s">
        <v>63</v>
      </c>
      <c r="AN592" t="s">
        <v>103</v>
      </c>
      <c r="AO592">
        <v>185385</v>
      </c>
      <c r="AQ592" t="s">
        <v>104</v>
      </c>
      <c r="AR592" t="s">
        <v>105</v>
      </c>
      <c r="AS592" t="s">
        <v>106</v>
      </c>
      <c r="AT592" t="s">
        <v>68</v>
      </c>
      <c r="AV592" t="s">
        <v>107</v>
      </c>
      <c r="AW592" t="s">
        <v>108</v>
      </c>
      <c r="AX592" t="s">
        <v>109</v>
      </c>
      <c r="BA592" s="14" t="s">
        <v>72</v>
      </c>
      <c r="BB592" s="14" t="s">
        <v>73</v>
      </c>
      <c r="BC592" s="14" t="s">
        <v>74</v>
      </c>
    </row>
    <row r="593" spans="1:55" ht="15" customHeight="1" x14ac:dyDescent="0.4">
      <c r="A593" s="12">
        <v>1907</v>
      </c>
      <c r="B593" t="s">
        <v>110</v>
      </c>
      <c r="D593" t="s">
        <v>111</v>
      </c>
      <c r="E593" s="13"/>
      <c r="F593" s="41"/>
      <c r="G593" s="41"/>
      <c r="H593" s="41"/>
      <c r="I593" s="41"/>
      <c r="J593" s="41"/>
      <c r="K593" s="65" t="str">
        <f>IFERROR(VLOOKUP(D593,Sheet4!A$1:M$56,11,FALSE),"")</f>
        <v/>
      </c>
      <c r="L593" s="65" t="str">
        <f t="shared" si="9"/>
        <v/>
      </c>
      <c r="M593" s="14" t="s">
        <v>49</v>
      </c>
      <c r="N593" s="15">
        <v>42907</v>
      </c>
      <c r="O593" t="s">
        <v>50</v>
      </c>
      <c r="P593" t="s">
        <v>51</v>
      </c>
      <c r="Q593" t="s">
        <v>52</v>
      </c>
      <c r="R593" t="s">
        <v>53</v>
      </c>
      <c r="S593" t="s">
        <v>54</v>
      </c>
      <c r="T593" t="s">
        <v>55</v>
      </c>
      <c r="U593" t="s">
        <v>56</v>
      </c>
      <c r="V593" t="s">
        <v>57</v>
      </c>
      <c r="W593" s="16" t="s">
        <v>58</v>
      </c>
      <c r="X593" t="s">
        <v>77</v>
      </c>
      <c r="AC593" t="s">
        <v>78</v>
      </c>
      <c r="AD593" t="s">
        <v>79</v>
      </c>
      <c r="AE593" s="15">
        <v>45597</v>
      </c>
      <c r="AF593" t="s">
        <v>48</v>
      </c>
      <c r="AG593" s="17">
        <v>35.176879999999997</v>
      </c>
      <c r="AH593" s="17">
        <v>-97.449700000000007</v>
      </c>
      <c r="AI593" t="s">
        <v>112</v>
      </c>
      <c r="AL593" t="s">
        <v>62</v>
      </c>
      <c r="AM593" t="s">
        <v>63</v>
      </c>
      <c r="AN593" t="s">
        <v>113</v>
      </c>
      <c r="AO593">
        <v>185386</v>
      </c>
      <c r="AQ593" t="s">
        <v>114</v>
      </c>
      <c r="AR593" t="s">
        <v>115</v>
      </c>
      <c r="AS593" t="s">
        <v>116</v>
      </c>
      <c r="AT593" t="s">
        <v>68</v>
      </c>
      <c r="AV593" t="s">
        <v>117</v>
      </c>
      <c r="AW593" t="s">
        <v>118</v>
      </c>
      <c r="AX593" t="s">
        <v>119</v>
      </c>
      <c r="AY593" s="31" t="s">
        <v>120</v>
      </c>
      <c r="AZ593" s="31" t="s">
        <v>85</v>
      </c>
      <c r="BA593" s="14" t="s">
        <v>72</v>
      </c>
      <c r="BB593" s="14" t="s">
        <v>73</v>
      </c>
      <c r="BC593" s="14" t="s">
        <v>74</v>
      </c>
    </row>
    <row r="594" spans="1:55" ht="15" customHeight="1" x14ac:dyDescent="0.4">
      <c r="A594" s="12">
        <v>1908</v>
      </c>
      <c r="B594" t="s">
        <v>121</v>
      </c>
      <c r="D594" t="s">
        <v>122</v>
      </c>
      <c r="E594" s="13"/>
      <c r="F594" s="41"/>
      <c r="G594" s="41"/>
      <c r="H594" s="41"/>
      <c r="I594" s="41"/>
      <c r="J594" s="41"/>
      <c r="K594" s="65" t="str">
        <f>IFERROR(VLOOKUP(D594,Sheet4!A$1:M$56,11,FALSE),"")</f>
        <v/>
      </c>
      <c r="L594" s="65" t="str">
        <f t="shared" si="9"/>
        <v/>
      </c>
      <c r="M594" s="14" t="s">
        <v>49</v>
      </c>
      <c r="N594" s="15">
        <v>42907</v>
      </c>
      <c r="O594" t="s">
        <v>50</v>
      </c>
      <c r="P594" t="s">
        <v>51</v>
      </c>
      <c r="Q594" t="s">
        <v>52</v>
      </c>
      <c r="R594" t="s">
        <v>53</v>
      </c>
      <c r="S594" t="s">
        <v>54</v>
      </c>
      <c r="T594" t="s">
        <v>55</v>
      </c>
      <c r="U594" t="s">
        <v>56</v>
      </c>
      <c r="V594" t="s">
        <v>57</v>
      </c>
      <c r="W594" s="16" t="s">
        <v>58</v>
      </c>
      <c r="X594" t="s">
        <v>77</v>
      </c>
      <c r="AC594" t="s">
        <v>60</v>
      </c>
      <c r="AE594" s="15"/>
      <c r="AG594" s="17">
        <v>35.176690000000001</v>
      </c>
      <c r="AH594" s="17">
        <v>-97.449879999999993</v>
      </c>
      <c r="AI594" t="s">
        <v>123</v>
      </c>
      <c r="AL594" t="s">
        <v>62</v>
      </c>
      <c r="AM594" t="s">
        <v>63</v>
      </c>
      <c r="AN594" t="s">
        <v>124</v>
      </c>
      <c r="AO594">
        <v>185387</v>
      </c>
      <c r="AQ594" t="s">
        <v>125</v>
      </c>
      <c r="AR594" t="s">
        <v>126</v>
      </c>
      <c r="AS594" t="s">
        <v>127</v>
      </c>
      <c r="AT594" t="s">
        <v>68</v>
      </c>
      <c r="AV594" t="s">
        <v>128</v>
      </c>
      <c r="AW594" t="s">
        <v>129</v>
      </c>
      <c r="AX594" t="s">
        <v>130</v>
      </c>
      <c r="BA594" s="14" t="s">
        <v>72</v>
      </c>
      <c r="BB594" s="14" t="s">
        <v>73</v>
      </c>
      <c r="BC594" s="14" t="s">
        <v>74</v>
      </c>
    </row>
    <row r="595" spans="1:55" ht="15" customHeight="1" x14ac:dyDescent="0.4">
      <c r="A595" s="12">
        <v>1909</v>
      </c>
      <c r="B595" t="s">
        <v>131</v>
      </c>
      <c r="D595" t="s">
        <v>132</v>
      </c>
      <c r="E595" s="13"/>
      <c r="F595" s="41"/>
      <c r="G595" s="41"/>
      <c r="H595" s="41"/>
      <c r="I595" s="41"/>
      <c r="J595" s="41"/>
      <c r="K595" s="65" t="str">
        <f>IFERROR(VLOOKUP(D595,Sheet4!A$1:M$56,11,FALSE),"")</f>
        <v/>
      </c>
      <c r="L595" s="65" t="str">
        <f t="shared" si="9"/>
        <v/>
      </c>
      <c r="M595" s="14" t="s">
        <v>49</v>
      </c>
      <c r="N595" s="15">
        <v>42907</v>
      </c>
      <c r="O595" t="s">
        <v>50</v>
      </c>
      <c r="P595" t="s">
        <v>51</v>
      </c>
      <c r="Q595" t="s">
        <v>52</v>
      </c>
      <c r="R595" t="s">
        <v>53</v>
      </c>
      <c r="S595" t="s">
        <v>54</v>
      </c>
      <c r="T595" t="s">
        <v>55</v>
      </c>
      <c r="U595" t="s">
        <v>56</v>
      </c>
      <c r="V595" t="s">
        <v>57</v>
      </c>
      <c r="W595" s="16" t="s">
        <v>58</v>
      </c>
      <c r="X595" t="s">
        <v>77</v>
      </c>
      <c r="AC595" t="s">
        <v>60</v>
      </c>
      <c r="AE595" s="15"/>
      <c r="AG595" s="17">
        <v>35.176349999999999</v>
      </c>
      <c r="AH595" s="17">
        <v>-97.450090000000003</v>
      </c>
      <c r="AI595" t="s">
        <v>133</v>
      </c>
      <c r="AL595" t="s">
        <v>62</v>
      </c>
      <c r="AM595" t="s">
        <v>63</v>
      </c>
      <c r="AN595" t="s">
        <v>134</v>
      </c>
      <c r="AO595">
        <v>185388</v>
      </c>
      <c r="AQ595" t="s">
        <v>135</v>
      </c>
      <c r="AR595" t="s">
        <v>136</v>
      </c>
      <c r="AS595" t="s">
        <v>137</v>
      </c>
      <c r="AT595" t="s">
        <v>68</v>
      </c>
      <c r="AV595" t="s">
        <v>138</v>
      </c>
      <c r="AW595" t="s">
        <v>139</v>
      </c>
      <c r="AX595" t="s">
        <v>140</v>
      </c>
      <c r="BA595" s="14" t="s">
        <v>72</v>
      </c>
      <c r="BB595" s="14" t="s">
        <v>73</v>
      </c>
      <c r="BC595" s="14" t="s">
        <v>74</v>
      </c>
    </row>
    <row r="596" spans="1:55" ht="15" customHeight="1" x14ac:dyDescent="0.4">
      <c r="A596" s="12">
        <v>1910</v>
      </c>
      <c r="B596" t="s">
        <v>141</v>
      </c>
      <c r="D596" t="s">
        <v>142</v>
      </c>
      <c r="E596" s="13"/>
      <c r="F596" s="41"/>
      <c r="G596" s="41"/>
      <c r="H596" s="41"/>
      <c r="I596" s="41"/>
      <c r="J596" s="41"/>
      <c r="K596" s="65" t="str">
        <f>IFERROR(VLOOKUP(D596,Sheet4!A$1:M$56,11,FALSE),"")</f>
        <v/>
      </c>
      <c r="L596" s="65" t="str">
        <f t="shared" si="9"/>
        <v/>
      </c>
      <c r="M596" s="14" t="s">
        <v>49</v>
      </c>
      <c r="N596" s="15">
        <v>42907</v>
      </c>
      <c r="O596" t="s">
        <v>50</v>
      </c>
      <c r="P596" t="s">
        <v>51</v>
      </c>
      <c r="Q596" t="s">
        <v>52</v>
      </c>
      <c r="R596" t="s">
        <v>53</v>
      </c>
      <c r="S596" t="s">
        <v>54</v>
      </c>
      <c r="T596" t="s">
        <v>55</v>
      </c>
      <c r="U596" t="s">
        <v>56</v>
      </c>
      <c r="V596" t="s">
        <v>57</v>
      </c>
      <c r="W596" s="16" t="s">
        <v>58</v>
      </c>
      <c r="X596" t="s">
        <v>77</v>
      </c>
      <c r="AC596" t="s">
        <v>60</v>
      </c>
      <c r="AE596" s="15"/>
      <c r="AG596" s="17">
        <v>35.176949999999998</v>
      </c>
      <c r="AH596" s="17">
        <v>-97.449960000000004</v>
      </c>
      <c r="AI596" t="s">
        <v>143</v>
      </c>
      <c r="AL596" t="s">
        <v>62</v>
      </c>
      <c r="AM596" t="s">
        <v>63</v>
      </c>
      <c r="AN596" t="s">
        <v>144</v>
      </c>
      <c r="AO596">
        <v>184679</v>
      </c>
      <c r="AQ596" t="s">
        <v>145</v>
      </c>
      <c r="AR596" t="s">
        <v>146</v>
      </c>
      <c r="AS596" t="s">
        <v>147</v>
      </c>
      <c r="AT596" t="s">
        <v>68</v>
      </c>
      <c r="AV596" t="s">
        <v>148</v>
      </c>
      <c r="AW596" t="s">
        <v>149</v>
      </c>
      <c r="AX596" t="s">
        <v>150</v>
      </c>
      <c r="BA596" s="14" t="s">
        <v>72</v>
      </c>
      <c r="BB596" s="14" t="s">
        <v>73</v>
      </c>
      <c r="BC596" s="14" t="s">
        <v>74</v>
      </c>
    </row>
    <row r="597" spans="1:55" ht="15" customHeight="1" x14ac:dyDescent="0.4">
      <c r="A597" s="12">
        <v>1911</v>
      </c>
      <c r="B597" t="s">
        <v>151</v>
      </c>
      <c r="D597" t="s">
        <v>152</v>
      </c>
      <c r="E597" s="13"/>
      <c r="F597" s="41"/>
      <c r="G597" s="41"/>
      <c r="H597" s="41"/>
      <c r="I597" s="41"/>
      <c r="J597" s="41"/>
      <c r="K597" s="65" t="str">
        <f>IFERROR(VLOOKUP(D597,Sheet4!A$1:M$56,11,FALSE),"")</f>
        <v/>
      </c>
      <c r="L597" s="65" t="str">
        <f t="shared" si="9"/>
        <v/>
      </c>
      <c r="M597" s="14" t="s">
        <v>49</v>
      </c>
      <c r="N597" s="15">
        <v>42907</v>
      </c>
      <c r="O597" t="s">
        <v>50</v>
      </c>
      <c r="P597" t="s">
        <v>51</v>
      </c>
      <c r="Q597" t="s">
        <v>52</v>
      </c>
      <c r="R597" t="s">
        <v>53</v>
      </c>
      <c r="S597" t="s">
        <v>54</v>
      </c>
      <c r="T597" t="s">
        <v>55</v>
      </c>
      <c r="U597" t="s">
        <v>56</v>
      </c>
      <c r="V597" t="s">
        <v>57</v>
      </c>
      <c r="W597" s="16" t="s">
        <v>58</v>
      </c>
      <c r="X597" t="s">
        <v>77</v>
      </c>
      <c r="AC597" t="s">
        <v>60</v>
      </c>
      <c r="AE597" s="15"/>
      <c r="AG597" s="17">
        <v>35.177140000000001</v>
      </c>
      <c r="AH597" s="17">
        <v>-97.450050000000005</v>
      </c>
      <c r="AI597" t="s">
        <v>153</v>
      </c>
      <c r="AL597" t="s">
        <v>62</v>
      </c>
      <c r="AM597" t="s">
        <v>63</v>
      </c>
      <c r="AN597" t="s">
        <v>154</v>
      </c>
      <c r="AO597">
        <v>185825</v>
      </c>
      <c r="AQ597" t="s">
        <v>155</v>
      </c>
      <c r="AR597" t="s">
        <v>156</v>
      </c>
      <c r="AS597" t="s">
        <v>157</v>
      </c>
      <c r="AT597" t="s">
        <v>68</v>
      </c>
      <c r="AV597" t="s">
        <v>158</v>
      </c>
      <c r="AW597" t="s">
        <v>159</v>
      </c>
      <c r="AX597" t="s">
        <v>160</v>
      </c>
      <c r="BA597" s="14" t="s">
        <v>72</v>
      </c>
      <c r="BB597" s="14" t="s">
        <v>73</v>
      </c>
      <c r="BC597" s="14" t="s">
        <v>74</v>
      </c>
    </row>
    <row r="598" spans="1:55" ht="15" customHeight="1" x14ac:dyDescent="0.4">
      <c r="A598" s="12">
        <v>1912</v>
      </c>
      <c r="B598" t="s">
        <v>161</v>
      </c>
      <c r="D598" t="s">
        <v>162</v>
      </c>
      <c r="E598" s="13"/>
      <c r="F598" s="41"/>
      <c r="G598" s="41"/>
      <c r="H598" s="41"/>
      <c r="I598" s="41"/>
      <c r="J598" s="41"/>
      <c r="K598" s="65" t="str">
        <f>IFERROR(VLOOKUP(D598,Sheet4!A$1:M$56,11,FALSE),"")</f>
        <v/>
      </c>
      <c r="L598" s="65" t="str">
        <f t="shared" si="9"/>
        <v/>
      </c>
      <c r="M598" s="14" t="s">
        <v>49</v>
      </c>
      <c r="N598" s="15">
        <v>42907</v>
      </c>
      <c r="O598" t="s">
        <v>50</v>
      </c>
      <c r="P598" t="s">
        <v>51</v>
      </c>
      <c r="Q598" t="s">
        <v>52</v>
      </c>
      <c r="R598" t="s">
        <v>53</v>
      </c>
      <c r="S598" t="s">
        <v>54</v>
      </c>
      <c r="T598" t="s">
        <v>55</v>
      </c>
      <c r="U598" t="s">
        <v>56</v>
      </c>
      <c r="V598" t="s">
        <v>57</v>
      </c>
      <c r="W598" s="16" t="s">
        <v>58</v>
      </c>
      <c r="X598" t="s">
        <v>77</v>
      </c>
      <c r="AC598" t="s">
        <v>78</v>
      </c>
      <c r="AD598" t="s">
        <v>79</v>
      </c>
      <c r="AE598" s="15">
        <v>45597</v>
      </c>
      <c r="AF598" t="s">
        <v>48</v>
      </c>
      <c r="AG598" s="17">
        <v>35.177219999999998</v>
      </c>
      <c r="AH598" s="17">
        <v>-97.450029999999998</v>
      </c>
      <c r="AI598" t="s">
        <v>163</v>
      </c>
      <c r="AL598" t="s">
        <v>62</v>
      </c>
      <c r="AM598" t="s">
        <v>63</v>
      </c>
      <c r="AN598" t="s">
        <v>164</v>
      </c>
      <c r="AO598">
        <v>185389</v>
      </c>
      <c r="AQ598" t="s">
        <v>165</v>
      </c>
      <c r="AR598" t="s">
        <v>166</v>
      </c>
      <c r="AS598" t="s">
        <v>167</v>
      </c>
      <c r="AT598" t="s">
        <v>68</v>
      </c>
      <c r="AV598" t="s">
        <v>168</v>
      </c>
      <c r="AW598" t="s">
        <v>169</v>
      </c>
      <c r="AX598" t="s">
        <v>170</v>
      </c>
      <c r="AY598" s="31" t="s">
        <v>171</v>
      </c>
      <c r="AZ598" s="31" t="s">
        <v>85</v>
      </c>
      <c r="BA598" s="14" t="s">
        <v>72</v>
      </c>
      <c r="BB598" s="14" t="s">
        <v>73</v>
      </c>
      <c r="BC598" s="14" t="s">
        <v>74</v>
      </c>
    </row>
    <row r="599" spans="1:55" ht="15" customHeight="1" x14ac:dyDescent="0.4">
      <c r="A599" s="33">
        <v>2066</v>
      </c>
      <c r="B599" s="34" t="s">
        <v>713</v>
      </c>
      <c r="C599" s="34"/>
      <c r="D599" s="34" t="s">
        <v>714</v>
      </c>
      <c r="E599" s="35"/>
      <c r="F599" s="42"/>
      <c r="G599" s="42"/>
      <c r="H599" s="42"/>
      <c r="I599" s="42"/>
      <c r="J599" s="42"/>
      <c r="K599" s="65" t="str">
        <f>IFERROR(VLOOKUP(D599,Sheet4!A$1:M$56,11,FALSE),"")</f>
        <v/>
      </c>
      <c r="L599" s="65" t="str">
        <f t="shared" si="9"/>
        <v/>
      </c>
      <c r="M599" s="34" t="s">
        <v>49</v>
      </c>
      <c r="N599" s="36"/>
      <c r="O599" s="34" t="s">
        <v>649</v>
      </c>
      <c r="P599" s="34" t="s">
        <v>51</v>
      </c>
      <c r="Q599" s="36" t="s">
        <v>650</v>
      </c>
      <c r="R599" s="34" t="s">
        <v>53</v>
      </c>
      <c r="S599" s="34" t="s">
        <v>651</v>
      </c>
      <c r="T599" s="34" t="s">
        <v>715</v>
      </c>
      <c r="U599" s="34" t="s">
        <v>56</v>
      </c>
      <c r="V599" s="37" t="s">
        <v>716</v>
      </c>
      <c r="W599" s="34"/>
      <c r="X599" s="34" t="s">
        <v>717</v>
      </c>
      <c r="Y599" s="34" t="s">
        <v>655</v>
      </c>
      <c r="Z599" s="34"/>
      <c r="AA599" s="34"/>
      <c r="AB599" s="34"/>
      <c r="AC599" s="34" t="s">
        <v>49</v>
      </c>
      <c r="AD599" s="34"/>
      <c r="AE599" s="36"/>
      <c r="AF599" s="34"/>
      <c r="AG599" s="34">
        <v>38.842944000000003</v>
      </c>
      <c r="AH599" s="34">
        <v>-97.588909000000001</v>
      </c>
      <c r="AI599" s="34"/>
      <c r="AJ599" s="34"/>
      <c r="AK599" s="34"/>
      <c r="AL599" s="34" t="s">
        <v>62</v>
      </c>
      <c r="AM599" s="34" t="s">
        <v>63</v>
      </c>
      <c r="AN599" s="38" t="s">
        <v>718</v>
      </c>
      <c r="AO599" s="34">
        <v>185356</v>
      </c>
      <c r="AP599" s="34" t="s">
        <v>719</v>
      </c>
      <c r="AQ599" s="34" t="s">
        <v>720</v>
      </c>
      <c r="AR599" s="34" t="s">
        <v>721</v>
      </c>
      <c r="AS599" s="39" t="s">
        <v>722</v>
      </c>
      <c r="AT599" s="34" t="s">
        <v>68</v>
      </c>
      <c r="AU599" s="34"/>
      <c r="AV599" s="34" t="s">
        <v>723</v>
      </c>
      <c r="AW599" s="34" t="s">
        <v>724</v>
      </c>
      <c r="AX599" s="34" t="s">
        <v>725</v>
      </c>
      <c r="BA599" s="34" t="s">
        <v>72</v>
      </c>
      <c r="BB599" s="34" t="s">
        <v>73</v>
      </c>
      <c r="BC599" s="34" t="s">
        <v>74</v>
      </c>
    </row>
    <row r="600" spans="1:55" ht="15" customHeight="1" x14ac:dyDescent="0.4">
      <c r="A600" s="33">
        <v>2067</v>
      </c>
      <c r="B600" s="34" t="s">
        <v>726</v>
      </c>
      <c r="C600" s="34"/>
      <c r="D600" s="34" t="s">
        <v>727</v>
      </c>
      <c r="E600" s="35"/>
      <c r="F600" s="42"/>
      <c r="G600" s="42"/>
      <c r="H600" s="42"/>
      <c r="I600" s="42"/>
      <c r="J600" s="42"/>
      <c r="K600" s="65" t="str">
        <f>IFERROR(VLOOKUP(D600,Sheet4!A$1:M$56,11,FALSE),"")</f>
        <v/>
      </c>
      <c r="L600" s="65" t="str">
        <f t="shared" si="9"/>
        <v/>
      </c>
      <c r="M600" s="34" t="s">
        <v>49</v>
      </c>
      <c r="N600" s="36"/>
      <c r="O600" s="34" t="s">
        <v>649</v>
      </c>
      <c r="P600" s="34" t="s">
        <v>51</v>
      </c>
      <c r="Q600" s="36" t="s">
        <v>650</v>
      </c>
      <c r="R600" s="34" t="s">
        <v>53</v>
      </c>
      <c r="S600" s="34" t="s">
        <v>651</v>
      </c>
      <c r="T600" s="34" t="s">
        <v>715</v>
      </c>
      <c r="U600" s="34" t="s">
        <v>56</v>
      </c>
      <c r="V600" s="37" t="s">
        <v>716</v>
      </c>
      <c r="W600" s="34"/>
      <c r="X600" s="34" t="s">
        <v>717</v>
      </c>
      <c r="Y600" s="34" t="s">
        <v>655</v>
      </c>
      <c r="Z600" s="34"/>
      <c r="AA600" s="34"/>
      <c r="AB600" s="34"/>
      <c r="AC600" s="34" t="s">
        <v>49</v>
      </c>
      <c r="AD600" s="34"/>
      <c r="AE600" s="36"/>
      <c r="AF600" s="34"/>
      <c r="AG600" s="34">
        <v>38.842944000000003</v>
      </c>
      <c r="AH600" s="34">
        <v>-97.588909000000001</v>
      </c>
      <c r="AI600" s="34"/>
      <c r="AJ600" s="34"/>
      <c r="AK600" s="34"/>
      <c r="AL600" s="34" t="s">
        <v>62</v>
      </c>
      <c r="AM600" s="34" t="s">
        <v>63</v>
      </c>
      <c r="AN600" s="38" t="s">
        <v>718</v>
      </c>
      <c r="AO600" s="34">
        <v>185356</v>
      </c>
      <c r="AP600" s="34" t="s">
        <v>719</v>
      </c>
      <c r="AQ600" s="34" t="s">
        <v>720</v>
      </c>
      <c r="AR600" s="34" t="s">
        <v>721</v>
      </c>
      <c r="AS600" s="34" t="s">
        <v>722</v>
      </c>
      <c r="AT600" s="34" t="s">
        <v>68</v>
      </c>
      <c r="AU600" s="34"/>
      <c r="AV600" s="34" t="s">
        <v>728</v>
      </c>
      <c r="AW600" s="34" t="s">
        <v>729</v>
      </c>
      <c r="AX600" s="34" t="s">
        <v>730</v>
      </c>
      <c r="BA600" s="34" t="s">
        <v>72</v>
      </c>
      <c r="BB600" s="34" t="s">
        <v>73</v>
      </c>
      <c r="BC600" s="34" t="s">
        <v>74</v>
      </c>
    </row>
    <row r="601" spans="1:55" ht="15" customHeight="1" x14ac:dyDescent="0.4">
      <c r="A601" s="33">
        <v>2068</v>
      </c>
      <c r="B601" s="34" t="s">
        <v>731</v>
      </c>
      <c r="C601" s="34"/>
      <c r="D601" s="34" t="s">
        <v>732</v>
      </c>
      <c r="E601" s="35"/>
      <c r="F601" s="42"/>
      <c r="G601" s="42"/>
      <c r="H601" s="42"/>
      <c r="I601" s="42"/>
      <c r="J601" s="42"/>
      <c r="K601" s="65" t="str">
        <f>IFERROR(VLOOKUP(D601,Sheet4!A$1:M$56,11,FALSE),"")</f>
        <v/>
      </c>
      <c r="L601" s="65" t="str">
        <f t="shared" si="9"/>
        <v/>
      </c>
      <c r="M601" s="34" t="s">
        <v>49</v>
      </c>
      <c r="N601" s="36"/>
      <c r="O601" s="34" t="s">
        <v>649</v>
      </c>
      <c r="P601" s="34" t="s">
        <v>51</v>
      </c>
      <c r="Q601" s="36" t="s">
        <v>650</v>
      </c>
      <c r="R601" s="34" t="s">
        <v>53</v>
      </c>
      <c r="S601" s="34" t="s">
        <v>651</v>
      </c>
      <c r="T601" s="34" t="s">
        <v>715</v>
      </c>
      <c r="U601" s="34" t="s">
        <v>56</v>
      </c>
      <c r="V601" s="37" t="s">
        <v>716</v>
      </c>
      <c r="W601" s="34"/>
      <c r="X601" s="34" t="s">
        <v>717</v>
      </c>
      <c r="Y601" s="34" t="s">
        <v>655</v>
      </c>
      <c r="Z601" s="34"/>
      <c r="AA601" s="34"/>
      <c r="AB601" s="34"/>
      <c r="AC601" s="34" t="s">
        <v>49</v>
      </c>
      <c r="AD601" s="34"/>
      <c r="AE601" s="36"/>
      <c r="AF601" s="34"/>
      <c r="AG601" s="34">
        <v>38.842944000000003</v>
      </c>
      <c r="AH601" s="34">
        <v>-97.588909000000001</v>
      </c>
      <c r="AI601" s="34"/>
      <c r="AJ601" s="34"/>
      <c r="AK601" s="34"/>
      <c r="AL601" s="34" t="s">
        <v>62</v>
      </c>
      <c r="AM601" s="34" t="s">
        <v>63</v>
      </c>
      <c r="AN601" s="38" t="s">
        <v>718</v>
      </c>
      <c r="AO601" s="34">
        <v>185356</v>
      </c>
      <c r="AP601" s="34" t="s">
        <v>719</v>
      </c>
      <c r="AQ601" s="34" t="s">
        <v>720</v>
      </c>
      <c r="AR601" s="34" t="s">
        <v>721</v>
      </c>
      <c r="AS601" s="34" t="s">
        <v>722</v>
      </c>
      <c r="AT601" s="34" t="s">
        <v>68</v>
      </c>
      <c r="AU601" s="34"/>
      <c r="AV601" s="34" t="s">
        <v>733</v>
      </c>
      <c r="AW601" s="34" t="s">
        <v>734</v>
      </c>
      <c r="AX601" s="34" t="s">
        <v>735</v>
      </c>
      <c r="AY601" s="31" t="s">
        <v>736</v>
      </c>
      <c r="AZ601" s="31" t="s">
        <v>85</v>
      </c>
      <c r="BA601" s="34" t="s">
        <v>72</v>
      </c>
      <c r="BB601" s="34" t="s">
        <v>73</v>
      </c>
      <c r="BC601" s="34" t="s">
        <v>74</v>
      </c>
    </row>
    <row r="602" spans="1:55" ht="15" customHeight="1" x14ac:dyDescent="0.4">
      <c r="A602" s="33">
        <v>2069</v>
      </c>
      <c r="B602" s="34" t="s">
        <v>737</v>
      </c>
      <c r="C602" s="34"/>
      <c r="D602" s="34" t="s">
        <v>738</v>
      </c>
      <c r="E602" s="35"/>
      <c r="F602" s="42"/>
      <c r="G602" s="42"/>
      <c r="H602" s="42"/>
      <c r="I602" s="42"/>
      <c r="J602" s="42"/>
      <c r="K602" s="65" t="str">
        <f>IFERROR(VLOOKUP(D602,Sheet4!A$1:M$56,11,FALSE),"")</f>
        <v/>
      </c>
      <c r="L602" s="65" t="str">
        <f t="shared" si="9"/>
        <v/>
      </c>
      <c r="M602" s="34" t="s">
        <v>49</v>
      </c>
      <c r="N602" s="36"/>
      <c r="O602" s="34" t="s">
        <v>649</v>
      </c>
      <c r="P602" s="34" t="s">
        <v>51</v>
      </c>
      <c r="Q602" s="36" t="s">
        <v>650</v>
      </c>
      <c r="R602" s="34" t="s">
        <v>53</v>
      </c>
      <c r="S602" s="34" t="s">
        <v>651</v>
      </c>
      <c r="T602" s="34" t="s">
        <v>715</v>
      </c>
      <c r="U602" s="34" t="s">
        <v>56</v>
      </c>
      <c r="V602" s="37" t="s">
        <v>716</v>
      </c>
      <c r="W602" s="34"/>
      <c r="X602" s="34" t="s">
        <v>717</v>
      </c>
      <c r="Y602" s="34" t="s">
        <v>655</v>
      </c>
      <c r="Z602" s="34"/>
      <c r="AA602" s="34"/>
      <c r="AB602" s="34"/>
      <c r="AC602" s="34" t="s">
        <v>49</v>
      </c>
      <c r="AD602" s="34"/>
      <c r="AE602" s="36"/>
      <c r="AF602" s="34"/>
      <c r="AG602" s="34">
        <v>38.842944000000003</v>
      </c>
      <c r="AH602" s="34">
        <v>-97.588909000000001</v>
      </c>
      <c r="AI602" s="34"/>
      <c r="AJ602" s="34"/>
      <c r="AK602" s="34"/>
      <c r="AL602" s="34" t="s">
        <v>62</v>
      </c>
      <c r="AM602" s="34" t="s">
        <v>63</v>
      </c>
      <c r="AN602" s="38" t="s">
        <v>718</v>
      </c>
      <c r="AO602" s="34">
        <v>185356</v>
      </c>
      <c r="AP602" s="34" t="s">
        <v>719</v>
      </c>
      <c r="AQ602" s="34" t="s">
        <v>720</v>
      </c>
      <c r="AR602" s="34" t="s">
        <v>721</v>
      </c>
      <c r="AS602" s="34" t="s">
        <v>722</v>
      </c>
      <c r="AT602" s="34" t="s">
        <v>68</v>
      </c>
      <c r="AU602" s="34"/>
      <c r="AV602" s="34" t="s">
        <v>739</v>
      </c>
      <c r="AW602" s="34" t="s">
        <v>740</v>
      </c>
      <c r="AX602" s="34" t="s">
        <v>741</v>
      </c>
      <c r="AY602" s="31" t="s">
        <v>742</v>
      </c>
      <c r="AZ602" s="31" t="s">
        <v>85</v>
      </c>
      <c r="BA602" s="34" t="s">
        <v>72</v>
      </c>
      <c r="BB602" s="34" t="s">
        <v>73</v>
      </c>
      <c r="BC602" s="34" t="s">
        <v>74</v>
      </c>
    </row>
    <row r="603" spans="1:55" ht="15" customHeight="1" x14ac:dyDescent="0.4">
      <c r="A603" s="33">
        <v>2070</v>
      </c>
      <c r="B603" s="34" t="s">
        <v>743</v>
      </c>
      <c r="C603" s="34"/>
      <c r="D603" s="34" t="s">
        <v>744</v>
      </c>
      <c r="E603" s="35"/>
      <c r="F603" s="42"/>
      <c r="G603" s="42"/>
      <c r="H603" s="42"/>
      <c r="I603" s="42"/>
      <c r="J603" s="42"/>
      <c r="K603" s="65" t="str">
        <f>IFERROR(VLOOKUP(D603,Sheet4!A$1:M$56,11,FALSE),"")</f>
        <v/>
      </c>
      <c r="L603" s="65" t="str">
        <f t="shared" si="9"/>
        <v/>
      </c>
      <c r="M603" s="34" t="s">
        <v>49</v>
      </c>
      <c r="N603" s="36"/>
      <c r="O603" s="34" t="s">
        <v>649</v>
      </c>
      <c r="P603" s="34" t="s">
        <v>51</v>
      </c>
      <c r="Q603" s="36" t="s">
        <v>650</v>
      </c>
      <c r="R603" s="34" t="s">
        <v>53</v>
      </c>
      <c r="S603" s="34" t="s">
        <v>651</v>
      </c>
      <c r="T603" s="34" t="s">
        <v>715</v>
      </c>
      <c r="U603" s="34" t="s">
        <v>56</v>
      </c>
      <c r="V603" s="37" t="s">
        <v>716</v>
      </c>
      <c r="W603" s="34"/>
      <c r="X603" s="34" t="s">
        <v>717</v>
      </c>
      <c r="Y603" s="34" t="s">
        <v>655</v>
      </c>
      <c r="Z603" s="34"/>
      <c r="AA603" s="34"/>
      <c r="AB603" s="34"/>
      <c r="AC603" s="34" t="s">
        <v>49</v>
      </c>
      <c r="AD603" s="34"/>
      <c r="AE603" s="36"/>
      <c r="AF603" s="34"/>
      <c r="AG603" s="34">
        <v>38.842944000000003</v>
      </c>
      <c r="AH603" s="34">
        <v>-97.588909000000001</v>
      </c>
      <c r="AI603" s="34"/>
      <c r="AJ603" s="34"/>
      <c r="AK603" s="34"/>
      <c r="AL603" s="34" t="s">
        <v>62</v>
      </c>
      <c r="AM603" s="34" t="s">
        <v>63</v>
      </c>
      <c r="AN603" s="38" t="s">
        <v>718</v>
      </c>
      <c r="AO603" s="34">
        <v>185356</v>
      </c>
      <c r="AP603" s="34" t="s">
        <v>719</v>
      </c>
      <c r="AQ603" s="34" t="s">
        <v>720</v>
      </c>
      <c r="AR603" s="34" t="s">
        <v>721</v>
      </c>
      <c r="AS603" s="34" t="s">
        <v>722</v>
      </c>
      <c r="AT603" s="34" t="s">
        <v>68</v>
      </c>
      <c r="AU603" s="34"/>
      <c r="AV603" s="34" t="s">
        <v>745</v>
      </c>
      <c r="AW603" s="34" t="s">
        <v>746</v>
      </c>
      <c r="AX603" s="34" t="s">
        <v>747</v>
      </c>
      <c r="BA603" s="34" t="s">
        <v>72</v>
      </c>
      <c r="BB603" s="34" t="s">
        <v>73</v>
      </c>
      <c r="BC603" s="34" t="s">
        <v>74</v>
      </c>
    </row>
    <row r="604" spans="1:55" ht="15" customHeight="1" x14ac:dyDescent="0.4">
      <c r="A604" s="33">
        <v>2071</v>
      </c>
      <c r="B604" s="34" t="s">
        <v>748</v>
      </c>
      <c r="C604" s="34"/>
      <c r="D604" s="34" t="s">
        <v>749</v>
      </c>
      <c r="E604" s="35"/>
      <c r="F604" s="42"/>
      <c r="G604" s="42"/>
      <c r="H604" s="42"/>
      <c r="I604" s="42"/>
      <c r="J604" s="42"/>
      <c r="K604" s="65" t="str">
        <f>IFERROR(VLOOKUP(D604,Sheet4!A$1:M$56,11,FALSE),"")</f>
        <v/>
      </c>
      <c r="L604" s="65" t="str">
        <f t="shared" si="9"/>
        <v/>
      </c>
      <c r="M604" s="34" t="s">
        <v>49</v>
      </c>
      <c r="N604" s="36"/>
      <c r="O604" s="34" t="s">
        <v>649</v>
      </c>
      <c r="P604" s="34" t="s">
        <v>51</v>
      </c>
      <c r="Q604" s="36" t="s">
        <v>650</v>
      </c>
      <c r="R604" s="34" t="s">
        <v>53</v>
      </c>
      <c r="S604" s="34" t="s">
        <v>651</v>
      </c>
      <c r="T604" s="34" t="s">
        <v>715</v>
      </c>
      <c r="U604" s="34" t="s">
        <v>56</v>
      </c>
      <c r="V604" s="37" t="s">
        <v>716</v>
      </c>
      <c r="W604" s="34"/>
      <c r="X604" s="34" t="s">
        <v>717</v>
      </c>
      <c r="Y604" s="34" t="s">
        <v>655</v>
      </c>
      <c r="Z604" s="34"/>
      <c r="AA604" s="34"/>
      <c r="AB604" s="34"/>
      <c r="AC604" s="34" t="s">
        <v>49</v>
      </c>
      <c r="AD604" s="34"/>
      <c r="AE604" s="36"/>
      <c r="AF604" s="34"/>
      <c r="AG604" s="34">
        <v>38.842944000000003</v>
      </c>
      <c r="AH604" s="34">
        <v>-97.588909000000001</v>
      </c>
      <c r="AI604" s="34"/>
      <c r="AJ604" s="34"/>
      <c r="AK604" s="34"/>
      <c r="AL604" s="34" t="s">
        <v>62</v>
      </c>
      <c r="AM604" s="34" t="s">
        <v>63</v>
      </c>
      <c r="AN604" s="38" t="s">
        <v>718</v>
      </c>
      <c r="AO604" s="34">
        <v>185356</v>
      </c>
      <c r="AP604" s="34" t="s">
        <v>719</v>
      </c>
      <c r="AQ604" s="34" t="s">
        <v>720</v>
      </c>
      <c r="AR604" s="34" t="s">
        <v>721</v>
      </c>
      <c r="AS604" s="34" t="s">
        <v>722</v>
      </c>
      <c r="AT604" s="34" t="s">
        <v>68</v>
      </c>
      <c r="AU604" s="34"/>
      <c r="AV604" s="34" t="s">
        <v>750</v>
      </c>
      <c r="AW604" s="34" t="s">
        <v>751</v>
      </c>
      <c r="AX604" s="34" t="s">
        <v>752</v>
      </c>
      <c r="BA604" s="34" t="s">
        <v>72</v>
      </c>
      <c r="BB604" s="34" t="s">
        <v>73</v>
      </c>
      <c r="BC604" s="34" t="s">
        <v>74</v>
      </c>
    </row>
    <row r="605" spans="1:55" ht="15" customHeight="1" x14ac:dyDescent="0.4">
      <c r="A605" s="12">
        <v>3633</v>
      </c>
      <c r="B605" s="21" t="s">
        <v>3520</v>
      </c>
      <c r="C605" s="13" t="s">
        <v>3521</v>
      </c>
      <c r="D605" s="25" t="s">
        <v>3521</v>
      </c>
      <c r="E605" s="13"/>
      <c r="F605" s="41"/>
      <c r="G605" s="41"/>
      <c r="H605" s="41"/>
      <c r="I605" s="41"/>
      <c r="J605" s="41"/>
      <c r="K605" s="65" t="str">
        <f>IFERROR(VLOOKUP(D605,Sheet4!A$1:M$56,11,FALSE),"")</f>
        <v/>
      </c>
      <c r="L605" s="65" t="str">
        <f t="shared" si="9"/>
        <v/>
      </c>
      <c r="M605" s="14" t="s">
        <v>49</v>
      </c>
      <c r="N605" s="15">
        <v>44753</v>
      </c>
      <c r="O605" t="s">
        <v>3522</v>
      </c>
      <c r="P605" t="s">
        <v>51</v>
      </c>
      <c r="Q605" t="s">
        <v>52</v>
      </c>
      <c r="R605" t="s">
        <v>53</v>
      </c>
      <c r="S605" t="s">
        <v>3523</v>
      </c>
      <c r="T605" t="s">
        <v>3524</v>
      </c>
      <c r="U605" t="s">
        <v>56</v>
      </c>
      <c r="V605" s="21" t="s">
        <v>3525</v>
      </c>
      <c r="W605" s="21"/>
      <c r="X605" t="s">
        <v>3526</v>
      </c>
      <c r="Y605" t="s">
        <v>3527</v>
      </c>
      <c r="AB605" t="s">
        <v>2440</v>
      </c>
      <c r="AC605" t="s">
        <v>60</v>
      </c>
      <c r="AE605" s="15"/>
      <c r="AG605">
        <v>36.375796999999999</v>
      </c>
      <c r="AH605">
        <v>-86.357923</v>
      </c>
      <c r="AI605" t="s">
        <v>3528</v>
      </c>
      <c r="AL605" t="s">
        <v>1715</v>
      </c>
      <c r="AM605" t="s">
        <v>63</v>
      </c>
      <c r="AN605" t="s">
        <v>3529</v>
      </c>
      <c r="AO605">
        <v>192644</v>
      </c>
      <c r="AQ605" t="s">
        <v>3530</v>
      </c>
      <c r="AR605" t="s">
        <v>3531</v>
      </c>
      <c r="AS605" t="s">
        <v>3532</v>
      </c>
      <c r="AT605" t="s">
        <v>68</v>
      </c>
      <c r="AV605" t="s">
        <v>3533</v>
      </c>
      <c r="AW605" t="s">
        <v>3534</v>
      </c>
      <c r="AX605" t="s">
        <v>3535</v>
      </c>
      <c r="BA605" s="14" t="s">
        <v>72</v>
      </c>
      <c r="BB605" s="14" t="s">
        <v>73</v>
      </c>
      <c r="BC605" s="14" t="s">
        <v>74</v>
      </c>
    </row>
    <row r="606" spans="1:55" ht="15" customHeight="1" x14ac:dyDescent="0.4">
      <c r="A606" s="12">
        <v>3634</v>
      </c>
      <c r="B606" s="21" t="s">
        <v>3536</v>
      </c>
      <c r="C606" s="13" t="s">
        <v>3537</v>
      </c>
      <c r="D606" s="25" t="s">
        <v>3537</v>
      </c>
      <c r="E606" s="13"/>
      <c r="F606" s="41"/>
      <c r="G606" s="41"/>
      <c r="H606" s="41"/>
      <c r="I606" s="41"/>
      <c r="J606" s="41"/>
      <c r="K606" s="65" t="str">
        <f>IFERROR(VLOOKUP(D606,Sheet4!A$1:M$56,11,FALSE),"")</f>
        <v/>
      </c>
      <c r="L606" s="65" t="str">
        <f t="shared" si="9"/>
        <v/>
      </c>
      <c r="M606" s="14" t="s">
        <v>1829</v>
      </c>
      <c r="N606" s="15">
        <v>44753</v>
      </c>
      <c r="O606" t="s">
        <v>3522</v>
      </c>
      <c r="P606" t="s">
        <v>51</v>
      </c>
      <c r="Q606" t="s">
        <v>52</v>
      </c>
      <c r="R606" t="s">
        <v>53</v>
      </c>
      <c r="S606" t="s">
        <v>3523</v>
      </c>
      <c r="T606" t="s">
        <v>3524</v>
      </c>
      <c r="U606" t="s">
        <v>56</v>
      </c>
      <c r="V606" s="21" t="s">
        <v>3525</v>
      </c>
      <c r="W606" s="21"/>
      <c r="X606" t="s">
        <v>3526</v>
      </c>
      <c r="Y606" t="s">
        <v>3538</v>
      </c>
      <c r="AC606" t="s">
        <v>1832</v>
      </c>
      <c r="AE606" s="15"/>
      <c r="AG606">
        <v>36.375636</v>
      </c>
      <c r="AH606">
        <v>-86.357896999999994</v>
      </c>
      <c r="AI606" t="s">
        <v>3539</v>
      </c>
      <c r="AL606" t="s">
        <v>1715</v>
      </c>
      <c r="AM606" t="s">
        <v>63</v>
      </c>
      <c r="AN606" t="s">
        <v>3540</v>
      </c>
      <c r="AO606">
        <v>194437</v>
      </c>
      <c r="AQ606" t="s">
        <v>3541</v>
      </c>
      <c r="AR606" t="s">
        <v>3542</v>
      </c>
      <c r="AS606" t="s">
        <v>3543</v>
      </c>
      <c r="AT606" t="s">
        <v>68</v>
      </c>
      <c r="AV606" t="s">
        <v>3544</v>
      </c>
      <c r="AW606" t="s">
        <v>3545</v>
      </c>
      <c r="AX606" t="s">
        <v>3546</v>
      </c>
      <c r="BA606" s="14" t="s">
        <v>72</v>
      </c>
      <c r="BB606" s="14" t="s">
        <v>73</v>
      </c>
      <c r="BC606" s="14" t="s">
        <v>74</v>
      </c>
    </row>
    <row r="607" spans="1:55" ht="15" customHeight="1" x14ac:dyDescent="0.4">
      <c r="A607" s="12">
        <v>3635</v>
      </c>
      <c r="B607" s="21" t="s">
        <v>3547</v>
      </c>
      <c r="C607" s="13" t="s">
        <v>3548</v>
      </c>
      <c r="D607" s="25" t="s">
        <v>3548</v>
      </c>
      <c r="E607" s="13"/>
      <c r="F607" s="41"/>
      <c r="G607" s="41"/>
      <c r="H607" s="41"/>
      <c r="I607" s="41"/>
      <c r="J607" s="41"/>
      <c r="K607" s="65" t="str">
        <f>IFERROR(VLOOKUP(D607,Sheet4!A$1:M$56,11,FALSE),"")</f>
        <v/>
      </c>
      <c r="L607" s="65" t="str">
        <f t="shared" si="9"/>
        <v/>
      </c>
      <c r="M607" s="14" t="s">
        <v>49</v>
      </c>
      <c r="N607" s="15">
        <v>44753</v>
      </c>
      <c r="O607" t="s">
        <v>3522</v>
      </c>
      <c r="P607" t="s">
        <v>51</v>
      </c>
      <c r="Q607" t="s">
        <v>52</v>
      </c>
      <c r="R607" t="s">
        <v>53</v>
      </c>
      <c r="S607" t="s">
        <v>3523</v>
      </c>
      <c r="T607" t="s">
        <v>3524</v>
      </c>
      <c r="U607" t="s">
        <v>56</v>
      </c>
      <c r="V607" s="21" t="s">
        <v>3525</v>
      </c>
      <c r="W607" s="21"/>
      <c r="X607" t="s">
        <v>3526</v>
      </c>
      <c r="Y607" t="s">
        <v>3549</v>
      </c>
      <c r="AC607" t="s">
        <v>60</v>
      </c>
      <c r="AE607" s="15"/>
      <c r="AG607">
        <v>36.375554999999999</v>
      </c>
      <c r="AH607">
        <v>-86.357896999999994</v>
      </c>
      <c r="AI607" t="s">
        <v>3550</v>
      </c>
      <c r="AL607" t="s">
        <v>1715</v>
      </c>
      <c r="AM607" t="s">
        <v>63</v>
      </c>
      <c r="AN607" t="s">
        <v>3551</v>
      </c>
      <c r="AO607">
        <v>192659</v>
      </c>
      <c r="AQ607" t="s">
        <v>3552</v>
      </c>
      <c r="AR607" t="s">
        <v>3553</v>
      </c>
      <c r="AS607" t="s">
        <v>3554</v>
      </c>
      <c r="AT607" t="s">
        <v>68</v>
      </c>
      <c r="AV607" t="s">
        <v>3555</v>
      </c>
      <c r="AW607" t="s">
        <v>3556</v>
      </c>
      <c r="AX607" t="s">
        <v>3557</v>
      </c>
      <c r="BA607" s="14" t="s">
        <v>72</v>
      </c>
      <c r="BB607" s="14" t="s">
        <v>73</v>
      </c>
      <c r="BC607" s="14" t="s">
        <v>74</v>
      </c>
    </row>
    <row r="608" spans="1:55" ht="15" customHeight="1" x14ac:dyDescent="0.4">
      <c r="A608" s="12">
        <v>3636</v>
      </c>
      <c r="B608" s="21" t="s">
        <v>3558</v>
      </c>
      <c r="C608" s="13" t="s">
        <v>3559</v>
      </c>
      <c r="D608" s="25" t="s">
        <v>3559</v>
      </c>
      <c r="E608" s="13"/>
      <c r="F608" s="41"/>
      <c r="G608" s="41"/>
      <c r="H608" s="41"/>
      <c r="I608" s="41"/>
      <c r="J608" s="41"/>
      <c r="K608" s="65" t="str">
        <f>IFERROR(VLOOKUP(D608,Sheet4!A$1:M$56,11,FALSE),"")</f>
        <v/>
      </c>
      <c r="L608" s="65" t="str">
        <f t="shared" si="9"/>
        <v/>
      </c>
      <c r="M608" s="14" t="s">
        <v>49</v>
      </c>
      <c r="N608" s="15">
        <v>44753</v>
      </c>
      <c r="O608" t="s">
        <v>3522</v>
      </c>
      <c r="P608" t="s">
        <v>51</v>
      </c>
      <c r="Q608" t="s">
        <v>52</v>
      </c>
      <c r="R608" t="s">
        <v>53</v>
      </c>
      <c r="S608" t="s">
        <v>3523</v>
      </c>
      <c r="T608" t="s">
        <v>3524</v>
      </c>
      <c r="U608" t="s">
        <v>56</v>
      </c>
      <c r="V608" s="21" t="s">
        <v>3525</v>
      </c>
      <c r="W608" s="21"/>
      <c r="X608" t="s">
        <v>3560</v>
      </c>
      <c r="Y608" t="s">
        <v>3561</v>
      </c>
      <c r="AB608" t="s">
        <v>2440</v>
      </c>
      <c r="AC608" t="s">
        <v>60</v>
      </c>
      <c r="AE608" s="15"/>
      <c r="AG608">
        <v>36.376500999999998</v>
      </c>
      <c r="AH608">
        <v>-86.352131</v>
      </c>
      <c r="AI608" t="s">
        <v>3562</v>
      </c>
      <c r="AL608" t="s">
        <v>1715</v>
      </c>
      <c r="AM608" t="s">
        <v>63</v>
      </c>
      <c r="AN608" t="s">
        <v>3563</v>
      </c>
      <c r="AO608">
        <v>192670</v>
      </c>
      <c r="AQ608" t="s">
        <v>3564</v>
      </c>
      <c r="AR608" t="s">
        <v>3565</v>
      </c>
      <c r="AS608" t="s">
        <v>3566</v>
      </c>
      <c r="AT608" t="s">
        <v>68</v>
      </c>
      <c r="AV608" t="s">
        <v>3567</v>
      </c>
      <c r="AW608" t="s">
        <v>3568</v>
      </c>
      <c r="AX608" t="s">
        <v>3569</v>
      </c>
      <c r="BA608" s="14" t="s">
        <v>72</v>
      </c>
      <c r="BB608" s="14" t="s">
        <v>73</v>
      </c>
      <c r="BC608" s="14" t="s">
        <v>74</v>
      </c>
    </row>
    <row r="609" spans="1:55" ht="15" customHeight="1" x14ac:dyDescent="0.4">
      <c r="A609" s="12">
        <v>3637</v>
      </c>
      <c r="B609" s="21" t="s">
        <v>3570</v>
      </c>
      <c r="C609" s="13" t="s">
        <v>3571</v>
      </c>
      <c r="D609" s="25" t="s">
        <v>3571</v>
      </c>
      <c r="E609" s="13"/>
      <c r="F609" s="41"/>
      <c r="G609" s="41"/>
      <c r="H609" s="41"/>
      <c r="I609" s="41"/>
      <c r="J609" s="41"/>
      <c r="K609" s="65" t="str">
        <f>IFERROR(VLOOKUP(D609,Sheet4!A$1:M$56,11,FALSE),"")</f>
        <v/>
      </c>
      <c r="L609" s="65" t="str">
        <f t="shared" si="9"/>
        <v/>
      </c>
      <c r="M609" s="14" t="s">
        <v>1829</v>
      </c>
      <c r="N609" s="15">
        <v>44753</v>
      </c>
      <c r="O609" t="s">
        <v>3522</v>
      </c>
      <c r="P609" t="s">
        <v>51</v>
      </c>
      <c r="Q609" t="s">
        <v>52</v>
      </c>
      <c r="R609" t="s">
        <v>53</v>
      </c>
      <c r="S609" t="s">
        <v>3523</v>
      </c>
      <c r="T609" t="s">
        <v>3524</v>
      </c>
      <c r="U609" t="s">
        <v>56</v>
      </c>
      <c r="V609" s="21" t="s">
        <v>3525</v>
      </c>
      <c r="W609" s="21"/>
      <c r="X609" t="s">
        <v>3572</v>
      </c>
      <c r="Y609" t="s">
        <v>3573</v>
      </c>
      <c r="AB609" t="s">
        <v>1758</v>
      </c>
      <c r="AC609" t="s">
        <v>1832</v>
      </c>
      <c r="AE609" s="15"/>
      <c r="AG609">
        <v>36.376674999999999</v>
      </c>
      <c r="AH609">
        <v>-86.352078000000006</v>
      </c>
      <c r="AI609" t="s">
        <v>3562</v>
      </c>
      <c r="AL609" t="s">
        <v>1715</v>
      </c>
      <c r="AM609" t="s">
        <v>63</v>
      </c>
      <c r="AN609" t="s">
        <v>3574</v>
      </c>
      <c r="AO609">
        <v>194438</v>
      </c>
      <c r="AQ609" t="s">
        <v>3575</v>
      </c>
      <c r="AR609" t="s">
        <v>3576</v>
      </c>
      <c r="AS609" t="s">
        <v>3577</v>
      </c>
      <c r="AT609" t="s">
        <v>68</v>
      </c>
      <c r="AV609" t="s">
        <v>3578</v>
      </c>
      <c r="AW609" t="s">
        <v>3579</v>
      </c>
      <c r="AX609" t="s">
        <v>3580</v>
      </c>
      <c r="BA609" s="14" t="s">
        <v>72</v>
      </c>
      <c r="BB609" s="14" t="s">
        <v>73</v>
      </c>
      <c r="BC609" s="14" t="s">
        <v>74</v>
      </c>
    </row>
    <row r="610" spans="1:55" ht="15" customHeight="1" x14ac:dyDescent="0.4">
      <c r="A610" s="12">
        <v>3638</v>
      </c>
      <c r="B610" s="21" t="s">
        <v>3581</v>
      </c>
      <c r="C610" s="13" t="s">
        <v>3582</v>
      </c>
      <c r="D610" s="25" t="s">
        <v>3582</v>
      </c>
      <c r="E610" s="13"/>
      <c r="F610" s="41"/>
      <c r="G610" s="41"/>
      <c r="H610" s="41"/>
      <c r="I610" s="41"/>
      <c r="J610" s="41"/>
      <c r="K610" s="65" t="str">
        <f>IFERROR(VLOOKUP(D610,Sheet4!A$1:M$56,11,FALSE),"")</f>
        <v/>
      </c>
      <c r="L610" s="65" t="str">
        <f t="shared" si="9"/>
        <v/>
      </c>
      <c r="M610" s="14" t="s">
        <v>49</v>
      </c>
      <c r="N610" s="15">
        <v>44753</v>
      </c>
      <c r="O610" t="s">
        <v>3522</v>
      </c>
      <c r="P610" t="s">
        <v>51</v>
      </c>
      <c r="Q610" t="s">
        <v>52</v>
      </c>
      <c r="R610" t="s">
        <v>53</v>
      </c>
      <c r="S610" t="s">
        <v>3523</v>
      </c>
      <c r="T610" t="s">
        <v>3524</v>
      </c>
      <c r="U610" t="s">
        <v>56</v>
      </c>
      <c r="V610" s="21" t="s">
        <v>3525</v>
      </c>
      <c r="W610" s="21"/>
      <c r="X610" t="s">
        <v>3583</v>
      </c>
      <c r="Y610" t="s">
        <v>3584</v>
      </c>
      <c r="AC610" t="s">
        <v>60</v>
      </c>
      <c r="AE610" s="15"/>
      <c r="AG610">
        <v>36.376798000000001</v>
      </c>
      <c r="AH610">
        <v>-86.351910000000004</v>
      </c>
      <c r="AI610" t="s">
        <v>3539</v>
      </c>
      <c r="AL610" t="s">
        <v>1715</v>
      </c>
      <c r="AM610" t="s">
        <v>63</v>
      </c>
      <c r="AN610" t="s">
        <v>3585</v>
      </c>
      <c r="AO610">
        <v>193382</v>
      </c>
      <c r="AQ610" t="s">
        <v>3586</v>
      </c>
      <c r="AR610" t="s">
        <v>3587</v>
      </c>
      <c r="AS610" t="s">
        <v>3588</v>
      </c>
      <c r="AT610" t="s">
        <v>68</v>
      </c>
      <c r="AV610" t="s">
        <v>3589</v>
      </c>
      <c r="AW610" t="s">
        <v>3590</v>
      </c>
      <c r="AX610" t="s">
        <v>3591</v>
      </c>
      <c r="BA610" s="14" t="s">
        <v>72</v>
      </c>
      <c r="BB610" s="14" t="s">
        <v>73</v>
      </c>
      <c r="BC610" s="14" t="s">
        <v>74</v>
      </c>
    </row>
    <row r="611" spans="1:55" ht="15" customHeight="1" x14ac:dyDescent="0.4">
      <c r="A611" s="12">
        <v>3639</v>
      </c>
      <c r="B611" s="21" t="s">
        <v>3592</v>
      </c>
      <c r="C611" s="13" t="s">
        <v>3593</v>
      </c>
      <c r="D611" s="25" t="s">
        <v>3593</v>
      </c>
      <c r="E611" s="13"/>
      <c r="F611" s="41"/>
      <c r="G611" s="41"/>
      <c r="H611" s="41"/>
      <c r="I611" s="41"/>
      <c r="J611" s="41"/>
      <c r="K611" s="65" t="str">
        <f>IFERROR(VLOOKUP(D611,Sheet4!A$1:M$56,11,FALSE),"")</f>
        <v/>
      </c>
      <c r="L611" s="65" t="str">
        <f t="shared" si="9"/>
        <v/>
      </c>
      <c r="M611" s="14" t="s">
        <v>1829</v>
      </c>
      <c r="N611" s="15">
        <v>44753</v>
      </c>
      <c r="O611" t="s">
        <v>3522</v>
      </c>
      <c r="P611" t="s">
        <v>51</v>
      </c>
      <c r="Q611" t="s">
        <v>52</v>
      </c>
      <c r="R611" t="s">
        <v>53</v>
      </c>
      <c r="S611" t="s">
        <v>3523</v>
      </c>
      <c r="T611" t="s">
        <v>3524</v>
      </c>
      <c r="U611" t="s">
        <v>56</v>
      </c>
      <c r="V611" s="21" t="s">
        <v>3525</v>
      </c>
      <c r="W611" s="21"/>
      <c r="X611" t="s">
        <v>3594</v>
      </c>
      <c r="Y611" t="s">
        <v>3595</v>
      </c>
      <c r="AC611" t="s">
        <v>1832</v>
      </c>
      <c r="AE611" s="15"/>
      <c r="AG611">
        <v>36.376933000000001</v>
      </c>
      <c r="AH611">
        <v>-86.351783999999995</v>
      </c>
      <c r="AI611" t="s">
        <v>3596</v>
      </c>
      <c r="AL611" t="s">
        <v>1715</v>
      </c>
      <c r="AM611" t="s">
        <v>63</v>
      </c>
      <c r="AN611" t="s">
        <v>3597</v>
      </c>
      <c r="AO611">
        <v>194439</v>
      </c>
      <c r="AQ611" t="s">
        <v>3598</v>
      </c>
      <c r="AR611" t="s">
        <v>3599</v>
      </c>
      <c r="AS611" t="s">
        <v>3600</v>
      </c>
      <c r="AT611" t="s">
        <v>68</v>
      </c>
      <c r="AV611" t="s">
        <v>3601</v>
      </c>
      <c r="AW611" t="s">
        <v>3602</v>
      </c>
      <c r="AX611" t="s">
        <v>3603</v>
      </c>
      <c r="BA611" s="14" t="s">
        <v>72</v>
      </c>
      <c r="BB611" s="14" t="s">
        <v>73</v>
      </c>
      <c r="BC611" s="14" t="s">
        <v>74</v>
      </c>
    </row>
    <row r="612" spans="1:55" ht="15" customHeight="1" x14ac:dyDescent="0.4">
      <c r="A612" s="12">
        <v>3640</v>
      </c>
      <c r="B612" s="21" t="s">
        <v>3604</v>
      </c>
      <c r="C612" s="13" t="s">
        <v>3605</v>
      </c>
      <c r="D612" s="25" t="s">
        <v>3605</v>
      </c>
      <c r="E612" s="13"/>
      <c r="F612" s="41"/>
      <c r="G612" s="41"/>
      <c r="H612" s="41"/>
      <c r="I612" s="41"/>
      <c r="J612" s="41"/>
      <c r="K612" s="65" t="str">
        <f>IFERROR(VLOOKUP(D612,Sheet4!A$1:M$56,11,FALSE),"")</f>
        <v/>
      </c>
      <c r="L612" s="65" t="str">
        <f t="shared" si="9"/>
        <v/>
      </c>
      <c r="M612" s="14" t="s">
        <v>1878</v>
      </c>
      <c r="N612" s="15">
        <v>44753</v>
      </c>
      <c r="O612" t="s">
        <v>3522</v>
      </c>
      <c r="P612" t="s">
        <v>51</v>
      </c>
      <c r="Q612" t="s">
        <v>52</v>
      </c>
      <c r="R612" t="s">
        <v>53</v>
      </c>
      <c r="S612" t="s">
        <v>3523</v>
      </c>
      <c r="T612" t="s">
        <v>3524</v>
      </c>
      <c r="U612" t="s">
        <v>56</v>
      </c>
      <c r="V612" s="21" t="s">
        <v>3525</v>
      </c>
      <c r="W612" s="21"/>
      <c r="X612" t="s">
        <v>3606</v>
      </c>
      <c r="Y612" t="s">
        <v>3607</v>
      </c>
      <c r="AB612" t="s">
        <v>2440</v>
      </c>
      <c r="AC612" t="s">
        <v>1881</v>
      </c>
      <c r="AE612" s="15"/>
      <c r="AG612">
        <v>36.377459000000002</v>
      </c>
      <c r="AH612">
        <v>-86.351259999999996</v>
      </c>
      <c r="AI612" t="s">
        <v>3608</v>
      </c>
      <c r="AL612" t="s">
        <v>1715</v>
      </c>
      <c r="AM612" t="s">
        <v>63</v>
      </c>
      <c r="AN612" t="s">
        <v>3609</v>
      </c>
      <c r="AO612">
        <v>194170</v>
      </c>
      <c r="AQ612" t="s">
        <v>3610</v>
      </c>
      <c r="AR612" t="s">
        <v>3611</v>
      </c>
      <c r="AS612" t="s">
        <v>3612</v>
      </c>
      <c r="AT612" t="s">
        <v>68</v>
      </c>
      <c r="AV612" t="s">
        <v>3613</v>
      </c>
      <c r="AW612" t="s">
        <v>3614</v>
      </c>
      <c r="AX612" t="s">
        <v>3615</v>
      </c>
      <c r="BA612" s="14" t="s">
        <v>72</v>
      </c>
      <c r="BB612" s="14" t="s">
        <v>73</v>
      </c>
      <c r="BC612" s="14" t="s">
        <v>1723</v>
      </c>
    </row>
    <row r="613" spans="1:55" ht="15" customHeight="1" x14ac:dyDescent="0.4">
      <c r="A613" s="12">
        <v>3641</v>
      </c>
      <c r="B613" s="21" t="s">
        <v>3616</v>
      </c>
      <c r="C613" s="13" t="s">
        <v>3617</v>
      </c>
      <c r="D613" s="25" t="s">
        <v>3617</v>
      </c>
      <c r="E613" s="13"/>
      <c r="F613" s="41"/>
      <c r="G613" s="41"/>
      <c r="H613" s="41"/>
      <c r="I613" s="41"/>
      <c r="J613" s="41"/>
      <c r="K613" s="65" t="str">
        <f>IFERROR(VLOOKUP(D613,Sheet4!A$1:M$56,11,FALSE),"")</f>
        <v/>
      </c>
      <c r="L613" s="65" t="str">
        <f t="shared" si="9"/>
        <v/>
      </c>
      <c r="M613" s="14" t="s">
        <v>49</v>
      </c>
      <c r="N613" s="15">
        <v>44753</v>
      </c>
      <c r="O613" t="s">
        <v>3522</v>
      </c>
      <c r="P613" t="s">
        <v>51</v>
      </c>
      <c r="Q613" t="s">
        <v>52</v>
      </c>
      <c r="R613" t="s">
        <v>53</v>
      </c>
      <c r="S613" t="s">
        <v>3523</v>
      </c>
      <c r="T613" t="s">
        <v>3524</v>
      </c>
      <c r="U613" t="s">
        <v>56</v>
      </c>
      <c r="V613" s="21" t="s">
        <v>3525</v>
      </c>
      <c r="W613" s="21"/>
      <c r="X613" t="s">
        <v>3618</v>
      </c>
      <c r="Y613" t="s">
        <v>3619</v>
      </c>
      <c r="AC613" t="s">
        <v>60</v>
      </c>
      <c r="AE613" s="15"/>
      <c r="AG613">
        <v>36.377782000000003</v>
      </c>
      <c r="AH613">
        <v>-86.351107999999996</v>
      </c>
      <c r="AI613" t="s">
        <v>3620</v>
      </c>
      <c r="AL613" t="s">
        <v>1715</v>
      </c>
      <c r="AM613" t="s">
        <v>63</v>
      </c>
      <c r="AN613" t="s">
        <v>3621</v>
      </c>
      <c r="AO613">
        <v>193380</v>
      </c>
      <c r="AQ613" t="s">
        <v>3622</v>
      </c>
      <c r="AR613" t="s">
        <v>3623</v>
      </c>
      <c r="AS613" t="s">
        <v>3624</v>
      </c>
      <c r="AT613" t="s">
        <v>68</v>
      </c>
      <c r="AV613" t="s">
        <v>3625</v>
      </c>
      <c r="AW613" t="s">
        <v>3626</v>
      </c>
      <c r="AX613" t="s">
        <v>3627</v>
      </c>
      <c r="BA613" s="14" t="s">
        <v>72</v>
      </c>
      <c r="BB613" s="14" t="s">
        <v>73</v>
      </c>
      <c r="BC613" s="14" t="s">
        <v>74</v>
      </c>
    </row>
    <row r="614" spans="1:55" ht="15" customHeight="1" x14ac:dyDescent="0.4">
      <c r="A614" s="12">
        <v>3642</v>
      </c>
      <c r="B614" s="21" t="s">
        <v>3628</v>
      </c>
      <c r="C614" s="13" t="s">
        <v>3629</v>
      </c>
      <c r="D614" s="25" t="s">
        <v>3629</v>
      </c>
      <c r="E614" s="13"/>
      <c r="F614" s="41"/>
      <c r="G614" s="41"/>
      <c r="H614" s="41"/>
      <c r="I614" s="41"/>
      <c r="J614" s="41"/>
      <c r="K614" s="65" t="str">
        <f>IFERROR(VLOOKUP(D614,Sheet4!A$1:M$56,11,FALSE),"")</f>
        <v/>
      </c>
      <c r="L614" s="65" t="str">
        <f t="shared" si="9"/>
        <v/>
      </c>
      <c r="M614" s="14" t="s">
        <v>1878</v>
      </c>
      <c r="N614" s="15">
        <v>44753</v>
      </c>
      <c r="O614" t="s">
        <v>3522</v>
      </c>
      <c r="P614" t="s">
        <v>51</v>
      </c>
      <c r="Q614" t="s">
        <v>52</v>
      </c>
      <c r="R614" t="s">
        <v>53</v>
      </c>
      <c r="S614" t="s">
        <v>3523</v>
      </c>
      <c r="T614" t="s">
        <v>3524</v>
      </c>
      <c r="U614" t="s">
        <v>56</v>
      </c>
      <c r="V614" s="21" t="s">
        <v>3525</v>
      </c>
      <c r="W614" s="21"/>
      <c r="X614" t="s">
        <v>3630</v>
      </c>
      <c r="Y614" t="s">
        <v>3631</v>
      </c>
      <c r="AC614" t="s">
        <v>1881</v>
      </c>
      <c r="AE614" s="15"/>
      <c r="AG614">
        <v>36.377797999999999</v>
      </c>
      <c r="AH614">
        <v>-86.351110000000006</v>
      </c>
      <c r="AI614" t="s">
        <v>3620</v>
      </c>
      <c r="AL614" t="s">
        <v>1715</v>
      </c>
      <c r="AM614" t="s">
        <v>63</v>
      </c>
      <c r="AN614" t="s">
        <v>3632</v>
      </c>
      <c r="AO614">
        <v>194171</v>
      </c>
      <c r="AQ614" t="s">
        <v>3633</v>
      </c>
      <c r="AR614" t="s">
        <v>3634</v>
      </c>
      <c r="AS614" t="s">
        <v>3635</v>
      </c>
      <c r="AT614" t="s">
        <v>68</v>
      </c>
      <c r="AU614" t="s">
        <v>3636</v>
      </c>
      <c r="AV614" t="s">
        <v>3637</v>
      </c>
      <c r="AW614" t="s">
        <v>3638</v>
      </c>
      <c r="AX614" t="s">
        <v>3639</v>
      </c>
      <c r="AY614" s="31" t="s">
        <v>3640</v>
      </c>
      <c r="BA614" s="14" t="s">
        <v>72</v>
      </c>
      <c r="BB614" s="14" t="s">
        <v>73</v>
      </c>
      <c r="BC614" s="14" t="s">
        <v>1723</v>
      </c>
    </row>
    <row r="615" spans="1:55" ht="15" customHeight="1" x14ac:dyDescent="0.4">
      <c r="A615" s="12">
        <v>3643</v>
      </c>
      <c r="B615" s="21" t="s">
        <v>3641</v>
      </c>
      <c r="C615" s="13" t="s">
        <v>3642</v>
      </c>
      <c r="D615" s="25" t="s">
        <v>3642</v>
      </c>
      <c r="E615" s="13"/>
      <c r="F615" s="41"/>
      <c r="G615" s="41"/>
      <c r="H615" s="41"/>
      <c r="I615" s="41"/>
      <c r="J615" s="41"/>
      <c r="K615" s="65" t="str">
        <f>IFERROR(VLOOKUP(D615,Sheet4!A$1:M$56,11,FALSE),"")</f>
        <v/>
      </c>
      <c r="L615" s="65" t="str">
        <f t="shared" si="9"/>
        <v/>
      </c>
      <c r="M615" s="14" t="s">
        <v>1829</v>
      </c>
      <c r="N615" s="15">
        <v>44753</v>
      </c>
      <c r="O615" t="s">
        <v>3522</v>
      </c>
      <c r="P615" t="s">
        <v>51</v>
      </c>
      <c r="Q615" t="s">
        <v>52</v>
      </c>
      <c r="R615" t="s">
        <v>53</v>
      </c>
      <c r="S615" t="s">
        <v>3523</v>
      </c>
      <c r="T615" t="s">
        <v>3524</v>
      </c>
      <c r="U615" t="s">
        <v>56</v>
      </c>
      <c r="V615" s="21" t="s">
        <v>3525</v>
      </c>
      <c r="W615" s="21"/>
      <c r="X615" t="s">
        <v>3643</v>
      </c>
      <c r="Y615" t="s">
        <v>3644</v>
      </c>
      <c r="AC615" t="s">
        <v>1832</v>
      </c>
      <c r="AE615" s="15"/>
      <c r="AG615">
        <v>36.377740000000003</v>
      </c>
      <c r="AH615">
        <v>-86.351055000000002</v>
      </c>
      <c r="AI615" t="s">
        <v>3645</v>
      </c>
      <c r="AL615" t="s">
        <v>1715</v>
      </c>
      <c r="AM615" t="s">
        <v>63</v>
      </c>
      <c r="AN615" t="s">
        <v>3646</v>
      </c>
      <c r="AO615">
        <v>194440</v>
      </c>
      <c r="AQ615" t="s">
        <v>3647</v>
      </c>
      <c r="AR615" t="s">
        <v>3648</v>
      </c>
      <c r="AS615" t="s">
        <v>3649</v>
      </c>
      <c r="AT615" t="s">
        <v>68</v>
      </c>
      <c r="AV615" t="s">
        <v>3650</v>
      </c>
      <c r="AW615" t="s">
        <v>3651</v>
      </c>
      <c r="AX615" t="s">
        <v>3652</v>
      </c>
      <c r="BA615" s="14" t="s">
        <v>72</v>
      </c>
      <c r="BB615" s="14" t="s">
        <v>73</v>
      </c>
      <c r="BC615" s="14" t="s">
        <v>74</v>
      </c>
    </row>
    <row r="616" spans="1:55" ht="15" customHeight="1" x14ac:dyDescent="0.4">
      <c r="A616" s="12">
        <v>3644</v>
      </c>
      <c r="B616" s="21" t="s">
        <v>3653</v>
      </c>
      <c r="C616" s="13" t="s">
        <v>3654</v>
      </c>
      <c r="D616" s="25" t="s">
        <v>3654</v>
      </c>
      <c r="E616" s="13"/>
      <c r="F616" s="41"/>
      <c r="G616" s="41"/>
      <c r="H616" s="41"/>
      <c r="I616" s="41"/>
      <c r="J616" s="41"/>
      <c r="K616" s="65" t="str">
        <f>IFERROR(VLOOKUP(D616,Sheet4!A$1:M$56,11,FALSE),"")</f>
        <v/>
      </c>
      <c r="L616" s="65" t="str">
        <f t="shared" si="9"/>
        <v/>
      </c>
      <c r="M616" s="14" t="s">
        <v>1878</v>
      </c>
      <c r="N616" s="15">
        <v>44753</v>
      </c>
      <c r="O616" t="s">
        <v>3522</v>
      </c>
      <c r="P616" t="s">
        <v>51</v>
      </c>
      <c r="Q616" t="s">
        <v>52</v>
      </c>
      <c r="R616" t="s">
        <v>53</v>
      </c>
      <c r="S616" t="s">
        <v>3523</v>
      </c>
      <c r="T616" t="s">
        <v>3524</v>
      </c>
      <c r="U616" t="s">
        <v>56</v>
      </c>
      <c r="V616" s="21" t="s">
        <v>3525</v>
      </c>
      <c r="W616" s="21"/>
      <c r="X616" t="s">
        <v>3643</v>
      </c>
      <c r="Y616" t="s">
        <v>3655</v>
      </c>
      <c r="AC616" t="s">
        <v>1881</v>
      </c>
      <c r="AE616" s="15"/>
      <c r="AG616">
        <v>36.378008999999999</v>
      </c>
      <c r="AH616">
        <v>-86.350874000000005</v>
      </c>
      <c r="AI616" t="s">
        <v>3656</v>
      </c>
      <c r="AL616" t="s">
        <v>1715</v>
      </c>
      <c r="AM616" t="s">
        <v>63</v>
      </c>
      <c r="AN616" t="s">
        <v>3657</v>
      </c>
      <c r="AO616">
        <v>194172</v>
      </c>
      <c r="AQ616" t="s">
        <v>3658</v>
      </c>
      <c r="AR616" t="s">
        <v>3659</v>
      </c>
      <c r="AS616" t="s">
        <v>3660</v>
      </c>
      <c r="AT616" t="s">
        <v>68</v>
      </c>
      <c r="AV616" t="s">
        <v>3661</v>
      </c>
      <c r="AW616" t="s">
        <v>3662</v>
      </c>
      <c r="AX616" t="s">
        <v>3663</v>
      </c>
      <c r="BA616" s="14" t="s">
        <v>72</v>
      </c>
      <c r="BB616" s="14" t="s">
        <v>73</v>
      </c>
      <c r="BC616" s="14" t="s">
        <v>1723</v>
      </c>
    </row>
    <row r="617" spans="1:55" ht="15" customHeight="1" x14ac:dyDescent="0.4">
      <c r="A617" s="12">
        <v>3645</v>
      </c>
      <c r="B617" s="21" t="s">
        <v>3664</v>
      </c>
      <c r="C617" s="13" t="s">
        <v>3665</v>
      </c>
      <c r="D617" s="25" t="s">
        <v>3665</v>
      </c>
      <c r="E617" s="13"/>
      <c r="F617" s="41"/>
      <c r="G617" s="41"/>
      <c r="H617" s="41"/>
      <c r="I617" s="41"/>
      <c r="J617" s="41"/>
      <c r="K617" s="65" t="str">
        <f>IFERROR(VLOOKUP(D617,Sheet4!A$1:M$56,11,FALSE),"")</f>
        <v/>
      </c>
      <c r="L617" s="65" t="str">
        <f t="shared" si="9"/>
        <v/>
      </c>
      <c r="M617" s="14" t="s">
        <v>1829</v>
      </c>
      <c r="N617" s="15">
        <v>44753</v>
      </c>
      <c r="O617" t="s">
        <v>3522</v>
      </c>
      <c r="P617" t="s">
        <v>51</v>
      </c>
      <c r="Q617" t="s">
        <v>52</v>
      </c>
      <c r="R617" t="s">
        <v>53</v>
      </c>
      <c r="S617" t="s">
        <v>3523</v>
      </c>
      <c r="T617" t="s">
        <v>3524</v>
      </c>
      <c r="U617" t="s">
        <v>56</v>
      </c>
      <c r="V617" s="21" t="s">
        <v>3525</v>
      </c>
      <c r="W617" s="21"/>
      <c r="X617" t="s">
        <v>3643</v>
      </c>
      <c r="Y617" t="s">
        <v>3666</v>
      </c>
      <c r="AC617" t="s">
        <v>1832</v>
      </c>
      <c r="AE617" s="15"/>
      <c r="AG617">
        <v>36.378014999999998</v>
      </c>
      <c r="AH617">
        <v>-86.350899999999996</v>
      </c>
      <c r="AI617" t="s">
        <v>3667</v>
      </c>
      <c r="AL617" t="s">
        <v>1715</v>
      </c>
      <c r="AM617" t="s">
        <v>63</v>
      </c>
      <c r="AN617" t="s">
        <v>3668</v>
      </c>
      <c r="AO617">
        <v>194441</v>
      </c>
      <c r="AQ617" t="s">
        <v>3669</v>
      </c>
      <c r="AR617" t="s">
        <v>3670</v>
      </c>
      <c r="AS617" t="s">
        <v>3671</v>
      </c>
      <c r="AT617" t="s">
        <v>68</v>
      </c>
      <c r="AV617" t="s">
        <v>3672</v>
      </c>
      <c r="AW617" t="s">
        <v>3673</v>
      </c>
      <c r="AX617" t="s">
        <v>3674</v>
      </c>
      <c r="BA617" s="14" t="s">
        <v>72</v>
      </c>
      <c r="BB617" s="14" t="s">
        <v>73</v>
      </c>
      <c r="BC617" s="14" t="s">
        <v>74</v>
      </c>
    </row>
    <row r="618" spans="1:55" ht="15" customHeight="1" x14ac:dyDescent="0.4">
      <c r="A618" s="12">
        <v>3646</v>
      </c>
      <c r="B618" s="21" t="s">
        <v>3675</v>
      </c>
      <c r="C618" s="13" t="s">
        <v>3676</v>
      </c>
      <c r="D618" s="25" t="s">
        <v>3676</v>
      </c>
      <c r="E618" s="13"/>
      <c r="F618" s="41"/>
      <c r="G618" s="41"/>
      <c r="H618" s="41"/>
      <c r="I618" s="41"/>
      <c r="J618" s="41"/>
      <c r="K618" s="65" t="str">
        <f>IFERROR(VLOOKUP(D618,Sheet4!A$1:M$56,11,FALSE),"")</f>
        <v/>
      </c>
      <c r="L618" s="65" t="str">
        <f t="shared" si="9"/>
        <v/>
      </c>
      <c r="M618" s="14" t="s">
        <v>1878</v>
      </c>
      <c r="N618" s="15">
        <v>44753</v>
      </c>
      <c r="O618" t="s">
        <v>3522</v>
      </c>
      <c r="P618" t="s">
        <v>51</v>
      </c>
      <c r="Q618" t="s">
        <v>52</v>
      </c>
      <c r="R618" t="s">
        <v>53</v>
      </c>
      <c r="S618" t="s">
        <v>3523</v>
      </c>
      <c r="T618" t="s">
        <v>3524</v>
      </c>
      <c r="U618" t="s">
        <v>56</v>
      </c>
      <c r="V618" s="21" t="s">
        <v>3525</v>
      </c>
      <c r="W618" s="21"/>
      <c r="X618" t="s">
        <v>3643</v>
      </c>
      <c r="Y618" t="s">
        <v>3677</v>
      </c>
      <c r="AC618" t="s">
        <v>1881</v>
      </c>
      <c r="AE618" s="15"/>
      <c r="AG618">
        <v>36.378266000000004</v>
      </c>
      <c r="AH618">
        <v>-86.350746999999998</v>
      </c>
      <c r="AI618" t="s">
        <v>3678</v>
      </c>
      <c r="AL618" t="s">
        <v>1715</v>
      </c>
      <c r="AM618" t="s">
        <v>63</v>
      </c>
      <c r="AN618" t="s">
        <v>3679</v>
      </c>
      <c r="AO618">
        <v>194173</v>
      </c>
      <c r="AQ618" t="s">
        <v>3680</v>
      </c>
      <c r="AR618" t="s">
        <v>3681</v>
      </c>
      <c r="AS618" t="s">
        <v>3682</v>
      </c>
      <c r="AT618" t="s">
        <v>68</v>
      </c>
      <c r="AV618" t="s">
        <v>3683</v>
      </c>
      <c r="AW618" t="s">
        <v>3684</v>
      </c>
      <c r="AX618" t="s">
        <v>3685</v>
      </c>
      <c r="BA618" s="14" t="s">
        <v>72</v>
      </c>
      <c r="BB618" s="14" t="s">
        <v>73</v>
      </c>
      <c r="BC618" s="14" t="s">
        <v>1723</v>
      </c>
    </row>
    <row r="619" spans="1:55" ht="15" customHeight="1" x14ac:dyDescent="0.4">
      <c r="A619" s="12">
        <v>3647</v>
      </c>
      <c r="B619" s="21" t="s">
        <v>3686</v>
      </c>
      <c r="C619" s="13" t="s">
        <v>3687</v>
      </c>
      <c r="D619" s="25" t="s">
        <v>3687</v>
      </c>
      <c r="E619" s="13"/>
      <c r="F619" s="41"/>
      <c r="G619" s="41"/>
      <c r="H619" s="41"/>
      <c r="I619" s="41"/>
      <c r="J619" s="41"/>
      <c r="K619" s="65" t="str">
        <f>IFERROR(VLOOKUP(D619,Sheet4!A$1:M$56,11,FALSE),"")</f>
        <v/>
      </c>
      <c r="L619" s="65" t="str">
        <f t="shared" si="9"/>
        <v/>
      </c>
      <c r="M619" s="14" t="s">
        <v>1878</v>
      </c>
      <c r="N619" s="15">
        <v>44753</v>
      </c>
      <c r="O619" t="s">
        <v>3522</v>
      </c>
      <c r="P619" t="s">
        <v>51</v>
      </c>
      <c r="Q619" t="s">
        <v>52</v>
      </c>
      <c r="R619" t="s">
        <v>53</v>
      </c>
      <c r="S619" t="s">
        <v>3523</v>
      </c>
      <c r="T619" t="s">
        <v>3524</v>
      </c>
      <c r="U619" t="s">
        <v>56</v>
      </c>
      <c r="V619" s="21" t="s">
        <v>3525</v>
      </c>
      <c r="W619" s="21"/>
      <c r="X619" t="s">
        <v>3688</v>
      </c>
      <c r="Y619" t="s">
        <v>3689</v>
      </c>
      <c r="AC619" t="s">
        <v>1881</v>
      </c>
      <c r="AE619" s="15"/>
      <c r="AG619">
        <v>36.376907000000003</v>
      </c>
      <c r="AH619">
        <v>-86.358224000000007</v>
      </c>
      <c r="AI619" t="s">
        <v>3690</v>
      </c>
      <c r="AL619" t="s">
        <v>1715</v>
      </c>
      <c r="AM619" t="s">
        <v>63</v>
      </c>
      <c r="AN619" t="s">
        <v>3691</v>
      </c>
      <c r="AO619">
        <v>194174</v>
      </c>
      <c r="AQ619" t="s">
        <v>3692</v>
      </c>
      <c r="AR619" t="s">
        <v>3693</v>
      </c>
      <c r="AS619" t="s">
        <v>3694</v>
      </c>
      <c r="AT619" t="s">
        <v>68</v>
      </c>
      <c r="AV619" t="s">
        <v>3695</v>
      </c>
      <c r="AW619" t="s">
        <v>3696</v>
      </c>
      <c r="AX619" t="s">
        <v>3697</v>
      </c>
      <c r="BA619" s="14" t="s">
        <v>72</v>
      </c>
      <c r="BB619" s="14" t="s">
        <v>73</v>
      </c>
      <c r="BC619" s="14" t="s">
        <v>1723</v>
      </c>
    </row>
    <row r="620" spans="1:55" ht="15" customHeight="1" x14ac:dyDescent="0.4">
      <c r="A620" s="12">
        <v>3648</v>
      </c>
      <c r="B620" s="21" t="s">
        <v>3698</v>
      </c>
      <c r="C620" s="13" t="s">
        <v>3699</v>
      </c>
      <c r="D620" s="25" t="s">
        <v>3699</v>
      </c>
      <c r="E620" s="13"/>
      <c r="F620" s="41"/>
      <c r="G620" s="41"/>
      <c r="H620" s="41"/>
      <c r="I620" s="41"/>
      <c r="J620" s="41"/>
      <c r="K620" s="65" t="str">
        <f>IFERROR(VLOOKUP(D620,Sheet4!A$1:M$56,11,FALSE),"")</f>
        <v/>
      </c>
      <c r="L620" s="65" t="str">
        <f t="shared" si="9"/>
        <v/>
      </c>
      <c r="M620" s="14" t="s">
        <v>1829</v>
      </c>
      <c r="N620" s="15">
        <v>44753</v>
      </c>
      <c r="O620" t="s">
        <v>3700</v>
      </c>
      <c r="P620" t="s">
        <v>51</v>
      </c>
      <c r="Q620" t="s">
        <v>52</v>
      </c>
      <c r="R620" t="s">
        <v>53</v>
      </c>
      <c r="S620" t="s">
        <v>3523</v>
      </c>
      <c r="T620" t="s">
        <v>3701</v>
      </c>
      <c r="U620" t="s">
        <v>56</v>
      </c>
      <c r="V620" s="21" t="s">
        <v>3702</v>
      </c>
      <c r="W620" s="21"/>
      <c r="X620" t="s">
        <v>3703</v>
      </c>
      <c r="Y620" t="s">
        <v>3704</v>
      </c>
      <c r="AC620" t="s">
        <v>1832</v>
      </c>
      <c r="AE620" s="15"/>
      <c r="AG620">
        <v>36.072969999999998</v>
      </c>
      <c r="AH620">
        <v>-86.313800000000001</v>
      </c>
      <c r="AI620" t="s">
        <v>3705</v>
      </c>
      <c r="AL620" t="s">
        <v>1715</v>
      </c>
      <c r="AM620" t="s">
        <v>63</v>
      </c>
      <c r="AN620" t="s">
        <v>3706</v>
      </c>
      <c r="AO620">
        <v>194442</v>
      </c>
      <c r="AQ620" t="s">
        <v>3707</v>
      </c>
      <c r="AR620" t="s">
        <v>3708</v>
      </c>
      <c r="AS620" t="s">
        <v>3709</v>
      </c>
      <c r="AT620" t="s">
        <v>68</v>
      </c>
      <c r="AV620" t="s">
        <v>3710</v>
      </c>
      <c r="AW620" t="s">
        <v>3711</v>
      </c>
      <c r="AX620" t="s">
        <v>3712</v>
      </c>
      <c r="BA620" s="14" t="s">
        <v>72</v>
      </c>
      <c r="BB620" s="14" t="s">
        <v>73</v>
      </c>
      <c r="BC620" s="14" t="s">
        <v>74</v>
      </c>
    </row>
    <row r="621" spans="1:55" ht="15" customHeight="1" x14ac:dyDescent="0.4">
      <c r="A621" s="12">
        <v>3649</v>
      </c>
      <c r="B621" s="21" t="s">
        <v>3713</v>
      </c>
      <c r="C621" s="13" t="s">
        <v>3714</v>
      </c>
      <c r="D621" s="25" t="s">
        <v>3714</v>
      </c>
      <c r="E621" s="13"/>
      <c r="F621" s="41"/>
      <c r="G621" s="41"/>
      <c r="H621" s="41"/>
      <c r="I621" s="41"/>
      <c r="J621" s="41"/>
      <c r="K621" s="65" t="str">
        <f>IFERROR(VLOOKUP(D621,Sheet4!A$1:M$56,11,FALSE),"")</f>
        <v/>
      </c>
      <c r="L621" s="65" t="str">
        <f t="shared" si="9"/>
        <v/>
      </c>
      <c r="M621" s="14" t="s">
        <v>1752</v>
      </c>
      <c r="N621" s="15">
        <v>44753</v>
      </c>
      <c r="O621" t="s">
        <v>3700</v>
      </c>
      <c r="P621" t="s">
        <v>51</v>
      </c>
      <c r="Q621" t="s">
        <v>52</v>
      </c>
      <c r="R621" t="s">
        <v>53</v>
      </c>
      <c r="S621" t="s">
        <v>3523</v>
      </c>
      <c r="T621" t="s">
        <v>3701</v>
      </c>
      <c r="U621" t="s">
        <v>56</v>
      </c>
      <c r="V621" s="21" t="s">
        <v>3702</v>
      </c>
      <c r="W621" s="21"/>
      <c r="X621" t="s">
        <v>3703</v>
      </c>
      <c r="Y621" t="s">
        <v>3715</v>
      </c>
      <c r="AC621" t="s">
        <v>1759</v>
      </c>
      <c r="AE621" s="15"/>
      <c r="AG621">
        <v>36.073056999999999</v>
      </c>
      <c r="AH621">
        <v>-86.313585000000003</v>
      </c>
      <c r="AI621" t="s">
        <v>3705</v>
      </c>
      <c r="AL621" t="s">
        <v>1715</v>
      </c>
      <c r="AM621" t="s">
        <v>63</v>
      </c>
      <c r="AN621" t="s">
        <v>3716</v>
      </c>
      <c r="AO621">
        <v>193521</v>
      </c>
      <c r="AQ621" t="s">
        <v>3717</v>
      </c>
      <c r="AR621" t="s">
        <v>3718</v>
      </c>
      <c r="AS621" t="s">
        <v>3719</v>
      </c>
      <c r="AT621" t="s">
        <v>68</v>
      </c>
      <c r="AV621" t="s">
        <v>3720</v>
      </c>
      <c r="AW621" t="s">
        <v>3721</v>
      </c>
      <c r="AX621" t="s">
        <v>3722</v>
      </c>
      <c r="BA621" s="14" t="s">
        <v>72</v>
      </c>
      <c r="BB621" s="14" t="s">
        <v>73</v>
      </c>
      <c r="BC621" s="14" t="s">
        <v>1768</v>
      </c>
    </row>
    <row r="622" spans="1:55" ht="15" customHeight="1" x14ac:dyDescent="0.4">
      <c r="A622" s="12">
        <v>3650</v>
      </c>
      <c r="B622" s="21" t="s">
        <v>3723</v>
      </c>
      <c r="C622" s="13" t="s">
        <v>3724</v>
      </c>
      <c r="D622" s="25" t="s">
        <v>3724</v>
      </c>
      <c r="E622" s="13"/>
      <c r="F622" s="41"/>
      <c r="G622" s="41"/>
      <c r="H622" s="41"/>
      <c r="I622" s="41"/>
      <c r="J622" s="41"/>
      <c r="K622" s="65" t="str">
        <f>IFERROR(VLOOKUP(D622,Sheet4!A$1:M$56,11,FALSE),"")</f>
        <v/>
      </c>
      <c r="L622" s="65" t="str">
        <f t="shared" si="9"/>
        <v/>
      </c>
      <c r="M622" s="14" t="s">
        <v>1829</v>
      </c>
      <c r="N622" s="15">
        <v>44753</v>
      </c>
      <c r="O622" t="s">
        <v>3700</v>
      </c>
      <c r="P622" t="s">
        <v>51</v>
      </c>
      <c r="Q622" t="s">
        <v>52</v>
      </c>
      <c r="R622" t="s">
        <v>53</v>
      </c>
      <c r="S622" t="s">
        <v>3523</v>
      </c>
      <c r="T622" t="s">
        <v>3701</v>
      </c>
      <c r="U622" t="s">
        <v>56</v>
      </c>
      <c r="V622" s="21" t="s">
        <v>3702</v>
      </c>
      <c r="W622" s="21"/>
      <c r="X622" t="s">
        <v>3725</v>
      </c>
      <c r="Y622" t="s">
        <v>3726</v>
      </c>
      <c r="AB622" t="s">
        <v>1758</v>
      </c>
      <c r="AC622" t="s">
        <v>1832</v>
      </c>
      <c r="AE622" s="15"/>
      <c r="AG622">
        <v>36.074587999999999</v>
      </c>
      <c r="AH622">
        <v>-86.314466999999993</v>
      </c>
      <c r="AI622" t="s">
        <v>3727</v>
      </c>
      <c r="AL622" t="s">
        <v>1715</v>
      </c>
      <c r="AM622" t="s">
        <v>63</v>
      </c>
      <c r="AN622" t="s">
        <v>3728</v>
      </c>
      <c r="AO622">
        <v>194487</v>
      </c>
      <c r="AQ622" t="s">
        <v>3729</v>
      </c>
      <c r="AR622" t="s">
        <v>3730</v>
      </c>
      <c r="AS622" t="s">
        <v>3731</v>
      </c>
      <c r="AT622" t="s">
        <v>68</v>
      </c>
      <c r="AV622" t="s">
        <v>3732</v>
      </c>
      <c r="AW622" t="s">
        <v>3733</v>
      </c>
      <c r="AX622" t="s">
        <v>3734</v>
      </c>
      <c r="BA622" s="14" t="s">
        <v>72</v>
      </c>
      <c r="BB622" s="14" t="s">
        <v>73</v>
      </c>
      <c r="BC622" s="14" t="s">
        <v>74</v>
      </c>
    </row>
    <row r="623" spans="1:55" ht="15" customHeight="1" x14ac:dyDescent="0.4">
      <c r="A623" s="12">
        <v>3651</v>
      </c>
      <c r="B623" s="21" t="s">
        <v>3735</v>
      </c>
      <c r="C623" s="13" t="s">
        <v>3736</v>
      </c>
      <c r="D623" s="25" t="s">
        <v>3736</v>
      </c>
      <c r="E623" s="13"/>
      <c r="F623" s="41"/>
      <c r="G623" s="41"/>
      <c r="H623" s="41"/>
      <c r="I623" s="41"/>
      <c r="J623" s="41"/>
      <c r="K623" s="65" t="str">
        <f>IFERROR(VLOOKUP(D623,Sheet4!A$1:M$56,11,FALSE),"")</f>
        <v/>
      </c>
      <c r="L623" s="65" t="str">
        <f t="shared" si="9"/>
        <v/>
      </c>
      <c r="M623" s="14" t="s">
        <v>1752</v>
      </c>
      <c r="N623" s="15">
        <v>44753</v>
      </c>
      <c r="O623" t="s">
        <v>3700</v>
      </c>
      <c r="P623" t="s">
        <v>51</v>
      </c>
      <c r="Q623" t="s">
        <v>52</v>
      </c>
      <c r="R623" t="s">
        <v>53</v>
      </c>
      <c r="S623" t="s">
        <v>3523</v>
      </c>
      <c r="T623" t="s">
        <v>3701</v>
      </c>
      <c r="U623" t="s">
        <v>56</v>
      </c>
      <c r="V623" s="21" t="s">
        <v>3702</v>
      </c>
      <c r="W623" s="21"/>
      <c r="X623" t="s">
        <v>3725</v>
      </c>
      <c r="Y623" t="s">
        <v>3737</v>
      </c>
      <c r="AC623" t="s">
        <v>1759</v>
      </c>
      <c r="AE623" s="15"/>
      <c r="AG623">
        <v>36.074626000000002</v>
      </c>
      <c r="AH623">
        <v>-86.314306000000002</v>
      </c>
      <c r="AI623" t="s">
        <v>3738</v>
      </c>
      <c r="AL623" t="s">
        <v>1715</v>
      </c>
      <c r="AM623" t="s">
        <v>63</v>
      </c>
      <c r="AN623" t="s">
        <v>3739</v>
      </c>
      <c r="AO623">
        <v>193522</v>
      </c>
      <c r="AQ623" t="s">
        <v>3740</v>
      </c>
      <c r="AR623" t="s">
        <v>3741</v>
      </c>
      <c r="AS623" t="s">
        <v>3742</v>
      </c>
      <c r="AT623" t="s">
        <v>68</v>
      </c>
      <c r="AV623" t="s">
        <v>3743</v>
      </c>
      <c r="AW623" t="s">
        <v>3744</v>
      </c>
      <c r="AX623" t="s">
        <v>3745</v>
      </c>
      <c r="BA623" s="14" t="s">
        <v>72</v>
      </c>
      <c r="BB623" s="14" t="s">
        <v>73</v>
      </c>
      <c r="BC623" s="14" t="s">
        <v>1768</v>
      </c>
    </row>
    <row r="624" spans="1:55" ht="15" customHeight="1" x14ac:dyDescent="0.4">
      <c r="A624" s="12">
        <v>3652</v>
      </c>
      <c r="B624" s="21" t="s">
        <v>3746</v>
      </c>
      <c r="C624" s="13" t="s">
        <v>3747</v>
      </c>
      <c r="D624" s="25" t="s">
        <v>3747</v>
      </c>
      <c r="E624" s="13"/>
      <c r="F624" s="41"/>
      <c r="G624" s="41"/>
      <c r="H624" s="41"/>
      <c r="I624" s="41"/>
      <c r="J624" s="41"/>
      <c r="K624" s="65" t="str">
        <f>IFERROR(VLOOKUP(D624,Sheet4!A$1:M$56,11,FALSE),"")</f>
        <v/>
      </c>
      <c r="L624" s="65" t="str">
        <f t="shared" si="9"/>
        <v/>
      </c>
      <c r="M624" s="14" t="s">
        <v>1878</v>
      </c>
      <c r="N624" s="15">
        <v>44753</v>
      </c>
      <c r="O624" t="s">
        <v>3700</v>
      </c>
      <c r="P624" t="s">
        <v>51</v>
      </c>
      <c r="Q624" t="s">
        <v>52</v>
      </c>
      <c r="R624" t="s">
        <v>53</v>
      </c>
      <c r="S624" t="s">
        <v>3523</v>
      </c>
      <c r="T624" t="s">
        <v>3701</v>
      </c>
      <c r="U624" t="s">
        <v>56</v>
      </c>
      <c r="V624" s="21" t="s">
        <v>3702</v>
      </c>
      <c r="W624" s="21"/>
      <c r="X624" t="s">
        <v>3725</v>
      </c>
      <c r="Y624" t="s">
        <v>3748</v>
      </c>
      <c r="AC624" t="s">
        <v>1881</v>
      </c>
      <c r="AE624" s="15"/>
      <c r="AG624">
        <v>36.075606000000001</v>
      </c>
      <c r="AH624">
        <v>-86.313963999999999</v>
      </c>
      <c r="AI624" t="s">
        <v>3749</v>
      </c>
      <c r="AL624" t="s">
        <v>1715</v>
      </c>
      <c r="AM624" t="s">
        <v>63</v>
      </c>
      <c r="AN624" t="s">
        <v>3750</v>
      </c>
      <c r="AO624">
        <v>194175</v>
      </c>
      <c r="AQ624" t="s">
        <v>3751</v>
      </c>
      <c r="AR624" t="s">
        <v>3752</v>
      </c>
      <c r="AS624" t="s">
        <v>3753</v>
      </c>
      <c r="AT624" t="s">
        <v>68</v>
      </c>
      <c r="AV624" t="s">
        <v>3754</v>
      </c>
      <c r="AW624" t="s">
        <v>3755</v>
      </c>
      <c r="AX624" t="s">
        <v>3756</v>
      </c>
      <c r="BA624" s="14" t="s">
        <v>72</v>
      </c>
      <c r="BB624" s="14" t="s">
        <v>73</v>
      </c>
      <c r="BC624" s="14" t="s">
        <v>1723</v>
      </c>
    </row>
    <row r="625" spans="1:55" ht="15" customHeight="1" x14ac:dyDescent="0.4">
      <c r="A625" s="12">
        <v>3913</v>
      </c>
      <c r="B625" s="21" t="s">
        <v>6801</v>
      </c>
      <c r="C625" s="13" t="s">
        <v>6802</v>
      </c>
      <c r="D625" s="25" t="s">
        <v>6802</v>
      </c>
      <c r="E625" s="13"/>
      <c r="F625" s="41"/>
      <c r="G625" s="41"/>
      <c r="H625" s="41"/>
      <c r="I625" s="41"/>
      <c r="J625" s="41"/>
      <c r="K625" s="65" t="str">
        <f>IFERROR(VLOOKUP(D625,Sheet4!A$1:M$56,11,FALSE),"")</f>
        <v/>
      </c>
      <c r="L625" s="65" t="str">
        <f t="shared" si="9"/>
        <v/>
      </c>
      <c r="M625" s="14" t="s">
        <v>49</v>
      </c>
      <c r="N625" s="15">
        <v>44805</v>
      </c>
      <c r="O625" t="s">
        <v>2719</v>
      </c>
      <c r="P625" t="s">
        <v>51</v>
      </c>
      <c r="Q625" t="s">
        <v>52</v>
      </c>
      <c r="R625" t="s">
        <v>53</v>
      </c>
      <c r="S625" t="s">
        <v>6803</v>
      </c>
      <c r="T625" t="s">
        <v>6804</v>
      </c>
      <c r="U625" t="s">
        <v>56</v>
      </c>
      <c r="V625" s="21" t="s">
        <v>6805</v>
      </c>
      <c r="W625" s="21"/>
      <c r="X625" t="s">
        <v>6806</v>
      </c>
      <c r="Y625" t="s">
        <v>6807</v>
      </c>
      <c r="AC625" t="s">
        <v>60</v>
      </c>
      <c r="AE625" s="15"/>
      <c r="AG625">
        <v>29.37387</v>
      </c>
      <c r="AH625">
        <v>-95.580348999999998</v>
      </c>
      <c r="AI625" t="s">
        <v>6808</v>
      </c>
      <c r="AL625" t="s">
        <v>1715</v>
      </c>
      <c r="AM625" t="s">
        <v>63</v>
      </c>
      <c r="AN625" t="s">
        <v>6809</v>
      </c>
      <c r="AO625">
        <v>194584</v>
      </c>
      <c r="AQ625" t="s">
        <v>6810</v>
      </c>
      <c r="AR625" t="s">
        <v>6811</v>
      </c>
      <c r="AS625" t="s">
        <v>6812</v>
      </c>
      <c r="AT625" t="s">
        <v>68</v>
      </c>
      <c r="AV625" t="s">
        <v>6813</v>
      </c>
      <c r="AW625" t="s">
        <v>6814</v>
      </c>
      <c r="AX625" t="s">
        <v>6815</v>
      </c>
      <c r="BA625" s="14" t="s">
        <v>72</v>
      </c>
      <c r="BB625" s="14" t="s">
        <v>73</v>
      </c>
      <c r="BC625" s="14" t="s">
        <v>74</v>
      </c>
    </row>
    <row r="626" spans="1:55" ht="15" customHeight="1" x14ac:dyDescent="0.4">
      <c r="A626" s="12">
        <v>3914</v>
      </c>
      <c r="B626" s="21" t="s">
        <v>6816</v>
      </c>
      <c r="C626" s="13" t="s">
        <v>6817</v>
      </c>
      <c r="D626" s="25" t="s">
        <v>6817</v>
      </c>
      <c r="E626" s="13"/>
      <c r="F626" s="41"/>
      <c r="G626" s="41"/>
      <c r="H626" s="41"/>
      <c r="I626" s="41"/>
      <c r="J626" s="41"/>
      <c r="K626" s="65" t="str">
        <f>IFERROR(VLOOKUP(D626,Sheet4!A$1:M$56,11,FALSE),"")</f>
        <v/>
      </c>
      <c r="L626" s="65" t="str">
        <f t="shared" si="9"/>
        <v/>
      </c>
      <c r="M626" s="14" t="s">
        <v>49</v>
      </c>
      <c r="N626" s="15">
        <v>44805</v>
      </c>
      <c r="O626" t="s">
        <v>2719</v>
      </c>
      <c r="P626" t="s">
        <v>51</v>
      </c>
      <c r="Q626" t="s">
        <v>52</v>
      </c>
      <c r="R626" t="s">
        <v>53</v>
      </c>
      <c r="S626" t="s">
        <v>6803</v>
      </c>
      <c r="T626" t="s">
        <v>6804</v>
      </c>
      <c r="U626" t="s">
        <v>56</v>
      </c>
      <c r="V626" s="21" t="s">
        <v>6805</v>
      </c>
      <c r="W626" s="21"/>
      <c r="X626" t="s">
        <v>6818</v>
      </c>
      <c r="Y626" t="s">
        <v>6819</v>
      </c>
      <c r="AC626" t="s">
        <v>60</v>
      </c>
      <c r="AE626" s="15"/>
      <c r="AG626">
        <v>29.373913999999999</v>
      </c>
      <c r="AH626">
        <v>-95.579059999999998</v>
      </c>
      <c r="AI626" t="s">
        <v>6820</v>
      </c>
      <c r="AL626" t="s">
        <v>1715</v>
      </c>
      <c r="AM626" t="s">
        <v>63</v>
      </c>
      <c r="AN626" t="s">
        <v>6821</v>
      </c>
      <c r="AO626">
        <v>194585</v>
      </c>
      <c r="AQ626" t="s">
        <v>6822</v>
      </c>
      <c r="AR626" t="s">
        <v>6823</v>
      </c>
      <c r="AS626" t="s">
        <v>6824</v>
      </c>
      <c r="AT626" t="s">
        <v>68</v>
      </c>
      <c r="AV626" t="s">
        <v>6825</v>
      </c>
      <c r="AW626" t="s">
        <v>6826</v>
      </c>
      <c r="AX626" t="s">
        <v>6827</v>
      </c>
      <c r="BA626" s="14" t="s">
        <v>72</v>
      </c>
      <c r="BB626" s="14" t="s">
        <v>73</v>
      </c>
      <c r="BC626" s="14" t="s">
        <v>74</v>
      </c>
    </row>
    <row r="627" spans="1:55" ht="15" customHeight="1" x14ac:dyDescent="0.4">
      <c r="A627" s="12">
        <v>3915</v>
      </c>
      <c r="B627" s="21" t="s">
        <v>6828</v>
      </c>
      <c r="C627" s="13" t="s">
        <v>6829</v>
      </c>
      <c r="D627" s="25" t="s">
        <v>6829</v>
      </c>
      <c r="E627" s="13"/>
      <c r="F627" s="41"/>
      <c r="G627" s="41"/>
      <c r="H627" s="41"/>
      <c r="I627" s="41"/>
      <c r="J627" s="41"/>
      <c r="K627" s="65" t="str">
        <f>IFERROR(VLOOKUP(D627,Sheet4!A$1:M$56,11,FALSE),"")</f>
        <v/>
      </c>
      <c r="L627" s="65" t="str">
        <f t="shared" si="9"/>
        <v/>
      </c>
      <c r="M627" s="14" t="s">
        <v>49</v>
      </c>
      <c r="N627" s="15">
        <v>44805</v>
      </c>
      <c r="O627" t="s">
        <v>2719</v>
      </c>
      <c r="P627" t="s">
        <v>51</v>
      </c>
      <c r="Q627" t="s">
        <v>52</v>
      </c>
      <c r="R627" t="s">
        <v>53</v>
      </c>
      <c r="S627" t="s">
        <v>6803</v>
      </c>
      <c r="T627" t="s">
        <v>6804</v>
      </c>
      <c r="U627" t="s">
        <v>56</v>
      </c>
      <c r="V627" s="21" t="s">
        <v>6805</v>
      </c>
      <c r="W627" s="21"/>
      <c r="X627" t="s">
        <v>6830</v>
      </c>
      <c r="Y627" t="s">
        <v>6831</v>
      </c>
      <c r="AC627" t="s">
        <v>60</v>
      </c>
      <c r="AE627" s="15"/>
      <c r="AG627">
        <v>29.374410999999998</v>
      </c>
      <c r="AH627">
        <v>-95.576746999999997</v>
      </c>
      <c r="AI627" t="s">
        <v>6832</v>
      </c>
      <c r="AL627" t="s">
        <v>1715</v>
      </c>
      <c r="AM627" t="s">
        <v>63</v>
      </c>
      <c r="AN627" t="s">
        <v>6833</v>
      </c>
      <c r="AO627">
        <v>194586</v>
      </c>
      <c r="AQ627" t="s">
        <v>6834</v>
      </c>
      <c r="AR627" t="s">
        <v>6835</v>
      </c>
      <c r="AS627" t="s">
        <v>6836</v>
      </c>
      <c r="AT627" t="s">
        <v>68</v>
      </c>
      <c r="AV627" t="s">
        <v>6837</v>
      </c>
      <c r="AW627" t="s">
        <v>6838</v>
      </c>
      <c r="AX627" t="s">
        <v>6839</v>
      </c>
      <c r="BA627" s="14" t="s">
        <v>72</v>
      </c>
      <c r="BB627" s="14" t="s">
        <v>73</v>
      </c>
      <c r="BC627" s="14" t="s">
        <v>74</v>
      </c>
    </row>
    <row r="628" spans="1:55" ht="15" customHeight="1" x14ac:dyDescent="0.4">
      <c r="A628" s="12">
        <v>3916</v>
      </c>
      <c r="B628" s="21" t="s">
        <v>6840</v>
      </c>
      <c r="C628" s="13" t="s">
        <v>6841</v>
      </c>
      <c r="D628" s="25" t="s">
        <v>6841</v>
      </c>
      <c r="E628" s="13"/>
      <c r="F628" s="41"/>
      <c r="G628" s="41"/>
      <c r="H628" s="41"/>
      <c r="I628" s="41"/>
      <c r="J628" s="41"/>
      <c r="K628" s="65" t="str">
        <f>IFERROR(VLOOKUP(D628,Sheet4!A$1:M$56,11,FALSE),"")</f>
        <v/>
      </c>
      <c r="L628" s="65" t="str">
        <f t="shared" si="9"/>
        <v/>
      </c>
      <c r="M628" s="14" t="s">
        <v>49</v>
      </c>
      <c r="N628" s="15">
        <v>44805</v>
      </c>
      <c r="O628" t="s">
        <v>2719</v>
      </c>
      <c r="P628" t="s">
        <v>51</v>
      </c>
      <c r="Q628" t="s">
        <v>52</v>
      </c>
      <c r="R628" t="s">
        <v>53</v>
      </c>
      <c r="S628" t="s">
        <v>6803</v>
      </c>
      <c r="T628" t="s">
        <v>6804</v>
      </c>
      <c r="U628" t="s">
        <v>56</v>
      </c>
      <c r="V628" s="21" t="s">
        <v>6805</v>
      </c>
      <c r="W628" s="21"/>
      <c r="X628" t="s">
        <v>6842</v>
      </c>
      <c r="Y628" t="s">
        <v>6843</v>
      </c>
      <c r="AC628" t="s">
        <v>60</v>
      </c>
      <c r="AE628" s="15"/>
      <c r="AG628">
        <v>29.375257999999999</v>
      </c>
      <c r="AH628">
        <v>-95.576690999999997</v>
      </c>
      <c r="AI628" t="s">
        <v>6844</v>
      </c>
      <c r="AL628" t="s">
        <v>1715</v>
      </c>
      <c r="AM628" t="s">
        <v>63</v>
      </c>
      <c r="AN628" t="s">
        <v>6845</v>
      </c>
      <c r="AO628">
        <v>192578</v>
      </c>
      <c r="AQ628" t="s">
        <v>6846</v>
      </c>
      <c r="AR628" t="s">
        <v>6847</v>
      </c>
      <c r="AS628" t="s">
        <v>6848</v>
      </c>
      <c r="AT628" t="s">
        <v>68</v>
      </c>
      <c r="AU628" t="s">
        <v>6849</v>
      </c>
      <c r="AV628" t="s">
        <v>6850</v>
      </c>
      <c r="AW628" t="s">
        <v>6851</v>
      </c>
      <c r="AX628" t="s">
        <v>6852</v>
      </c>
      <c r="AY628" s="31" t="s">
        <v>6853</v>
      </c>
      <c r="BA628" s="14" t="s">
        <v>72</v>
      </c>
      <c r="BB628" s="14" t="s">
        <v>73</v>
      </c>
      <c r="BC628" s="14" t="s">
        <v>74</v>
      </c>
    </row>
    <row r="629" spans="1:55" ht="15" customHeight="1" x14ac:dyDescent="0.4">
      <c r="A629" s="12">
        <v>3917</v>
      </c>
      <c r="B629" s="21" t="s">
        <v>6854</v>
      </c>
      <c r="C629" s="13" t="s">
        <v>6855</v>
      </c>
      <c r="D629" s="25" t="s">
        <v>6855</v>
      </c>
      <c r="E629" s="13"/>
      <c r="F629" s="41"/>
      <c r="G629" s="41"/>
      <c r="H629" s="41"/>
      <c r="I629" s="41"/>
      <c r="J629" s="41"/>
      <c r="K629" s="65" t="str">
        <f>IFERROR(VLOOKUP(D629,Sheet4!A$1:M$56,11,FALSE),"")</f>
        <v/>
      </c>
      <c r="L629" s="65" t="str">
        <f t="shared" si="9"/>
        <v/>
      </c>
      <c r="M629" s="14" t="s">
        <v>1703</v>
      </c>
      <c r="N629" s="15">
        <v>44805</v>
      </c>
      <c r="O629" t="s">
        <v>2719</v>
      </c>
      <c r="P629" t="s">
        <v>51</v>
      </c>
      <c r="Q629" t="s">
        <v>52</v>
      </c>
      <c r="R629" t="s">
        <v>53</v>
      </c>
      <c r="S629" t="s">
        <v>6803</v>
      </c>
      <c r="T629" t="s">
        <v>6804</v>
      </c>
      <c r="U629" t="s">
        <v>56</v>
      </c>
      <c r="V629" s="21" t="s">
        <v>6805</v>
      </c>
      <c r="W629" s="21"/>
      <c r="X629" t="s">
        <v>6856</v>
      </c>
      <c r="Y629" t="s">
        <v>6857</v>
      </c>
      <c r="AC629" t="s">
        <v>1713</v>
      </c>
      <c r="AE629" s="15"/>
      <c r="AG629">
        <v>29.375263</v>
      </c>
      <c r="AH629">
        <v>-95.585273000000001</v>
      </c>
      <c r="AI629" t="s">
        <v>6858</v>
      </c>
      <c r="AL629" t="s">
        <v>1715</v>
      </c>
      <c r="AM629" t="s">
        <v>63</v>
      </c>
      <c r="AN629" t="s">
        <v>6859</v>
      </c>
      <c r="AO629">
        <v>193749</v>
      </c>
      <c r="AQ629" t="s">
        <v>6860</v>
      </c>
      <c r="AR629" t="s">
        <v>6861</v>
      </c>
      <c r="AS629" t="s">
        <v>6862</v>
      </c>
      <c r="AT629" t="s">
        <v>68</v>
      </c>
      <c r="AV629" t="s">
        <v>6863</v>
      </c>
      <c r="AW629" t="s">
        <v>6864</v>
      </c>
      <c r="AX629" t="s">
        <v>6865</v>
      </c>
      <c r="BA629" s="14" t="s">
        <v>72</v>
      </c>
      <c r="BB629" s="14" t="s">
        <v>73</v>
      </c>
      <c r="BC629" s="14" t="s">
        <v>1723</v>
      </c>
    </row>
    <row r="630" spans="1:55" ht="15" customHeight="1" x14ac:dyDescent="0.4">
      <c r="A630" s="12">
        <v>3918</v>
      </c>
      <c r="B630" s="21" t="s">
        <v>6866</v>
      </c>
      <c r="C630" s="13" t="s">
        <v>6867</v>
      </c>
      <c r="D630" s="25" t="s">
        <v>6867</v>
      </c>
      <c r="E630" s="13"/>
      <c r="F630" s="41"/>
      <c r="G630" s="41"/>
      <c r="H630" s="46"/>
      <c r="I630" s="46"/>
      <c r="J630" s="46"/>
      <c r="K630" s="46"/>
      <c r="L630" s="65" t="str">
        <f t="shared" si="9"/>
        <v/>
      </c>
      <c r="M630" s="14" t="s">
        <v>1703</v>
      </c>
      <c r="N630" s="15">
        <v>44805</v>
      </c>
      <c r="O630" t="s">
        <v>2719</v>
      </c>
      <c r="P630" t="s">
        <v>51</v>
      </c>
      <c r="Q630" t="s">
        <v>52</v>
      </c>
      <c r="R630" t="s">
        <v>53</v>
      </c>
      <c r="S630" t="s">
        <v>6803</v>
      </c>
      <c r="T630" t="s">
        <v>6804</v>
      </c>
      <c r="U630" t="s">
        <v>56</v>
      </c>
      <c r="V630" s="21" t="s">
        <v>6805</v>
      </c>
      <c r="W630" s="21"/>
      <c r="X630" t="s">
        <v>6868</v>
      </c>
      <c r="Y630" t="s">
        <v>6869</v>
      </c>
      <c r="AC630" t="s">
        <v>1713</v>
      </c>
      <c r="AE630" s="15"/>
      <c r="AG630">
        <v>29.374983</v>
      </c>
      <c r="AH630">
        <v>-95.586538000000004</v>
      </c>
      <c r="AI630" t="s">
        <v>6808</v>
      </c>
      <c r="AL630" t="s">
        <v>1715</v>
      </c>
      <c r="AM630" t="s">
        <v>63</v>
      </c>
      <c r="AN630" t="s">
        <v>6870</v>
      </c>
      <c r="AO630">
        <v>193750</v>
      </c>
      <c r="AQ630" t="s">
        <v>6871</v>
      </c>
      <c r="AR630" t="s">
        <v>6872</v>
      </c>
      <c r="AS630" t="s">
        <v>6873</v>
      </c>
      <c r="AT630" t="s">
        <v>68</v>
      </c>
      <c r="AV630" t="s">
        <v>6874</v>
      </c>
      <c r="AW630" t="s">
        <v>6875</v>
      </c>
      <c r="AX630" t="s">
        <v>6876</v>
      </c>
      <c r="BA630" s="14" t="s">
        <v>72</v>
      </c>
      <c r="BB630" s="14" t="s">
        <v>73</v>
      </c>
      <c r="BC630" s="14" t="s">
        <v>1723</v>
      </c>
    </row>
    <row r="631" spans="1:55" ht="15" customHeight="1" x14ac:dyDescent="0.4">
      <c r="A631" s="12">
        <v>3919</v>
      </c>
      <c r="B631" s="21" t="s">
        <v>6877</v>
      </c>
      <c r="C631" s="13" t="s">
        <v>6878</v>
      </c>
      <c r="D631" s="25" t="s">
        <v>6878</v>
      </c>
      <c r="E631" s="13"/>
      <c r="F631" s="41"/>
      <c r="G631" s="41"/>
      <c r="H631" s="41"/>
      <c r="I631" s="41"/>
      <c r="J631" s="41"/>
      <c r="K631" s="65" t="str">
        <f>IFERROR(VLOOKUP(D631,Sheet4!A$1:M$46,11,FALSE),"")</f>
        <v/>
      </c>
      <c r="L631" s="65" t="str">
        <f t="shared" si="9"/>
        <v/>
      </c>
      <c r="M631" s="14" t="s">
        <v>49</v>
      </c>
      <c r="N631" s="15">
        <v>44805</v>
      </c>
      <c r="O631" t="s">
        <v>2719</v>
      </c>
      <c r="P631" t="s">
        <v>51</v>
      </c>
      <c r="Q631" t="s">
        <v>52</v>
      </c>
      <c r="R631" t="s">
        <v>53</v>
      </c>
      <c r="S631" t="s">
        <v>6803</v>
      </c>
      <c r="T631" t="s">
        <v>6804</v>
      </c>
      <c r="U631" t="s">
        <v>56</v>
      </c>
      <c r="V631" s="21" t="s">
        <v>6805</v>
      </c>
      <c r="W631" s="21"/>
      <c r="X631" t="s">
        <v>6879</v>
      </c>
      <c r="Y631" t="s">
        <v>6880</v>
      </c>
      <c r="AB631" t="s">
        <v>1758</v>
      </c>
      <c r="AC631" t="s">
        <v>60</v>
      </c>
      <c r="AE631" s="15"/>
      <c r="AG631">
        <v>29.378315000000001</v>
      </c>
      <c r="AH631">
        <v>-95.586521000000005</v>
      </c>
      <c r="AI631" t="s">
        <v>6881</v>
      </c>
      <c r="AL631" t="s">
        <v>1715</v>
      </c>
      <c r="AM631" t="s">
        <v>63</v>
      </c>
      <c r="AN631" t="s">
        <v>6882</v>
      </c>
      <c r="AO631">
        <v>194566</v>
      </c>
      <c r="AQ631" t="s">
        <v>6883</v>
      </c>
      <c r="AR631" t="s">
        <v>6884</v>
      </c>
      <c r="AS631" t="s">
        <v>6885</v>
      </c>
      <c r="AT631" t="s">
        <v>68</v>
      </c>
      <c r="AV631" t="s">
        <v>6886</v>
      </c>
      <c r="AW631" t="s">
        <v>6887</v>
      </c>
      <c r="AX631" t="s">
        <v>6888</v>
      </c>
      <c r="BA631" s="14" t="s">
        <v>72</v>
      </c>
      <c r="BB631" s="14" t="s">
        <v>73</v>
      </c>
      <c r="BC631" s="14" t="s">
        <v>74</v>
      </c>
    </row>
    <row r="632" spans="1:55" ht="15" customHeight="1" x14ac:dyDescent="0.4">
      <c r="A632" s="12">
        <v>3920</v>
      </c>
      <c r="B632" s="21" t="s">
        <v>6889</v>
      </c>
      <c r="C632" s="13" t="s">
        <v>6890</v>
      </c>
      <c r="D632" s="25" t="s">
        <v>6890</v>
      </c>
      <c r="E632" s="13"/>
      <c r="F632" s="41"/>
      <c r="G632" s="41"/>
      <c r="H632" s="41"/>
      <c r="I632" s="41"/>
      <c r="J632" s="41"/>
      <c r="K632" s="65" t="str">
        <f>IFERROR(VLOOKUP(D632,Sheet4!A$1:M$46,11,FALSE),"")</f>
        <v/>
      </c>
      <c r="L632" s="65" t="str">
        <f t="shared" si="9"/>
        <v/>
      </c>
      <c r="M632" s="14" t="s">
        <v>2006</v>
      </c>
      <c r="N632" s="15">
        <v>44805</v>
      </c>
      <c r="O632" t="s">
        <v>2719</v>
      </c>
      <c r="P632" t="s">
        <v>51</v>
      </c>
      <c r="Q632" t="s">
        <v>52</v>
      </c>
      <c r="R632" t="s">
        <v>53</v>
      </c>
      <c r="S632" t="s">
        <v>6803</v>
      </c>
      <c r="T632" t="s">
        <v>6804</v>
      </c>
      <c r="U632" t="s">
        <v>56</v>
      </c>
      <c r="V632" s="21" t="s">
        <v>6805</v>
      </c>
      <c r="W632" s="21"/>
      <c r="X632" t="s">
        <v>6891</v>
      </c>
      <c r="Y632" t="s">
        <v>6892</v>
      </c>
      <c r="AC632" t="s">
        <v>2009</v>
      </c>
      <c r="AE632" s="15"/>
      <c r="AG632">
        <v>29.373101999999999</v>
      </c>
      <c r="AH632">
        <v>-95.608037999999993</v>
      </c>
      <c r="AI632" t="s">
        <v>6893</v>
      </c>
      <c r="AL632" t="s">
        <v>1715</v>
      </c>
      <c r="AM632" t="s">
        <v>63</v>
      </c>
      <c r="AN632" t="s">
        <v>6894</v>
      </c>
      <c r="AO632">
        <v>194238</v>
      </c>
      <c r="AQ632" t="s">
        <v>6895</v>
      </c>
      <c r="AR632" t="s">
        <v>6896</v>
      </c>
      <c r="AS632" t="s">
        <v>6897</v>
      </c>
      <c r="AT632" t="s">
        <v>68</v>
      </c>
      <c r="AV632" t="s">
        <v>6898</v>
      </c>
      <c r="AW632" t="s">
        <v>6899</v>
      </c>
      <c r="AX632" t="s">
        <v>6900</v>
      </c>
      <c r="BA632" s="14" t="s">
        <v>72</v>
      </c>
      <c r="BB632" s="14" t="s">
        <v>73</v>
      </c>
      <c r="BC632" s="14" t="s">
        <v>74</v>
      </c>
    </row>
    <row r="633" spans="1:55" ht="15" customHeight="1" x14ac:dyDescent="0.4">
      <c r="A633" s="12">
        <v>3932</v>
      </c>
      <c r="B633" s="21" t="s">
        <v>7032</v>
      </c>
      <c r="C633" s="13" t="s">
        <v>7033</v>
      </c>
      <c r="D633" s="25" t="s">
        <v>7033</v>
      </c>
      <c r="E633" s="13"/>
      <c r="F633" s="46" t="s">
        <v>3178</v>
      </c>
      <c r="G633" s="46" t="s">
        <v>8167</v>
      </c>
      <c r="H633" s="46"/>
      <c r="I633" s="46"/>
      <c r="J633" s="46" t="s">
        <v>8167</v>
      </c>
      <c r="K633" s="65" t="str">
        <f>IFERROR(VLOOKUP(D633,Sheet4!A$1:M$46,11,FALSE),"")</f>
        <v/>
      </c>
      <c r="L633" s="65" t="str">
        <f t="shared" si="9"/>
        <v>morphologically and genomically introgressed with Q. stellata</v>
      </c>
      <c r="M633" s="14" t="s">
        <v>1752</v>
      </c>
      <c r="N633" s="15">
        <v>44808</v>
      </c>
      <c r="O633" t="s">
        <v>7034</v>
      </c>
      <c r="P633" t="s">
        <v>51</v>
      </c>
      <c r="Q633" t="s">
        <v>52</v>
      </c>
      <c r="R633" t="s">
        <v>53</v>
      </c>
      <c r="S633" t="s">
        <v>6803</v>
      </c>
      <c r="T633" t="s">
        <v>6903</v>
      </c>
      <c r="U633" t="s">
        <v>56</v>
      </c>
      <c r="V633" s="21" t="s">
        <v>7035</v>
      </c>
      <c r="W633" s="21"/>
      <c r="X633" t="s">
        <v>7036</v>
      </c>
      <c r="Y633" t="s">
        <v>7037</v>
      </c>
      <c r="AC633" t="s">
        <v>1759</v>
      </c>
      <c r="AE633" s="15"/>
      <c r="AG633">
        <v>32.637725000000003</v>
      </c>
      <c r="AH633">
        <v>-96.977413999999996</v>
      </c>
      <c r="AI633" t="s">
        <v>5854</v>
      </c>
      <c r="AL633" t="s">
        <v>1715</v>
      </c>
      <c r="AM633" t="s">
        <v>63</v>
      </c>
      <c r="AN633" t="s">
        <v>7038</v>
      </c>
      <c r="AO633">
        <v>193543</v>
      </c>
      <c r="AQ633" t="s">
        <v>7039</v>
      </c>
      <c r="AR633" t="s">
        <v>7040</v>
      </c>
      <c r="AS633" t="s">
        <v>7041</v>
      </c>
      <c r="AT633" t="s">
        <v>68</v>
      </c>
      <c r="AV633" t="s">
        <v>7042</v>
      </c>
      <c r="AW633" t="s">
        <v>7043</v>
      </c>
      <c r="AX633" t="s">
        <v>7044</v>
      </c>
      <c r="BA633" s="14" t="s">
        <v>72</v>
      </c>
      <c r="BB633" s="14" t="s">
        <v>73</v>
      </c>
      <c r="BC633" s="14" t="s">
        <v>1768</v>
      </c>
    </row>
    <row r="634" spans="1:55" ht="15" customHeight="1" x14ac:dyDescent="0.4">
      <c r="A634" s="12">
        <v>3933</v>
      </c>
      <c r="B634" s="21" t="s">
        <v>7045</v>
      </c>
      <c r="C634" s="13" t="s">
        <v>7046</v>
      </c>
      <c r="D634" s="25" t="s">
        <v>7046</v>
      </c>
      <c r="E634" s="13"/>
      <c r="F634" s="46" t="s">
        <v>1752</v>
      </c>
      <c r="G634" s="46" t="s">
        <v>8166</v>
      </c>
      <c r="H634" s="46"/>
      <c r="I634" s="46"/>
      <c r="J634" s="46" t="s">
        <v>8166</v>
      </c>
      <c r="K634" s="65" t="str">
        <f>IFERROR(VLOOKUP(D634,Sheet4!A$1:M$46,11,FALSE),"")</f>
        <v/>
      </c>
      <c r="L634" s="65" t="str">
        <f t="shared" si="9"/>
        <v>morphologically and genomically introgressed with Q. margaretiae</v>
      </c>
      <c r="M634" s="14" t="s">
        <v>1752</v>
      </c>
      <c r="N634" s="15">
        <v>44808</v>
      </c>
      <c r="O634" t="s">
        <v>7034</v>
      </c>
      <c r="P634" t="s">
        <v>51</v>
      </c>
      <c r="Q634" t="s">
        <v>52</v>
      </c>
      <c r="R634" t="s">
        <v>53</v>
      </c>
      <c r="S634" t="s">
        <v>6803</v>
      </c>
      <c r="T634" t="s">
        <v>6903</v>
      </c>
      <c r="U634" t="s">
        <v>56</v>
      </c>
      <c r="V634" s="21" t="s">
        <v>7035</v>
      </c>
      <c r="W634" s="21"/>
      <c r="X634" t="s">
        <v>7047</v>
      </c>
      <c r="Y634" t="s">
        <v>7048</v>
      </c>
      <c r="AB634" t="s">
        <v>1758</v>
      </c>
      <c r="AC634" t="s">
        <v>1759</v>
      </c>
      <c r="AE634" s="15"/>
      <c r="AG634">
        <v>32.638171</v>
      </c>
      <c r="AH634">
        <v>-96.977670000000003</v>
      </c>
      <c r="AI634" t="s">
        <v>7049</v>
      </c>
      <c r="AL634" t="s">
        <v>1715</v>
      </c>
      <c r="AM634" t="s">
        <v>63</v>
      </c>
      <c r="AN634" t="s">
        <v>7050</v>
      </c>
      <c r="AO634">
        <v>193544</v>
      </c>
      <c r="AQ634" t="s">
        <v>7051</v>
      </c>
      <c r="AR634" t="s">
        <v>7052</v>
      </c>
      <c r="AS634" t="s">
        <v>7053</v>
      </c>
      <c r="AT634" t="s">
        <v>68</v>
      </c>
      <c r="AV634" t="s">
        <v>7054</v>
      </c>
      <c r="AW634" t="s">
        <v>7055</v>
      </c>
      <c r="AX634" t="s">
        <v>7056</v>
      </c>
      <c r="BA634" s="14" t="s">
        <v>72</v>
      </c>
      <c r="BB634" s="14" t="s">
        <v>73</v>
      </c>
      <c r="BC634" s="14" t="s">
        <v>1768</v>
      </c>
    </row>
    <row r="635" spans="1:55" ht="15" customHeight="1" x14ac:dyDescent="0.4">
      <c r="A635" s="12">
        <v>3934</v>
      </c>
      <c r="B635" s="21" t="s">
        <v>7057</v>
      </c>
      <c r="C635" s="13" t="s">
        <v>7058</v>
      </c>
      <c r="D635" s="25" t="s">
        <v>7058</v>
      </c>
      <c r="E635" s="13"/>
      <c r="F635" s="41"/>
      <c r="G635" s="41"/>
      <c r="H635" s="41"/>
      <c r="I635" s="41"/>
      <c r="J635" s="41"/>
      <c r="K635" s="65" t="str">
        <f>IFERROR(VLOOKUP(D635,Sheet4!A$1:M$46,11,FALSE),"")</f>
        <v/>
      </c>
      <c r="L635" s="65" t="str">
        <f t="shared" si="9"/>
        <v/>
      </c>
      <c r="M635" s="14" t="s">
        <v>49</v>
      </c>
      <c r="N635" s="15">
        <v>44808</v>
      </c>
      <c r="O635" t="s">
        <v>7034</v>
      </c>
      <c r="P635" t="s">
        <v>51</v>
      </c>
      <c r="Q635" t="s">
        <v>52</v>
      </c>
      <c r="R635" t="s">
        <v>53</v>
      </c>
      <c r="S635" t="s">
        <v>6803</v>
      </c>
      <c r="T635" t="s">
        <v>6903</v>
      </c>
      <c r="U635" t="s">
        <v>56</v>
      </c>
      <c r="V635" s="21" t="s">
        <v>7035</v>
      </c>
      <c r="W635" s="21"/>
      <c r="X635" t="s">
        <v>7059</v>
      </c>
      <c r="Y635" t="s">
        <v>7060</v>
      </c>
      <c r="AC635" t="s">
        <v>60</v>
      </c>
      <c r="AE635" s="15"/>
      <c r="AG635">
        <v>32.638187000000002</v>
      </c>
      <c r="AH635">
        <v>-96.975785999999999</v>
      </c>
      <c r="AI635" t="s">
        <v>7061</v>
      </c>
      <c r="AL635" t="s">
        <v>1715</v>
      </c>
      <c r="AM635" t="s">
        <v>63</v>
      </c>
      <c r="AN635" t="s">
        <v>7062</v>
      </c>
      <c r="AO635">
        <v>193374</v>
      </c>
      <c r="AQ635" t="s">
        <v>7063</v>
      </c>
      <c r="AR635" t="s">
        <v>7064</v>
      </c>
      <c r="AS635" t="s">
        <v>7065</v>
      </c>
      <c r="AT635" t="s">
        <v>68</v>
      </c>
      <c r="AV635" t="s">
        <v>7066</v>
      </c>
      <c r="AW635" t="s">
        <v>7067</v>
      </c>
      <c r="AX635" t="s">
        <v>7068</v>
      </c>
      <c r="BA635" s="14" t="s">
        <v>72</v>
      </c>
      <c r="BB635" s="14" t="s">
        <v>73</v>
      </c>
      <c r="BC635" s="14" t="s">
        <v>74</v>
      </c>
    </row>
    <row r="636" spans="1:55" ht="15" customHeight="1" x14ac:dyDescent="0.4">
      <c r="A636" s="12">
        <v>3935</v>
      </c>
      <c r="B636" s="21" t="s">
        <v>7069</v>
      </c>
      <c r="C636" s="13" t="s">
        <v>7070</v>
      </c>
      <c r="D636" s="25" t="s">
        <v>7070</v>
      </c>
      <c r="E636" s="13"/>
      <c r="F636" s="46" t="s">
        <v>3178</v>
      </c>
      <c r="G636" s="46" t="s">
        <v>8167</v>
      </c>
      <c r="H636" s="46"/>
      <c r="I636" s="46"/>
      <c r="J636" s="46" t="s">
        <v>8167</v>
      </c>
      <c r="K636" s="65" t="str">
        <f>IFERROR(VLOOKUP(D636,Sheet4!A$1:M$46,11,FALSE),"")</f>
        <v/>
      </c>
      <c r="L636" s="65" t="str">
        <f t="shared" si="9"/>
        <v>morphologically and genomically introgressed with Q. stellata</v>
      </c>
      <c r="M636" s="14" t="s">
        <v>1752</v>
      </c>
      <c r="N636" s="15">
        <v>44808</v>
      </c>
      <c r="O636" t="s">
        <v>7034</v>
      </c>
      <c r="P636" t="s">
        <v>51</v>
      </c>
      <c r="Q636" t="s">
        <v>52</v>
      </c>
      <c r="R636" t="s">
        <v>53</v>
      </c>
      <c r="S636" t="s">
        <v>6803</v>
      </c>
      <c r="T636" t="s">
        <v>6903</v>
      </c>
      <c r="U636" t="s">
        <v>56</v>
      </c>
      <c r="V636" s="21" t="s">
        <v>7035</v>
      </c>
      <c r="W636" s="21"/>
      <c r="X636" t="s">
        <v>7071</v>
      </c>
      <c r="Y636" t="s">
        <v>7072</v>
      </c>
      <c r="AB636" t="s">
        <v>1758</v>
      </c>
      <c r="AC636" t="s">
        <v>1759</v>
      </c>
      <c r="AE636" s="15"/>
      <c r="AG636">
        <v>32.637915</v>
      </c>
      <c r="AH636">
        <v>-96.978442999999999</v>
      </c>
      <c r="AI636" t="s">
        <v>7073</v>
      </c>
      <c r="AL636" t="s">
        <v>1715</v>
      </c>
      <c r="AM636" t="s">
        <v>63</v>
      </c>
      <c r="AN636" t="s">
        <v>7074</v>
      </c>
      <c r="AO636">
        <v>193545</v>
      </c>
      <c r="AQ636" t="s">
        <v>7075</v>
      </c>
      <c r="AR636" t="s">
        <v>7076</v>
      </c>
      <c r="AS636" t="s">
        <v>7077</v>
      </c>
      <c r="AT636" t="s">
        <v>68</v>
      </c>
      <c r="AV636" t="s">
        <v>7078</v>
      </c>
      <c r="AW636" t="s">
        <v>7079</v>
      </c>
      <c r="AX636" t="s">
        <v>7080</v>
      </c>
      <c r="BA636" s="14" t="s">
        <v>72</v>
      </c>
      <c r="BB636" s="14" t="s">
        <v>73</v>
      </c>
      <c r="BC636" s="14" t="s">
        <v>1768</v>
      </c>
    </row>
    <row r="637" spans="1:55" ht="15" customHeight="1" x14ac:dyDescent="0.4">
      <c r="A637" s="12">
        <v>3936</v>
      </c>
      <c r="B637" s="21" t="s">
        <v>7081</v>
      </c>
      <c r="C637" s="13" t="s">
        <v>7082</v>
      </c>
      <c r="D637" s="25" t="s">
        <v>7082</v>
      </c>
      <c r="E637" s="13"/>
      <c r="F637" s="46" t="s">
        <v>1752</v>
      </c>
      <c r="G637" s="46" t="s">
        <v>8166</v>
      </c>
      <c r="H637" s="46"/>
      <c r="I637" s="46"/>
      <c r="J637" s="46" t="s">
        <v>8166</v>
      </c>
      <c r="K637" s="65" t="str">
        <f>IFERROR(VLOOKUP(D637,Sheet4!A$1:M$46,11,FALSE),"")</f>
        <v/>
      </c>
      <c r="L637" s="65" t="str">
        <f t="shared" si="9"/>
        <v>morphologically and genomically introgressed with Q. margaretiae</v>
      </c>
      <c r="M637" s="14" t="s">
        <v>1752</v>
      </c>
      <c r="N637" s="15">
        <v>44808</v>
      </c>
      <c r="O637" t="s">
        <v>7034</v>
      </c>
      <c r="P637" t="s">
        <v>51</v>
      </c>
      <c r="Q637" t="s">
        <v>52</v>
      </c>
      <c r="R637" t="s">
        <v>53</v>
      </c>
      <c r="S637" t="s">
        <v>6803</v>
      </c>
      <c r="T637" t="s">
        <v>6903</v>
      </c>
      <c r="U637" t="s">
        <v>56</v>
      </c>
      <c r="V637" s="21" t="s">
        <v>7035</v>
      </c>
      <c r="W637" s="21"/>
      <c r="X637" t="s">
        <v>7083</v>
      </c>
      <c r="Y637" t="s">
        <v>7084</v>
      </c>
      <c r="AB637" t="s">
        <v>1758</v>
      </c>
      <c r="AC637" t="s">
        <v>1759</v>
      </c>
      <c r="AE637" s="15"/>
      <c r="AG637">
        <v>32.638393999999998</v>
      </c>
      <c r="AH637">
        <v>-96.979085999999995</v>
      </c>
      <c r="AI637" t="s">
        <v>7085</v>
      </c>
      <c r="AL637" t="s">
        <v>1715</v>
      </c>
      <c r="AM637" t="s">
        <v>63</v>
      </c>
      <c r="AN637" t="s">
        <v>7086</v>
      </c>
      <c r="AO637">
        <v>193546</v>
      </c>
      <c r="AQ637" t="s">
        <v>7087</v>
      </c>
      <c r="AR637" t="s">
        <v>7088</v>
      </c>
      <c r="AS637" t="s">
        <v>7089</v>
      </c>
      <c r="AT637" t="s">
        <v>68</v>
      </c>
      <c r="AV637" t="s">
        <v>7090</v>
      </c>
      <c r="AW637" t="s">
        <v>7091</v>
      </c>
      <c r="AX637" t="s">
        <v>7092</v>
      </c>
      <c r="BA637" s="14" t="s">
        <v>72</v>
      </c>
      <c r="BB637" s="14" t="s">
        <v>73</v>
      </c>
      <c r="BC637" s="14" t="s">
        <v>1768</v>
      </c>
    </row>
    <row r="638" spans="1:55" ht="15" customHeight="1" x14ac:dyDescent="0.4">
      <c r="A638" s="12">
        <v>3937</v>
      </c>
      <c r="B638" s="21" t="s">
        <v>7093</v>
      </c>
      <c r="C638" s="13" t="s">
        <v>7094</v>
      </c>
      <c r="D638" s="25" t="s">
        <v>7094</v>
      </c>
      <c r="E638" s="13"/>
      <c r="F638" s="41"/>
      <c r="G638" s="41"/>
      <c r="H638" s="41"/>
      <c r="I638" s="41"/>
      <c r="J638" s="41"/>
      <c r="K638" s="65" t="str">
        <f>IFERROR(VLOOKUP(D638,Sheet4!A$1:M$46,11,FALSE),"")</f>
        <v/>
      </c>
      <c r="L638" s="65" t="str">
        <f t="shared" si="9"/>
        <v/>
      </c>
      <c r="M638" s="14" t="s">
        <v>49</v>
      </c>
      <c r="N638" s="15">
        <v>44808</v>
      </c>
      <c r="O638" t="s">
        <v>7034</v>
      </c>
      <c r="P638" t="s">
        <v>51</v>
      </c>
      <c r="Q638" t="s">
        <v>52</v>
      </c>
      <c r="R638" t="s">
        <v>53</v>
      </c>
      <c r="S638" t="s">
        <v>6803</v>
      </c>
      <c r="T638" t="s">
        <v>6903</v>
      </c>
      <c r="U638" t="s">
        <v>56</v>
      </c>
      <c r="V638" s="21" t="s">
        <v>7035</v>
      </c>
      <c r="W638" s="21"/>
      <c r="X638" t="s">
        <v>7095</v>
      </c>
      <c r="Y638" t="s">
        <v>7096</v>
      </c>
      <c r="AB638" t="s">
        <v>3765</v>
      </c>
      <c r="AC638" t="s">
        <v>60</v>
      </c>
      <c r="AE638" s="15"/>
      <c r="AG638">
        <v>32.635409000000003</v>
      </c>
      <c r="AH638">
        <v>-96.974027000000007</v>
      </c>
      <c r="AI638" t="s">
        <v>7097</v>
      </c>
      <c r="AL638" t="s">
        <v>1715</v>
      </c>
      <c r="AM638" t="s">
        <v>63</v>
      </c>
      <c r="AN638" t="s">
        <v>7098</v>
      </c>
      <c r="AO638">
        <v>194587</v>
      </c>
      <c r="AQ638" t="s">
        <v>7099</v>
      </c>
      <c r="AR638" t="s">
        <v>7100</v>
      </c>
      <c r="AS638" t="s">
        <v>7101</v>
      </c>
      <c r="AT638" t="s">
        <v>68</v>
      </c>
      <c r="AV638" t="s">
        <v>7102</v>
      </c>
      <c r="AW638" t="s">
        <v>7103</v>
      </c>
      <c r="AX638" t="s">
        <v>7104</v>
      </c>
      <c r="BA638" s="14" t="s">
        <v>72</v>
      </c>
      <c r="BB638" s="14" t="s">
        <v>73</v>
      </c>
      <c r="BC638" s="14" t="s">
        <v>74</v>
      </c>
    </row>
    <row r="639" spans="1:55" ht="15" customHeight="1" x14ac:dyDescent="0.4">
      <c r="A639" s="12">
        <v>3938</v>
      </c>
      <c r="B639" s="21" t="s">
        <v>7105</v>
      </c>
      <c r="C639" s="13" t="s">
        <v>7106</v>
      </c>
      <c r="D639" s="25" t="s">
        <v>7106</v>
      </c>
      <c r="E639" s="13"/>
      <c r="F639" s="46" t="s">
        <v>3178</v>
      </c>
      <c r="G639" s="46" t="s">
        <v>8167</v>
      </c>
      <c r="H639" s="46"/>
      <c r="I639" s="46"/>
      <c r="J639" s="46" t="s">
        <v>8167</v>
      </c>
      <c r="K639" s="65" t="str">
        <f>IFERROR(VLOOKUP(D639,Sheet4!A$1:M$46,11,FALSE),"")</f>
        <v/>
      </c>
      <c r="L639" s="65" t="str">
        <f t="shared" si="9"/>
        <v>morphologically and genomically introgressed with Q. stellata</v>
      </c>
      <c r="M639" s="14" t="s">
        <v>1752</v>
      </c>
      <c r="N639" s="15">
        <v>44808</v>
      </c>
      <c r="O639" t="s">
        <v>7034</v>
      </c>
      <c r="P639" t="s">
        <v>51</v>
      </c>
      <c r="Q639" t="s">
        <v>52</v>
      </c>
      <c r="R639" t="s">
        <v>53</v>
      </c>
      <c r="S639" t="s">
        <v>6803</v>
      </c>
      <c r="T639" t="s">
        <v>6903</v>
      </c>
      <c r="U639" t="s">
        <v>56</v>
      </c>
      <c r="V639" s="21" t="s">
        <v>7035</v>
      </c>
      <c r="W639" s="21"/>
      <c r="X639" t="s">
        <v>7107</v>
      </c>
      <c r="Y639" t="s">
        <v>7108</v>
      </c>
      <c r="AB639" t="s">
        <v>1758</v>
      </c>
      <c r="AC639" t="s">
        <v>1759</v>
      </c>
      <c r="AE639" s="15"/>
      <c r="AG639">
        <v>32.634977999999997</v>
      </c>
      <c r="AH639">
        <v>-96.979732999999996</v>
      </c>
      <c r="AI639" t="s">
        <v>5724</v>
      </c>
      <c r="AL639" t="s">
        <v>1715</v>
      </c>
      <c r="AM639" t="s">
        <v>63</v>
      </c>
      <c r="AN639" t="s">
        <v>7109</v>
      </c>
      <c r="AO639">
        <v>193547</v>
      </c>
      <c r="AQ639" t="s">
        <v>7110</v>
      </c>
      <c r="AR639" t="s">
        <v>7111</v>
      </c>
      <c r="AS639" t="s">
        <v>7112</v>
      </c>
      <c r="AT639" t="s">
        <v>68</v>
      </c>
      <c r="AV639" t="s">
        <v>7113</v>
      </c>
      <c r="AW639" t="s">
        <v>7114</v>
      </c>
      <c r="AX639" t="s">
        <v>7115</v>
      </c>
      <c r="BA639" s="14" t="s">
        <v>72</v>
      </c>
      <c r="BB639" s="14" t="s">
        <v>73</v>
      </c>
      <c r="BC639" s="14" t="s">
        <v>1768</v>
      </c>
    </row>
    <row r="640" spans="1:55" ht="15" customHeight="1" x14ac:dyDescent="0.4">
      <c r="A640" s="12">
        <v>3939</v>
      </c>
      <c r="B640" s="21" t="s">
        <v>7116</v>
      </c>
      <c r="C640" s="13" t="s">
        <v>7117</v>
      </c>
      <c r="D640" s="25" t="s">
        <v>7117</v>
      </c>
      <c r="E640" s="13"/>
      <c r="F640" s="41"/>
      <c r="G640" s="41"/>
      <c r="H640" s="41"/>
      <c r="I640" s="41"/>
      <c r="J640" s="41"/>
      <c r="K640" s="65" t="str">
        <f>IFERROR(VLOOKUP(D640,Sheet4!A$1:M$46,11,FALSE),"")</f>
        <v/>
      </c>
      <c r="L640" s="65" t="str">
        <f t="shared" si="9"/>
        <v/>
      </c>
      <c r="M640" s="14" t="s">
        <v>49</v>
      </c>
      <c r="N640" s="15">
        <v>44808</v>
      </c>
      <c r="O640" t="s">
        <v>7034</v>
      </c>
      <c r="P640" t="s">
        <v>51</v>
      </c>
      <c r="Q640" t="s">
        <v>52</v>
      </c>
      <c r="R640" t="s">
        <v>53</v>
      </c>
      <c r="S640" t="s">
        <v>6803</v>
      </c>
      <c r="T640" t="s">
        <v>6903</v>
      </c>
      <c r="U640" t="s">
        <v>56</v>
      </c>
      <c r="V640" s="21" t="s">
        <v>7035</v>
      </c>
      <c r="W640" s="21"/>
      <c r="X640" t="s">
        <v>7118</v>
      </c>
      <c r="Y640" t="s">
        <v>7119</v>
      </c>
      <c r="AB640" t="s">
        <v>2452</v>
      </c>
      <c r="AC640" t="s">
        <v>60</v>
      </c>
      <c r="AE640" s="15"/>
      <c r="AG640">
        <v>32.632035000000002</v>
      </c>
      <c r="AH640">
        <v>-96.975904</v>
      </c>
      <c r="AI640" t="s">
        <v>7120</v>
      </c>
      <c r="AL640" t="s">
        <v>1715</v>
      </c>
      <c r="AM640" t="s">
        <v>63</v>
      </c>
      <c r="AN640" t="s">
        <v>7121</v>
      </c>
      <c r="AO640">
        <v>194567</v>
      </c>
      <c r="AQ640" t="s">
        <v>7122</v>
      </c>
      <c r="AR640" t="s">
        <v>7123</v>
      </c>
      <c r="AS640" t="s">
        <v>7124</v>
      </c>
      <c r="AT640" t="s">
        <v>68</v>
      </c>
      <c r="AV640" t="s">
        <v>7125</v>
      </c>
      <c r="AW640" t="s">
        <v>7126</v>
      </c>
      <c r="AX640" t="s">
        <v>7127</v>
      </c>
      <c r="BA640" s="14" t="s">
        <v>72</v>
      </c>
      <c r="BB640" s="14" t="s">
        <v>73</v>
      </c>
      <c r="BC640" s="14" t="s">
        <v>74</v>
      </c>
    </row>
    <row r="641" spans="1:55" ht="15" customHeight="1" x14ac:dyDescent="0.4">
      <c r="A641" s="12">
        <v>3940</v>
      </c>
      <c r="B641" s="21" t="s">
        <v>7128</v>
      </c>
      <c r="C641" s="13" t="s">
        <v>7129</v>
      </c>
      <c r="D641" s="25" t="s">
        <v>7129</v>
      </c>
      <c r="E641" s="13"/>
      <c r="F641" s="41"/>
      <c r="G641" s="41"/>
      <c r="H641" s="41"/>
      <c r="I641" s="41"/>
      <c r="J641" s="41"/>
      <c r="K641" s="65" t="str">
        <f>IFERROR(VLOOKUP(D641,Sheet4!A$1:M$46,11,FALSE),"")</f>
        <v/>
      </c>
      <c r="L641" s="65" t="str">
        <f t="shared" si="9"/>
        <v/>
      </c>
      <c r="M641" s="14" t="s">
        <v>49</v>
      </c>
      <c r="N641" s="15">
        <v>44808</v>
      </c>
      <c r="O641" t="s">
        <v>7034</v>
      </c>
      <c r="P641" t="s">
        <v>51</v>
      </c>
      <c r="Q641" t="s">
        <v>52</v>
      </c>
      <c r="R641" t="s">
        <v>53</v>
      </c>
      <c r="S641" t="s">
        <v>6803</v>
      </c>
      <c r="T641" t="s">
        <v>6903</v>
      </c>
      <c r="U641" t="s">
        <v>56</v>
      </c>
      <c r="V641" s="21" t="s">
        <v>7035</v>
      </c>
      <c r="W641" s="21"/>
      <c r="X641" t="s">
        <v>7130</v>
      </c>
      <c r="Y641" t="s">
        <v>7131</v>
      </c>
      <c r="AB641" t="s">
        <v>2452</v>
      </c>
      <c r="AC641" t="s">
        <v>60</v>
      </c>
      <c r="AE641" s="15"/>
      <c r="AG641">
        <v>32.622964000000003</v>
      </c>
      <c r="AH641">
        <v>-96.979468999999995</v>
      </c>
      <c r="AI641" t="s">
        <v>7132</v>
      </c>
      <c r="AL641" t="s">
        <v>1715</v>
      </c>
      <c r="AM641" t="s">
        <v>63</v>
      </c>
      <c r="AN641" t="s">
        <v>7133</v>
      </c>
      <c r="AO641">
        <v>194588</v>
      </c>
      <c r="AQ641" t="s">
        <v>7134</v>
      </c>
      <c r="AR641" t="s">
        <v>7135</v>
      </c>
      <c r="AS641" t="s">
        <v>7136</v>
      </c>
      <c r="AT641" t="s">
        <v>68</v>
      </c>
      <c r="AV641" t="s">
        <v>7137</v>
      </c>
      <c r="AW641" t="s">
        <v>7138</v>
      </c>
      <c r="AX641" t="s">
        <v>7139</v>
      </c>
      <c r="BA641" s="14" t="s">
        <v>72</v>
      </c>
      <c r="BB641" s="14" t="s">
        <v>73</v>
      </c>
      <c r="BC641" s="14" t="s">
        <v>74</v>
      </c>
    </row>
    <row r="642" spans="1:55" ht="15" customHeight="1" x14ac:dyDescent="0.4">
      <c r="A642" s="12">
        <v>3941</v>
      </c>
      <c r="B642" s="21" t="s">
        <v>7140</v>
      </c>
      <c r="C642" s="13" t="s">
        <v>7141</v>
      </c>
      <c r="D642" s="25" t="s">
        <v>7141</v>
      </c>
      <c r="E642" s="13"/>
      <c r="F642" s="41"/>
      <c r="G642" s="41"/>
      <c r="H642" s="41"/>
      <c r="I642" s="41"/>
      <c r="J642" s="41"/>
      <c r="K642" s="65" t="str">
        <f>IFERROR(VLOOKUP(D642,Sheet4!A$1:M$46,11,FALSE),"")</f>
        <v/>
      </c>
      <c r="L642" s="65" t="str">
        <f t="shared" si="9"/>
        <v/>
      </c>
      <c r="M642" s="14" t="s">
        <v>6929</v>
      </c>
      <c r="N642" s="15">
        <v>44808</v>
      </c>
      <c r="O642" t="s">
        <v>7034</v>
      </c>
      <c r="P642" t="s">
        <v>51</v>
      </c>
      <c r="Q642" t="s">
        <v>52</v>
      </c>
      <c r="R642" t="s">
        <v>53</v>
      </c>
      <c r="S642" t="s">
        <v>6803</v>
      </c>
      <c r="T642" t="s">
        <v>6903</v>
      </c>
      <c r="U642" t="s">
        <v>56</v>
      </c>
      <c r="V642" s="21" t="s">
        <v>7035</v>
      </c>
      <c r="W642" s="21"/>
      <c r="X642" t="s">
        <v>7142</v>
      </c>
      <c r="Y642" t="s">
        <v>7143</v>
      </c>
      <c r="AB642" t="s">
        <v>1758</v>
      </c>
      <c r="AC642" t="s">
        <v>6932</v>
      </c>
      <c r="AD642" t="s">
        <v>6933</v>
      </c>
      <c r="AE642" s="15">
        <v>45258</v>
      </c>
      <c r="AF642" t="s">
        <v>6934</v>
      </c>
      <c r="AG642">
        <v>32.614038999999998</v>
      </c>
      <c r="AH642">
        <v>-96.996683000000004</v>
      </c>
      <c r="AI642" t="s">
        <v>7132</v>
      </c>
      <c r="AL642" t="s">
        <v>1715</v>
      </c>
      <c r="AM642" t="s">
        <v>63</v>
      </c>
      <c r="AN642" t="s">
        <v>7144</v>
      </c>
      <c r="AO642">
        <v>193542</v>
      </c>
      <c r="AQ642" t="s">
        <v>7145</v>
      </c>
      <c r="AR642" t="s">
        <v>7146</v>
      </c>
      <c r="AS642" t="s">
        <v>7147</v>
      </c>
      <c r="AT642" t="s">
        <v>68</v>
      </c>
      <c r="AV642" t="s">
        <v>7148</v>
      </c>
      <c r="AW642" t="s">
        <v>7149</v>
      </c>
      <c r="AX642" t="s">
        <v>7150</v>
      </c>
      <c r="BA642" s="14" t="s">
        <v>72</v>
      </c>
      <c r="BB642" s="14" t="s">
        <v>73</v>
      </c>
      <c r="BC642" s="14" t="s">
        <v>1768</v>
      </c>
    </row>
    <row r="643" spans="1:55" ht="15" customHeight="1" x14ac:dyDescent="0.4">
      <c r="A643" s="12">
        <v>3942</v>
      </c>
      <c r="B643" s="21" t="s">
        <v>7151</v>
      </c>
      <c r="C643" s="13" t="s">
        <v>7152</v>
      </c>
      <c r="D643" s="25" t="s">
        <v>7152</v>
      </c>
      <c r="E643" s="13"/>
      <c r="F643" s="41"/>
      <c r="G643" s="41"/>
      <c r="H643" s="41"/>
      <c r="I643" s="41"/>
      <c r="J643" s="41"/>
      <c r="K643" s="65" t="str">
        <f>IFERROR(VLOOKUP(D643,Sheet4!A$1:M$46,11,FALSE),"")</f>
        <v/>
      </c>
      <c r="L643" s="65" t="str">
        <f t="shared" ref="L643:L694" si="10">_xlfn.CONCAT(J643,K643)</f>
        <v/>
      </c>
      <c r="M643" s="14" t="s">
        <v>49</v>
      </c>
      <c r="N643" s="15">
        <v>44808</v>
      </c>
      <c r="O643" t="s">
        <v>7034</v>
      </c>
      <c r="P643" t="s">
        <v>51</v>
      </c>
      <c r="Q643" t="s">
        <v>52</v>
      </c>
      <c r="R643" t="s">
        <v>53</v>
      </c>
      <c r="S643" t="s">
        <v>6803</v>
      </c>
      <c r="T643" t="s">
        <v>6903</v>
      </c>
      <c r="U643" t="s">
        <v>56</v>
      </c>
      <c r="V643" s="21" t="s">
        <v>7035</v>
      </c>
      <c r="W643" s="21"/>
      <c r="X643" t="s">
        <v>7153</v>
      </c>
      <c r="Y643" t="s">
        <v>7154</v>
      </c>
      <c r="AB643" t="s">
        <v>1758</v>
      </c>
      <c r="AC643" t="s">
        <v>60</v>
      </c>
      <c r="AE643" s="15"/>
      <c r="AG643">
        <v>32.610726999999997</v>
      </c>
      <c r="AH643">
        <v>-96.991123000000002</v>
      </c>
      <c r="AI643" t="s">
        <v>1773</v>
      </c>
      <c r="AL643" t="s">
        <v>1715</v>
      </c>
      <c r="AM643" t="s">
        <v>63</v>
      </c>
      <c r="AN643" t="s">
        <v>7155</v>
      </c>
      <c r="AO643">
        <v>194589</v>
      </c>
      <c r="AQ643" t="s">
        <v>7156</v>
      </c>
      <c r="AR643" t="s">
        <v>7157</v>
      </c>
      <c r="AS643" t="s">
        <v>7158</v>
      </c>
      <c r="AT643" t="s">
        <v>68</v>
      </c>
      <c r="AV643" t="s">
        <v>7159</v>
      </c>
      <c r="AW643" t="s">
        <v>7160</v>
      </c>
      <c r="AX643" t="s">
        <v>7161</v>
      </c>
      <c r="BA643" s="14" t="s">
        <v>72</v>
      </c>
      <c r="BB643" s="14" t="s">
        <v>73</v>
      </c>
      <c r="BC643" s="14" t="s">
        <v>74</v>
      </c>
    </row>
    <row r="644" spans="1:55" ht="15" customHeight="1" x14ac:dyDescent="0.4">
      <c r="A644" s="12">
        <v>3921</v>
      </c>
      <c r="B644" s="21" t="s">
        <v>6901</v>
      </c>
      <c r="C644" s="13" t="s">
        <v>6902</v>
      </c>
      <c r="D644" s="25" t="s">
        <v>6902</v>
      </c>
      <c r="E644" s="13"/>
      <c r="F644" s="46" t="s">
        <v>3178</v>
      </c>
      <c r="G644" s="46" t="s">
        <v>8167</v>
      </c>
      <c r="H644" s="46"/>
      <c r="I644" s="46"/>
      <c r="J644" s="46" t="s">
        <v>8167</v>
      </c>
      <c r="K644" s="65" t="str">
        <f>IFERROR(VLOOKUP(D644,Sheet4!A$1:M$46,11,FALSE),"")</f>
        <v/>
      </c>
      <c r="L644" s="65" t="str">
        <f t="shared" si="10"/>
        <v>morphologically and genomically introgressed with Q. stellata</v>
      </c>
      <c r="M644" s="14" t="s">
        <v>3178</v>
      </c>
      <c r="N644" s="15">
        <v>44806</v>
      </c>
      <c r="O644" t="s">
        <v>2719</v>
      </c>
      <c r="P644" t="s">
        <v>51</v>
      </c>
      <c r="Q644" t="s">
        <v>52</v>
      </c>
      <c r="R644" t="s">
        <v>53</v>
      </c>
      <c r="S644" t="s">
        <v>6803</v>
      </c>
      <c r="T644" t="s">
        <v>6903</v>
      </c>
      <c r="U644" t="s">
        <v>56</v>
      </c>
      <c r="V644" s="21" t="s">
        <v>6904</v>
      </c>
      <c r="W644" s="21"/>
      <c r="X644" t="s">
        <v>6905</v>
      </c>
      <c r="Y644" t="s">
        <v>6906</v>
      </c>
      <c r="AC644" t="s">
        <v>6907</v>
      </c>
      <c r="AD644" t="s">
        <v>3181</v>
      </c>
      <c r="AE644" s="15" t="s">
        <v>6908</v>
      </c>
      <c r="AF644" t="s">
        <v>3183</v>
      </c>
      <c r="AG644">
        <v>29.597151</v>
      </c>
      <c r="AH644">
        <v>-97.584878000000003</v>
      </c>
      <c r="AI644" t="s">
        <v>5914</v>
      </c>
      <c r="AL644" t="s">
        <v>1715</v>
      </c>
      <c r="AM644" t="s">
        <v>63</v>
      </c>
      <c r="AN644" t="s">
        <v>6909</v>
      </c>
      <c r="AO644">
        <v>193691</v>
      </c>
      <c r="AQ644" t="s">
        <v>6910</v>
      </c>
      <c r="AR644" t="s">
        <v>6911</v>
      </c>
      <c r="AS644" t="s">
        <v>6912</v>
      </c>
      <c r="AT644" t="s">
        <v>68</v>
      </c>
      <c r="AV644" t="s">
        <v>6913</v>
      </c>
      <c r="AW644" t="s">
        <v>6914</v>
      </c>
      <c r="AX644" t="s">
        <v>6915</v>
      </c>
      <c r="BA644" s="14" t="e">
        <v>#N/A</v>
      </c>
      <c r="BB644" s="14" t="e">
        <v>#N/A</v>
      </c>
      <c r="BC644" s="14" t="e">
        <v>#N/A</v>
      </c>
    </row>
    <row r="645" spans="1:55" ht="15" customHeight="1" x14ac:dyDescent="0.4">
      <c r="A645" s="12">
        <v>3922</v>
      </c>
      <c r="B645" s="21" t="s">
        <v>6916</v>
      </c>
      <c r="C645" s="13" t="s">
        <v>6917</v>
      </c>
      <c r="D645" s="25" t="s">
        <v>6917</v>
      </c>
      <c r="E645" s="13"/>
      <c r="F645" s="41"/>
      <c r="G645" s="41"/>
      <c r="H645" s="41"/>
      <c r="I645" s="41"/>
      <c r="J645" s="41"/>
      <c r="K645" s="65" t="str">
        <f>IFERROR(VLOOKUP(D645,Sheet4!A$1:M$46,11,FALSE),"")</f>
        <v/>
      </c>
      <c r="L645" s="65" t="str">
        <f t="shared" si="10"/>
        <v/>
      </c>
      <c r="M645" s="14" t="s">
        <v>49</v>
      </c>
      <c r="N645" s="15">
        <v>44806</v>
      </c>
      <c r="O645" t="s">
        <v>2719</v>
      </c>
      <c r="P645" t="s">
        <v>51</v>
      </c>
      <c r="Q645" t="s">
        <v>52</v>
      </c>
      <c r="R645" t="s">
        <v>53</v>
      </c>
      <c r="S645" t="s">
        <v>6803</v>
      </c>
      <c r="T645" t="s">
        <v>6903</v>
      </c>
      <c r="U645" t="s">
        <v>56</v>
      </c>
      <c r="V645" s="21" t="s">
        <v>6904</v>
      </c>
      <c r="W645" s="21"/>
      <c r="X645" t="s">
        <v>6918</v>
      </c>
      <c r="Y645" t="s">
        <v>6919</v>
      </c>
      <c r="AC645" t="s">
        <v>60</v>
      </c>
      <c r="AE645" s="15"/>
      <c r="AG645">
        <v>29.588172</v>
      </c>
      <c r="AH645">
        <v>-97.583331999999999</v>
      </c>
      <c r="AI645" t="s">
        <v>2103</v>
      </c>
      <c r="AL645" t="s">
        <v>1715</v>
      </c>
      <c r="AM645" t="s">
        <v>63</v>
      </c>
      <c r="AN645" t="s">
        <v>6920</v>
      </c>
      <c r="AO645">
        <v>192650</v>
      </c>
      <c r="AQ645" t="s">
        <v>6921</v>
      </c>
      <c r="AR645" t="s">
        <v>6922</v>
      </c>
      <c r="AS645" t="s">
        <v>6923</v>
      </c>
      <c r="AT645" t="s">
        <v>68</v>
      </c>
      <c r="AV645" t="s">
        <v>6924</v>
      </c>
      <c r="AW645" t="s">
        <v>6925</v>
      </c>
      <c r="AX645" t="s">
        <v>6926</v>
      </c>
      <c r="BA645" s="14" t="s">
        <v>72</v>
      </c>
      <c r="BB645" s="14" t="s">
        <v>73</v>
      </c>
      <c r="BC645" s="14" t="s">
        <v>74</v>
      </c>
    </row>
    <row r="646" spans="1:55" ht="15" customHeight="1" x14ac:dyDescent="0.4">
      <c r="A646" s="12">
        <v>3923</v>
      </c>
      <c r="B646" s="21" t="s">
        <v>6927</v>
      </c>
      <c r="C646" s="13" t="s">
        <v>6928</v>
      </c>
      <c r="D646" s="25" t="s">
        <v>6928</v>
      </c>
      <c r="E646" s="13"/>
      <c r="F646" s="41"/>
      <c r="G646" s="41"/>
      <c r="H646" s="41"/>
      <c r="I646" s="41"/>
      <c r="J646" s="41"/>
      <c r="K646" s="65" t="str">
        <f>IFERROR(VLOOKUP(D646,Sheet4!A$1:M$46,11,FALSE),"")</f>
        <v/>
      </c>
      <c r="L646" s="65" t="str">
        <f t="shared" si="10"/>
        <v/>
      </c>
      <c r="M646" s="14" t="s">
        <v>6929</v>
      </c>
      <c r="N646" s="15">
        <v>44806</v>
      </c>
      <c r="O646" t="s">
        <v>2719</v>
      </c>
      <c r="P646" t="s">
        <v>51</v>
      </c>
      <c r="Q646" t="s">
        <v>52</v>
      </c>
      <c r="R646" t="s">
        <v>53</v>
      </c>
      <c r="S646" t="s">
        <v>6803</v>
      </c>
      <c r="T646" t="s">
        <v>6903</v>
      </c>
      <c r="U646" t="s">
        <v>56</v>
      </c>
      <c r="V646" s="21" t="s">
        <v>6904</v>
      </c>
      <c r="W646" s="21"/>
      <c r="X646" t="s">
        <v>6930</v>
      </c>
      <c r="Y646" t="s">
        <v>6931</v>
      </c>
      <c r="AC646" t="s">
        <v>6932</v>
      </c>
      <c r="AD646" t="s">
        <v>6933</v>
      </c>
      <c r="AE646" s="15">
        <v>45258</v>
      </c>
      <c r="AF646" t="s">
        <v>6934</v>
      </c>
      <c r="AG646">
        <v>29.588159000000001</v>
      </c>
      <c r="AH646">
        <v>-97.583341000000004</v>
      </c>
      <c r="AI646" t="s">
        <v>2103</v>
      </c>
      <c r="AL646" t="s">
        <v>1715</v>
      </c>
      <c r="AM646" t="s">
        <v>63</v>
      </c>
      <c r="AN646" t="s">
        <v>6935</v>
      </c>
      <c r="AO646">
        <v>193537</v>
      </c>
      <c r="AQ646" t="s">
        <v>6936</v>
      </c>
      <c r="AR646" t="s">
        <v>6937</v>
      </c>
      <c r="AS646" t="s">
        <v>6938</v>
      </c>
      <c r="AT646" t="s">
        <v>68</v>
      </c>
      <c r="AV646" t="s">
        <v>6939</v>
      </c>
      <c r="AW646" t="s">
        <v>6940</v>
      </c>
      <c r="AX646" t="s">
        <v>6941</v>
      </c>
      <c r="BA646" s="14" t="s">
        <v>72</v>
      </c>
      <c r="BB646" s="14" t="s">
        <v>73</v>
      </c>
      <c r="BC646" s="14" t="s">
        <v>1768</v>
      </c>
    </row>
    <row r="647" spans="1:55" ht="15" customHeight="1" x14ac:dyDescent="0.4">
      <c r="A647" s="12">
        <v>3924</v>
      </c>
      <c r="B647" s="21" t="s">
        <v>6942</v>
      </c>
      <c r="C647" s="13" t="s">
        <v>6943</v>
      </c>
      <c r="D647" s="25" t="s">
        <v>6943</v>
      </c>
      <c r="E647" s="13"/>
      <c r="F647" s="41"/>
      <c r="G647" s="41"/>
      <c r="H647" s="41"/>
      <c r="I647" s="41"/>
      <c r="J647" s="41"/>
      <c r="K647" s="65" t="str">
        <f>IFERROR(VLOOKUP(D647,Sheet4!A$1:M$46,11,FALSE),"")</f>
        <v/>
      </c>
      <c r="L647" s="65" t="str">
        <f t="shared" si="10"/>
        <v/>
      </c>
      <c r="M647" s="14" t="s">
        <v>49</v>
      </c>
      <c r="N647" s="15">
        <v>44806</v>
      </c>
      <c r="O647" t="s">
        <v>2719</v>
      </c>
      <c r="P647" t="s">
        <v>51</v>
      </c>
      <c r="Q647" t="s">
        <v>52</v>
      </c>
      <c r="R647" t="s">
        <v>53</v>
      </c>
      <c r="S647" t="s">
        <v>6803</v>
      </c>
      <c r="T647" t="s">
        <v>6903</v>
      </c>
      <c r="U647" t="s">
        <v>56</v>
      </c>
      <c r="V647" s="21" t="s">
        <v>6904</v>
      </c>
      <c r="W647" s="21"/>
      <c r="X647" t="s">
        <v>6944</v>
      </c>
      <c r="Y647" t="s">
        <v>6945</v>
      </c>
      <c r="AC647" t="s">
        <v>60</v>
      </c>
      <c r="AE647" s="15"/>
      <c r="AG647">
        <v>29.587410999999999</v>
      </c>
      <c r="AH647">
        <v>-97.582911999999993</v>
      </c>
      <c r="AI647" t="s">
        <v>6215</v>
      </c>
      <c r="AL647" t="s">
        <v>1715</v>
      </c>
      <c r="AM647" t="s">
        <v>63</v>
      </c>
      <c r="AN647" t="s">
        <v>6946</v>
      </c>
      <c r="AO647">
        <v>192658</v>
      </c>
      <c r="AQ647" t="s">
        <v>6947</v>
      </c>
      <c r="AR647" t="s">
        <v>6948</v>
      </c>
      <c r="AS647" t="s">
        <v>6949</v>
      </c>
      <c r="AT647" t="s">
        <v>68</v>
      </c>
      <c r="AV647" t="s">
        <v>6950</v>
      </c>
      <c r="AW647" t="s">
        <v>6951</v>
      </c>
      <c r="AX647" t="s">
        <v>6952</v>
      </c>
      <c r="BA647" s="14" t="s">
        <v>72</v>
      </c>
      <c r="BB647" s="14" t="s">
        <v>73</v>
      </c>
      <c r="BC647" s="14" t="s">
        <v>74</v>
      </c>
    </row>
    <row r="648" spans="1:55" ht="15" customHeight="1" x14ac:dyDescent="0.4">
      <c r="A648" s="12">
        <v>3925</v>
      </c>
      <c r="B648" s="21" t="s">
        <v>6953</v>
      </c>
      <c r="C648" s="13" t="s">
        <v>6954</v>
      </c>
      <c r="D648" s="25" t="s">
        <v>6954</v>
      </c>
      <c r="E648" s="13"/>
      <c r="F648" s="41"/>
      <c r="G648" s="41"/>
      <c r="H648" s="41"/>
      <c r="I648" s="41"/>
      <c r="J648" s="41"/>
      <c r="K648" s="65" t="str">
        <f>IFERROR(VLOOKUP(D648,Sheet4!A$1:M$46,11,FALSE),"")</f>
        <v/>
      </c>
      <c r="L648" s="65" t="str">
        <f t="shared" si="10"/>
        <v/>
      </c>
      <c r="M648" s="14" t="s">
        <v>6929</v>
      </c>
      <c r="N648" s="15">
        <v>44806</v>
      </c>
      <c r="O648" t="s">
        <v>2719</v>
      </c>
      <c r="P648" t="s">
        <v>51</v>
      </c>
      <c r="Q648" t="s">
        <v>52</v>
      </c>
      <c r="R648" t="s">
        <v>53</v>
      </c>
      <c r="S648" t="s">
        <v>6803</v>
      </c>
      <c r="T648" t="s">
        <v>6903</v>
      </c>
      <c r="U648" t="s">
        <v>56</v>
      </c>
      <c r="V648" s="21" t="s">
        <v>6904</v>
      </c>
      <c r="W648" s="21"/>
      <c r="X648" t="s">
        <v>6955</v>
      </c>
      <c r="Y648" t="s">
        <v>6956</v>
      </c>
      <c r="AC648" t="s">
        <v>6932</v>
      </c>
      <c r="AD648" t="s">
        <v>6933</v>
      </c>
      <c r="AE648" s="15">
        <v>45258</v>
      </c>
      <c r="AF648" t="s">
        <v>6934</v>
      </c>
      <c r="AG648">
        <v>29.587609</v>
      </c>
      <c r="AH648">
        <v>-97.583072000000001</v>
      </c>
      <c r="AI648" t="s">
        <v>6957</v>
      </c>
      <c r="AL648" t="s">
        <v>1715</v>
      </c>
      <c r="AM648" t="s">
        <v>63</v>
      </c>
      <c r="AN648" t="s">
        <v>6958</v>
      </c>
      <c r="AO648">
        <v>193539</v>
      </c>
      <c r="AQ648" t="s">
        <v>6959</v>
      </c>
      <c r="AR648" t="s">
        <v>6960</v>
      </c>
      <c r="AS648" t="s">
        <v>6961</v>
      </c>
      <c r="AT648" t="s">
        <v>68</v>
      </c>
      <c r="AV648" t="s">
        <v>6962</v>
      </c>
      <c r="AW648" t="s">
        <v>6963</v>
      </c>
      <c r="AX648" t="s">
        <v>6964</v>
      </c>
      <c r="BA648" s="14" t="s">
        <v>72</v>
      </c>
      <c r="BB648" s="14" t="s">
        <v>73</v>
      </c>
      <c r="BC648" s="14" t="s">
        <v>1768</v>
      </c>
    </row>
    <row r="649" spans="1:55" ht="15" customHeight="1" x14ac:dyDescent="0.4">
      <c r="A649" s="12">
        <v>3926</v>
      </c>
      <c r="B649" s="21" t="s">
        <v>6965</v>
      </c>
      <c r="C649" s="13" t="s">
        <v>6966</v>
      </c>
      <c r="D649" s="25" t="s">
        <v>6966</v>
      </c>
      <c r="E649" s="13"/>
      <c r="F649" s="41"/>
      <c r="G649" s="41"/>
      <c r="H649" s="41"/>
      <c r="I649" s="41"/>
      <c r="J649" s="41"/>
      <c r="K649" s="65" t="str">
        <f>IFERROR(VLOOKUP(D649,Sheet4!A$1:M$46,11,FALSE),"")</f>
        <v/>
      </c>
      <c r="L649" s="65" t="str">
        <f t="shared" si="10"/>
        <v/>
      </c>
      <c r="M649" s="14" t="s">
        <v>49</v>
      </c>
      <c r="N649" s="15">
        <v>44806</v>
      </c>
      <c r="O649" t="s">
        <v>2719</v>
      </c>
      <c r="P649" t="s">
        <v>51</v>
      </c>
      <c r="Q649" t="s">
        <v>52</v>
      </c>
      <c r="R649" t="s">
        <v>53</v>
      </c>
      <c r="S649" t="s">
        <v>6803</v>
      </c>
      <c r="T649" t="s">
        <v>6903</v>
      </c>
      <c r="U649" t="s">
        <v>56</v>
      </c>
      <c r="V649" s="21" t="s">
        <v>6904</v>
      </c>
      <c r="W649" s="21"/>
      <c r="X649" t="s">
        <v>6967</v>
      </c>
      <c r="Y649" t="s">
        <v>6968</v>
      </c>
      <c r="AC649" t="s">
        <v>60</v>
      </c>
      <c r="AE649" s="15"/>
      <c r="AG649">
        <v>29.586587999999999</v>
      </c>
      <c r="AH649">
        <v>-97.584186000000003</v>
      </c>
      <c r="AI649" t="s">
        <v>6215</v>
      </c>
      <c r="AL649" t="s">
        <v>1715</v>
      </c>
      <c r="AM649" t="s">
        <v>63</v>
      </c>
      <c r="AN649" t="s">
        <v>6969</v>
      </c>
      <c r="AO649">
        <v>192657</v>
      </c>
      <c r="AQ649" t="s">
        <v>6970</v>
      </c>
      <c r="AR649" t="s">
        <v>6971</v>
      </c>
      <c r="AS649" t="s">
        <v>6972</v>
      </c>
      <c r="AT649" t="s">
        <v>68</v>
      </c>
      <c r="AV649" t="s">
        <v>6973</v>
      </c>
      <c r="AW649" t="s">
        <v>6974</v>
      </c>
      <c r="AX649" t="s">
        <v>6975</v>
      </c>
      <c r="BA649" s="14" t="s">
        <v>72</v>
      </c>
      <c r="BB649" s="14" t="s">
        <v>73</v>
      </c>
      <c r="BC649" s="14" t="s">
        <v>74</v>
      </c>
    </row>
    <row r="650" spans="1:55" ht="15" customHeight="1" x14ac:dyDescent="0.4">
      <c r="A650" s="12">
        <v>3927</v>
      </c>
      <c r="B650" s="21" t="s">
        <v>6976</v>
      </c>
      <c r="C650" s="13" t="s">
        <v>6977</v>
      </c>
      <c r="D650" s="25" t="s">
        <v>6977</v>
      </c>
      <c r="E650" s="13"/>
      <c r="F650" s="41"/>
      <c r="G650" s="41"/>
      <c r="H650" s="41"/>
      <c r="I650" s="41"/>
      <c r="J650" s="41"/>
      <c r="K650" s="65" t="str">
        <f>IFERROR(VLOOKUP(D650,Sheet4!A$1:M$46,11,FALSE),"")</f>
        <v/>
      </c>
      <c r="L650" s="65" t="str">
        <f t="shared" si="10"/>
        <v/>
      </c>
      <c r="M650" s="14" t="s">
        <v>49</v>
      </c>
      <c r="N650" s="15">
        <v>44806</v>
      </c>
      <c r="O650" t="s">
        <v>2719</v>
      </c>
      <c r="P650" t="s">
        <v>51</v>
      </c>
      <c r="Q650" t="s">
        <v>52</v>
      </c>
      <c r="R650" t="s">
        <v>53</v>
      </c>
      <c r="S650" t="s">
        <v>6803</v>
      </c>
      <c r="T650" t="s">
        <v>6903</v>
      </c>
      <c r="U650" t="s">
        <v>56</v>
      </c>
      <c r="V650" s="21" t="s">
        <v>6904</v>
      </c>
      <c r="W650" s="21"/>
      <c r="X650" t="s">
        <v>6978</v>
      </c>
      <c r="Y650" t="s">
        <v>6979</v>
      </c>
      <c r="AC650" t="s">
        <v>60</v>
      </c>
      <c r="AE650" s="15"/>
      <c r="AG650">
        <v>29.587539</v>
      </c>
      <c r="AH650">
        <v>-97.584160999999995</v>
      </c>
      <c r="AI650" t="s">
        <v>6957</v>
      </c>
      <c r="AL650" t="s">
        <v>1715</v>
      </c>
      <c r="AM650" t="s">
        <v>63</v>
      </c>
      <c r="AN650" t="s">
        <v>6980</v>
      </c>
      <c r="AO650">
        <v>193373</v>
      </c>
      <c r="AQ650" t="s">
        <v>6981</v>
      </c>
      <c r="AR650" t="s">
        <v>6982</v>
      </c>
      <c r="AS650" t="s">
        <v>6983</v>
      </c>
      <c r="AT650" t="s">
        <v>68</v>
      </c>
      <c r="AV650" t="s">
        <v>6984</v>
      </c>
      <c r="AW650" t="s">
        <v>6985</v>
      </c>
      <c r="AX650" t="s">
        <v>6986</v>
      </c>
      <c r="BA650" s="14" t="s">
        <v>72</v>
      </c>
      <c r="BB650" s="14" t="s">
        <v>73</v>
      </c>
      <c r="BC650" s="14" t="s">
        <v>74</v>
      </c>
    </row>
    <row r="651" spans="1:55" ht="15" customHeight="1" x14ac:dyDescent="0.4">
      <c r="A651" s="12">
        <v>3928</v>
      </c>
      <c r="B651" s="21" t="s">
        <v>6987</v>
      </c>
      <c r="C651" s="13" t="s">
        <v>6988</v>
      </c>
      <c r="D651" s="25" t="s">
        <v>6988</v>
      </c>
      <c r="E651" s="13"/>
      <c r="F651" s="41"/>
      <c r="G651" s="41"/>
      <c r="H651" s="41"/>
      <c r="I651" s="41"/>
      <c r="J651" s="41"/>
      <c r="K651" s="65" t="str">
        <f>IFERROR(VLOOKUP(D651,Sheet4!A$1:M$46,11,FALSE),"")</f>
        <v/>
      </c>
      <c r="L651" s="65" t="str">
        <f t="shared" si="10"/>
        <v/>
      </c>
      <c r="M651" s="14" t="s">
        <v>6929</v>
      </c>
      <c r="N651" s="15">
        <v>44806</v>
      </c>
      <c r="O651" t="s">
        <v>2719</v>
      </c>
      <c r="P651" t="s">
        <v>51</v>
      </c>
      <c r="Q651" t="s">
        <v>52</v>
      </c>
      <c r="R651" t="s">
        <v>53</v>
      </c>
      <c r="S651" t="s">
        <v>6803</v>
      </c>
      <c r="T651" t="s">
        <v>6903</v>
      </c>
      <c r="U651" t="s">
        <v>56</v>
      </c>
      <c r="V651" s="21" t="s">
        <v>6904</v>
      </c>
      <c r="W651" s="21"/>
      <c r="X651" t="s">
        <v>6989</v>
      </c>
      <c r="Y651" t="s">
        <v>6990</v>
      </c>
      <c r="AC651" t="s">
        <v>6932</v>
      </c>
      <c r="AD651" t="s">
        <v>6933</v>
      </c>
      <c r="AE651" s="15">
        <v>45258</v>
      </c>
      <c r="AF651" t="s">
        <v>6934</v>
      </c>
      <c r="AG651">
        <v>29.587637000000001</v>
      </c>
      <c r="AH651">
        <v>-97.583995999999999</v>
      </c>
      <c r="AI651" t="s">
        <v>6991</v>
      </c>
      <c r="AL651" t="s">
        <v>1715</v>
      </c>
      <c r="AM651" t="s">
        <v>63</v>
      </c>
      <c r="AN651" t="s">
        <v>6992</v>
      </c>
      <c r="AO651">
        <v>193538</v>
      </c>
      <c r="AQ651" t="s">
        <v>6993</v>
      </c>
      <c r="AR651" t="s">
        <v>6994</v>
      </c>
      <c r="AS651" t="s">
        <v>6995</v>
      </c>
      <c r="AT651" t="s">
        <v>68</v>
      </c>
      <c r="AV651" t="s">
        <v>6996</v>
      </c>
      <c r="AW651" t="s">
        <v>6997</v>
      </c>
      <c r="AX651" t="s">
        <v>6998</v>
      </c>
      <c r="BA651" s="14" t="s">
        <v>72</v>
      </c>
      <c r="BB651" s="14" t="s">
        <v>73</v>
      </c>
      <c r="BC651" s="14" t="s">
        <v>1768</v>
      </c>
    </row>
    <row r="652" spans="1:55" ht="15" customHeight="1" x14ac:dyDescent="0.4">
      <c r="A652" s="12">
        <v>3929</v>
      </c>
      <c r="B652" s="21" t="s">
        <v>6999</v>
      </c>
      <c r="C652" s="13" t="s">
        <v>7000</v>
      </c>
      <c r="D652" s="25" t="s">
        <v>7000</v>
      </c>
      <c r="E652" s="13"/>
      <c r="F652" s="41"/>
      <c r="G652" s="41"/>
      <c r="H652" s="41"/>
      <c r="I652" s="41"/>
      <c r="J652" s="41"/>
      <c r="K652" s="65" t="str">
        <f>IFERROR(VLOOKUP(D652,Sheet4!A$1:M$46,11,FALSE),"")</f>
        <v/>
      </c>
      <c r="L652" s="65" t="str">
        <f t="shared" si="10"/>
        <v/>
      </c>
      <c r="M652" s="14" t="s">
        <v>6929</v>
      </c>
      <c r="N652" s="15">
        <v>44806</v>
      </c>
      <c r="O652" t="s">
        <v>2719</v>
      </c>
      <c r="P652" t="s">
        <v>51</v>
      </c>
      <c r="Q652" t="s">
        <v>52</v>
      </c>
      <c r="R652" t="s">
        <v>53</v>
      </c>
      <c r="S652" t="s">
        <v>6803</v>
      </c>
      <c r="T652" t="s">
        <v>6903</v>
      </c>
      <c r="U652" t="s">
        <v>56</v>
      </c>
      <c r="V652" s="21" t="s">
        <v>6904</v>
      </c>
      <c r="W652" s="21"/>
      <c r="X652" t="s">
        <v>7001</v>
      </c>
      <c r="Y652" t="s">
        <v>7002</v>
      </c>
      <c r="AC652" t="s">
        <v>6932</v>
      </c>
      <c r="AD652" t="s">
        <v>6933</v>
      </c>
      <c r="AE652" s="15">
        <v>45258</v>
      </c>
      <c r="AF652" t="s">
        <v>6934</v>
      </c>
      <c r="AG652">
        <v>29.588522999999999</v>
      </c>
      <c r="AH652">
        <v>-97.583477000000002</v>
      </c>
      <c r="AI652" t="s">
        <v>6274</v>
      </c>
      <c r="AL652" t="s">
        <v>1715</v>
      </c>
      <c r="AM652" t="s">
        <v>63</v>
      </c>
      <c r="AN652" t="s">
        <v>7003</v>
      </c>
      <c r="AO652">
        <v>193540</v>
      </c>
      <c r="AQ652" t="s">
        <v>7004</v>
      </c>
      <c r="AR652" t="s">
        <v>7005</v>
      </c>
      <c r="AS652" t="s">
        <v>7006</v>
      </c>
      <c r="AT652" t="s">
        <v>68</v>
      </c>
      <c r="AV652" t="s">
        <v>7007</v>
      </c>
      <c r="AW652" t="s">
        <v>7008</v>
      </c>
      <c r="AX652" t="s">
        <v>7009</v>
      </c>
      <c r="BA652" s="14" t="s">
        <v>72</v>
      </c>
      <c r="BB652" s="14" t="s">
        <v>73</v>
      </c>
      <c r="BC652" s="14" t="s">
        <v>1768</v>
      </c>
    </row>
    <row r="653" spans="1:55" ht="15" customHeight="1" x14ac:dyDescent="0.4">
      <c r="A653" s="12">
        <v>3930</v>
      </c>
      <c r="B653" s="21" t="s">
        <v>7010</v>
      </c>
      <c r="C653" s="13" t="s">
        <v>7011</v>
      </c>
      <c r="D653" s="25" t="s">
        <v>7011</v>
      </c>
      <c r="E653" s="13"/>
      <c r="F653" s="41"/>
      <c r="G653" s="41"/>
      <c r="H653" s="41"/>
      <c r="I653" s="41"/>
      <c r="J653" s="41"/>
      <c r="K653" s="65" t="str">
        <f>IFERROR(VLOOKUP(D653,Sheet4!A$1:M$46,11,FALSE),"")</f>
        <v/>
      </c>
      <c r="L653" s="65" t="str">
        <f t="shared" si="10"/>
        <v/>
      </c>
      <c r="M653" s="14" t="s">
        <v>6929</v>
      </c>
      <c r="N653" s="15">
        <v>44806</v>
      </c>
      <c r="O653" t="s">
        <v>2719</v>
      </c>
      <c r="P653" t="s">
        <v>51</v>
      </c>
      <c r="Q653" t="s">
        <v>52</v>
      </c>
      <c r="R653" t="s">
        <v>53</v>
      </c>
      <c r="S653" t="s">
        <v>6803</v>
      </c>
      <c r="T653" t="s">
        <v>6903</v>
      </c>
      <c r="U653" t="s">
        <v>56</v>
      </c>
      <c r="V653" s="21" t="s">
        <v>6904</v>
      </c>
      <c r="W653" s="21"/>
      <c r="X653" t="s">
        <v>7012</v>
      </c>
      <c r="Y653" t="s">
        <v>7013</v>
      </c>
      <c r="AC653" t="s">
        <v>6932</v>
      </c>
      <c r="AD653" t="s">
        <v>6933</v>
      </c>
      <c r="AE653" s="15">
        <v>45258</v>
      </c>
      <c r="AF653" t="s">
        <v>6934</v>
      </c>
      <c r="AG653">
        <v>29.589383999999999</v>
      </c>
      <c r="AH653">
        <v>-97.582702999999995</v>
      </c>
      <c r="AI653" t="s">
        <v>2103</v>
      </c>
      <c r="AL653" t="s">
        <v>1715</v>
      </c>
      <c r="AM653" t="s">
        <v>63</v>
      </c>
      <c r="AN653" t="s">
        <v>7014</v>
      </c>
      <c r="AO653">
        <v>193541</v>
      </c>
      <c r="AQ653" t="s">
        <v>7015</v>
      </c>
      <c r="AR653" t="s">
        <v>7016</v>
      </c>
      <c r="AS653" t="s">
        <v>7017</v>
      </c>
      <c r="AT653" t="s">
        <v>68</v>
      </c>
      <c r="AV653" t="s">
        <v>7018</v>
      </c>
      <c r="AW653" t="s">
        <v>7019</v>
      </c>
      <c r="AX653" t="s">
        <v>7020</v>
      </c>
      <c r="BA653" s="14" t="s">
        <v>72</v>
      </c>
      <c r="BB653" s="14" t="s">
        <v>73</v>
      </c>
      <c r="BC653" s="14" t="s">
        <v>1768</v>
      </c>
    </row>
    <row r="654" spans="1:55" ht="15" customHeight="1" x14ac:dyDescent="0.4">
      <c r="A654" s="12">
        <v>3931</v>
      </c>
      <c r="B654" s="21" t="s">
        <v>7021</v>
      </c>
      <c r="C654" s="13" t="s">
        <v>7022</v>
      </c>
      <c r="D654" s="25" t="s">
        <v>7022</v>
      </c>
      <c r="E654" s="13"/>
      <c r="F654" s="41"/>
      <c r="G654" s="41"/>
      <c r="H654" s="41"/>
      <c r="I654" s="41"/>
      <c r="J654" s="41"/>
      <c r="K654" s="65" t="str">
        <f>IFERROR(VLOOKUP(D654,Sheet4!A$1:M$46,11,FALSE),"")</f>
        <v/>
      </c>
      <c r="L654" s="65" t="str">
        <f t="shared" si="10"/>
        <v/>
      </c>
      <c r="M654" s="14" t="s">
        <v>49</v>
      </c>
      <c r="N654" s="15">
        <v>44806</v>
      </c>
      <c r="O654" t="s">
        <v>2719</v>
      </c>
      <c r="P654" t="s">
        <v>51</v>
      </c>
      <c r="Q654" t="s">
        <v>52</v>
      </c>
      <c r="R654" t="s">
        <v>53</v>
      </c>
      <c r="S654" t="s">
        <v>6803</v>
      </c>
      <c r="T654" t="s">
        <v>6903</v>
      </c>
      <c r="U654" t="s">
        <v>56</v>
      </c>
      <c r="V654" s="21" t="s">
        <v>6904</v>
      </c>
      <c r="W654" s="21"/>
      <c r="X654" t="s">
        <v>7023</v>
      </c>
      <c r="Y654" t="s">
        <v>7024</v>
      </c>
      <c r="AC654" t="s">
        <v>60</v>
      </c>
      <c r="AE654" s="15"/>
      <c r="AG654">
        <v>29.588875999999999</v>
      </c>
      <c r="AH654">
        <v>-97.583517000000001</v>
      </c>
      <c r="AI654" t="s">
        <v>6262</v>
      </c>
      <c r="AL654" t="s">
        <v>1715</v>
      </c>
      <c r="AM654" t="s">
        <v>63</v>
      </c>
      <c r="AN654" t="s">
        <v>7025</v>
      </c>
      <c r="AO654">
        <v>192646</v>
      </c>
      <c r="AQ654" t="s">
        <v>7026</v>
      </c>
      <c r="AR654" t="s">
        <v>7027</v>
      </c>
      <c r="AS654" t="s">
        <v>7028</v>
      </c>
      <c r="AT654" t="s">
        <v>68</v>
      </c>
      <c r="AV654" t="s">
        <v>7029</v>
      </c>
      <c r="AW654" t="s">
        <v>7030</v>
      </c>
      <c r="AX654" t="s">
        <v>7031</v>
      </c>
      <c r="BA654" s="14" t="s">
        <v>72</v>
      </c>
      <c r="BB654" s="14" t="s">
        <v>73</v>
      </c>
      <c r="BC654" s="14" t="s">
        <v>74</v>
      </c>
    </row>
    <row r="655" spans="1:55" ht="15" customHeight="1" x14ac:dyDescent="0.4">
      <c r="A655" s="12">
        <v>3844</v>
      </c>
      <c r="B655" s="21" t="s">
        <v>5991</v>
      </c>
      <c r="C655" s="13" t="s">
        <v>5992</v>
      </c>
      <c r="D655" s="25" t="s">
        <v>5992</v>
      </c>
      <c r="E655" s="13"/>
      <c r="F655" s="41"/>
      <c r="G655" s="41"/>
      <c r="H655" s="41"/>
      <c r="I655" s="41"/>
      <c r="J655" s="41"/>
      <c r="K655" s="65" t="str">
        <f>IFERROR(VLOOKUP(D655,Sheet4!A$1:M$46,11,FALSE),"")</f>
        <v/>
      </c>
      <c r="L655" s="65" t="str">
        <f t="shared" si="10"/>
        <v/>
      </c>
      <c r="M655" s="14" t="s">
        <v>1878</v>
      </c>
      <c r="N655" s="15">
        <v>44791</v>
      </c>
      <c r="O655" t="s">
        <v>2719</v>
      </c>
      <c r="P655" t="s">
        <v>51</v>
      </c>
      <c r="Q655" t="s">
        <v>52</v>
      </c>
      <c r="R655" t="s">
        <v>53</v>
      </c>
      <c r="S655" t="s">
        <v>5993</v>
      </c>
      <c r="T655" t="s">
        <v>5994</v>
      </c>
      <c r="U655" t="s">
        <v>56</v>
      </c>
      <c r="V655" s="21" t="s">
        <v>5995</v>
      </c>
      <c r="W655" s="21"/>
      <c r="X655" t="s">
        <v>5996</v>
      </c>
      <c r="Y655" t="s">
        <v>5997</v>
      </c>
      <c r="AC655" t="s">
        <v>1881</v>
      </c>
      <c r="AE655" s="15"/>
      <c r="AG655">
        <v>43.604565999999998</v>
      </c>
      <c r="AH655">
        <v>-73.180250999999998</v>
      </c>
      <c r="AI655" t="s">
        <v>5998</v>
      </c>
      <c r="AL655" t="s">
        <v>1715</v>
      </c>
      <c r="AM655" t="s">
        <v>63</v>
      </c>
      <c r="AN655" t="s">
        <v>5999</v>
      </c>
      <c r="AO655">
        <v>192586</v>
      </c>
      <c r="AQ655" t="s">
        <v>6000</v>
      </c>
      <c r="AR655" t="s">
        <v>6001</v>
      </c>
      <c r="AS655" t="s">
        <v>6002</v>
      </c>
      <c r="AT655" t="s">
        <v>68</v>
      </c>
      <c r="AV655" t="s">
        <v>6003</v>
      </c>
      <c r="AW655" t="s">
        <v>6004</v>
      </c>
      <c r="AX655" t="s">
        <v>6005</v>
      </c>
      <c r="BA655" s="14" t="s">
        <v>72</v>
      </c>
      <c r="BB655" s="14" t="s">
        <v>73</v>
      </c>
      <c r="BC655" s="14" t="s">
        <v>1723</v>
      </c>
    </row>
    <row r="656" spans="1:55" ht="15" customHeight="1" x14ac:dyDescent="0.4">
      <c r="A656" s="12">
        <v>3845</v>
      </c>
      <c r="B656" s="21" t="s">
        <v>6006</v>
      </c>
      <c r="C656" s="13" t="s">
        <v>6007</v>
      </c>
      <c r="D656" s="25" t="s">
        <v>6007</v>
      </c>
      <c r="E656" s="13"/>
      <c r="F656" s="45" t="s">
        <v>49</v>
      </c>
      <c r="G656" s="45" t="s">
        <v>8117</v>
      </c>
      <c r="H656" s="45"/>
      <c r="I656" s="45"/>
      <c r="J656" s="45"/>
      <c r="K656" s="65" t="str">
        <f>IFERROR(VLOOKUP(D656,Sheet4!A$1:M$46,11,FALSE),"")</f>
        <v>Based on ADMIXTURE results of 78,187 SNPs, admixed with Quercus alba</v>
      </c>
      <c r="L656" s="65" t="str">
        <f t="shared" si="10"/>
        <v>Based on ADMIXTURE results of 78,187 SNPs, admixed with Quercus alba</v>
      </c>
      <c r="M656" s="14" t="s">
        <v>49</v>
      </c>
      <c r="N656" s="15">
        <v>44791</v>
      </c>
      <c r="O656" t="s">
        <v>2719</v>
      </c>
      <c r="P656" t="s">
        <v>51</v>
      </c>
      <c r="Q656" t="s">
        <v>52</v>
      </c>
      <c r="R656" t="s">
        <v>53</v>
      </c>
      <c r="S656" t="s">
        <v>5993</v>
      </c>
      <c r="T656" t="s">
        <v>5994</v>
      </c>
      <c r="U656" t="s">
        <v>56</v>
      </c>
      <c r="V656" s="21" t="s">
        <v>5995</v>
      </c>
      <c r="W656" s="21"/>
      <c r="X656" t="s">
        <v>6008</v>
      </c>
      <c r="Y656" t="s">
        <v>6009</v>
      </c>
      <c r="AC656" t="s">
        <v>60</v>
      </c>
      <c r="AE656" s="15"/>
      <c r="AG656">
        <v>43.601897000000001</v>
      </c>
      <c r="AH656">
        <v>-73.181962999999996</v>
      </c>
      <c r="AI656" t="s">
        <v>6010</v>
      </c>
      <c r="AL656" t="s">
        <v>1715</v>
      </c>
      <c r="AM656" t="s">
        <v>63</v>
      </c>
      <c r="AN656" t="s">
        <v>6011</v>
      </c>
      <c r="AO656">
        <v>192566</v>
      </c>
      <c r="AQ656" t="s">
        <v>6012</v>
      </c>
      <c r="AR656" t="s">
        <v>6013</v>
      </c>
      <c r="AS656" t="s">
        <v>6014</v>
      </c>
      <c r="AT656" t="s">
        <v>68</v>
      </c>
      <c r="AV656" t="s">
        <v>6015</v>
      </c>
      <c r="AW656" t="s">
        <v>6016</v>
      </c>
      <c r="AX656" t="s">
        <v>6017</v>
      </c>
      <c r="BA656" s="14" t="s">
        <v>72</v>
      </c>
      <c r="BB656" s="14" t="s">
        <v>73</v>
      </c>
      <c r="BC656" s="14" t="s">
        <v>74</v>
      </c>
    </row>
    <row r="657" spans="1:55" ht="15" customHeight="1" x14ac:dyDescent="0.4">
      <c r="A657" s="12">
        <v>3846</v>
      </c>
      <c r="B657" s="21" t="s">
        <v>6018</v>
      </c>
      <c r="C657" s="13" t="s">
        <v>6019</v>
      </c>
      <c r="D657" s="25" t="s">
        <v>6019</v>
      </c>
      <c r="E657" s="13"/>
      <c r="F657" s="45" t="s">
        <v>49</v>
      </c>
      <c r="G657" s="58" t="s">
        <v>8116</v>
      </c>
      <c r="H657" s="58"/>
      <c r="I657" s="45"/>
      <c r="J657" s="45"/>
      <c r="K657" s="65" t="str">
        <f>IFERROR(VLOOKUP(D657,Sheet4!A$1:M$46,11,FALSE),"")</f>
        <v>Based on ADMIXTURE results of 78,187 SNPs, admixed with Quercus alba and Quercus bicolor</v>
      </c>
      <c r="L657" s="65" t="str">
        <f t="shared" si="10"/>
        <v>Based on ADMIXTURE results of 78,187 SNPs, admixed with Quercus alba and Quercus bicolor</v>
      </c>
      <c r="M657" s="14" t="s">
        <v>49</v>
      </c>
      <c r="N657" s="15">
        <v>44791</v>
      </c>
      <c r="O657" t="s">
        <v>2719</v>
      </c>
      <c r="P657" t="s">
        <v>51</v>
      </c>
      <c r="Q657" t="s">
        <v>52</v>
      </c>
      <c r="R657" t="s">
        <v>53</v>
      </c>
      <c r="S657" t="s">
        <v>5993</v>
      </c>
      <c r="T657" t="s">
        <v>5994</v>
      </c>
      <c r="U657" t="s">
        <v>56</v>
      </c>
      <c r="V657" s="21" t="s">
        <v>5995</v>
      </c>
      <c r="W657" s="21"/>
      <c r="X657" t="s">
        <v>6020</v>
      </c>
      <c r="Y657" t="s">
        <v>6021</v>
      </c>
      <c r="AC657" t="s">
        <v>60</v>
      </c>
      <c r="AE657" s="15"/>
      <c r="AG657">
        <v>43.600834999999996</v>
      </c>
      <c r="AH657">
        <v>-73.182905000000005</v>
      </c>
      <c r="AI657" t="s">
        <v>6022</v>
      </c>
      <c r="AL657" t="s">
        <v>1715</v>
      </c>
      <c r="AM657" t="s">
        <v>63</v>
      </c>
      <c r="AN657" t="s">
        <v>6023</v>
      </c>
      <c r="AO657">
        <v>192547</v>
      </c>
      <c r="AQ657" t="s">
        <v>6024</v>
      </c>
      <c r="AR657" t="s">
        <v>6025</v>
      </c>
      <c r="AS657" t="s">
        <v>6026</v>
      </c>
      <c r="AT657" t="s">
        <v>68</v>
      </c>
      <c r="AV657" t="s">
        <v>6027</v>
      </c>
      <c r="AW657" t="s">
        <v>6028</v>
      </c>
      <c r="AX657" t="s">
        <v>6029</v>
      </c>
      <c r="BA657" s="14" t="s">
        <v>72</v>
      </c>
      <c r="BB657" s="14" t="s">
        <v>73</v>
      </c>
      <c r="BC657" s="14" t="s">
        <v>74</v>
      </c>
    </row>
    <row r="658" spans="1:55" ht="15" customHeight="1" x14ac:dyDescent="0.4">
      <c r="A658" s="12">
        <v>3847</v>
      </c>
      <c r="B658" s="21" t="s">
        <v>6030</v>
      </c>
      <c r="C658" s="13" t="s">
        <v>6031</v>
      </c>
      <c r="D658" s="25" t="s">
        <v>6031</v>
      </c>
      <c r="E658" s="13"/>
      <c r="F658" s="41"/>
      <c r="G658" s="41"/>
      <c r="H658" s="41"/>
      <c r="I658" s="41"/>
      <c r="J658" s="41"/>
      <c r="K658" s="65" t="str">
        <f>IFERROR(VLOOKUP(D658,Sheet4!A$1:M$46,11,FALSE),"")</f>
        <v/>
      </c>
      <c r="L658" s="65" t="str">
        <f t="shared" si="10"/>
        <v/>
      </c>
      <c r="M658" s="14" t="s">
        <v>1878</v>
      </c>
      <c r="N658" s="15">
        <v>44791</v>
      </c>
      <c r="O658" t="s">
        <v>2719</v>
      </c>
      <c r="P658" t="s">
        <v>51</v>
      </c>
      <c r="Q658" t="s">
        <v>52</v>
      </c>
      <c r="R658" t="s">
        <v>53</v>
      </c>
      <c r="S658" t="s">
        <v>5993</v>
      </c>
      <c r="T658" t="s">
        <v>5994</v>
      </c>
      <c r="U658" t="s">
        <v>56</v>
      </c>
      <c r="V658" s="21" t="s">
        <v>5995</v>
      </c>
      <c r="W658" s="21"/>
      <c r="X658" t="s">
        <v>6032</v>
      </c>
      <c r="Y658" t="s">
        <v>6033</v>
      </c>
      <c r="AC658" t="s">
        <v>1881</v>
      </c>
      <c r="AE658" s="15"/>
      <c r="AG658">
        <v>43.600448</v>
      </c>
      <c r="AH658">
        <v>-73.183369999999996</v>
      </c>
      <c r="AI658" t="s">
        <v>4222</v>
      </c>
      <c r="AL658" t="s">
        <v>1715</v>
      </c>
      <c r="AM658" t="s">
        <v>63</v>
      </c>
      <c r="AN658" t="s">
        <v>6034</v>
      </c>
      <c r="AO658">
        <v>193946</v>
      </c>
      <c r="AQ658" t="s">
        <v>6035</v>
      </c>
      <c r="AR658" t="s">
        <v>6036</v>
      </c>
      <c r="AS658" t="s">
        <v>6037</v>
      </c>
      <c r="AT658" t="s">
        <v>68</v>
      </c>
      <c r="AV658" t="s">
        <v>6038</v>
      </c>
      <c r="AW658" t="s">
        <v>6039</v>
      </c>
      <c r="AX658" t="s">
        <v>6040</v>
      </c>
      <c r="BA658" s="14" t="s">
        <v>72</v>
      </c>
      <c r="BB658" s="14" t="s">
        <v>73</v>
      </c>
      <c r="BC658" s="14" t="s">
        <v>1723</v>
      </c>
    </row>
    <row r="659" spans="1:55" ht="15" customHeight="1" x14ac:dyDescent="0.4">
      <c r="A659" s="12">
        <v>3848</v>
      </c>
      <c r="B659" s="21" t="s">
        <v>6041</v>
      </c>
      <c r="C659" s="13" t="s">
        <v>6042</v>
      </c>
      <c r="D659" s="25" t="s">
        <v>6042</v>
      </c>
      <c r="E659" s="13"/>
      <c r="F659" s="41"/>
      <c r="G659" s="41"/>
      <c r="H659" s="41"/>
      <c r="I659" s="41"/>
      <c r="J659" s="41"/>
      <c r="K659" s="65" t="str">
        <f>IFERROR(VLOOKUP(D659,Sheet4!A$1:M$46,11,FALSE),"")</f>
        <v>Based on ADMIXTURE results of 78,187 SNPs, trace admixed (Q&lt;0.10) with Quercus alba</v>
      </c>
      <c r="L659" s="65" t="str">
        <f t="shared" si="10"/>
        <v>Based on ADMIXTURE results of 78,187 SNPs, trace admixed (Q&lt;0.10) with Quercus alba</v>
      </c>
      <c r="M659" s="14" t="s">
        <v>49</v>
      </c>
      <c r="N659" s="15">
        <v>44791</v>
      </c>
      <c r="O659" t="s">
        <v>2719</v>
      </c>
      <c r="P659" t="s">
        <v>51</v>
      </c>
      <c r="Q659" t="s">
        <v>52</v>
      </c>
      <c r="R659" t="s">
        <v>53</v>
      </c>
      <c r="S659" t="s">
        <v>5993</v>
      </c>
      <c r="T659" t="s">
        <v>5994</v>
      </c>
      <c r="U659" t="s">
        <v>56</v>
      </c>
      <c r="V659" s="21" t="s">
        <v>5995</v>
      </c>
      <c r="W659" s="21"/>
      <c r="X659" t="s">
        <v>6043</v>
      </c>
      <c r="Y659" t="s">
        <v>6044</v>
      </c>
      <c r="AC659" t="s">
        <v>60</v>
      </c>
      <c r="AE659" s="15"/>
      <c r="AG659">
        <v>43.6</v>
      </c>
      <c r="AH659">
        <v>-73.183676000000006</v>
      </c>
      <c r="AI659" t="s">
        <v>6010</v>
      </c>
      <c r="AL659" t="s">
        <v>1715</v>
      </c>
      <c r="AM659" t="s">
        <v>63</v>
      </c>
      <c r="AN659" t="s">
        <v>6045</v>
      </c>
      <c r="AO659">
        <v>192612</v>
      </c>
      <c r="AQ659" t="s">
        <v>6046</v>
      </c>
      <c r="AR659" t="s">
        <v>6047</v>
      </c>
      <c r="AS659" t="s">
        <v>6048</v>
      </c>
      <c r="AT659" t="s">
        <v>68</v>
      </c>
      <c r="AV659" t="s">
        <v>6049</v>
      </c>
      <c r="AW659" t="s">
        <v>6050</v>
      </c>
      <c r="AX659" t="s">
        <v>6051</v>
      </c>
      <c r="BA659" s="14" t="s">
        <v>72</v>
      </c>
      <c r="BB659" s="14" t="s">
        <v>73</v>
      </c>
      <c r="BC659" s="14" t="s">
        <v>74</v>
      </c>
    </row>
    <row r="660" spans="1:55" ht="15" customHeight="1" x14ac:dyDescent="0.4">
      <c r="A660" s="12">
        <v>3849</v>
      </c>
      <c r="B660" s="21" t="s">
        <v>6052</v>
      </c>
      <c r="C660" s="13" t="s">
        <v>6053</v>
      </c>
      <c r="D660" s="25" t="s">
        <v>6053</v>
      </c>
      <c r="E660" s="13"/>
      <c r="F660" s="41"/>
      <c r="G660" s="41"/>
      <c r="H660" s="41"/>
      <c r="I660" s="41"/>
      <c r="J660" s="41"/>
      <c r="K660" s="65" t="str">
        <f>IFERROR(VLOOKUP(D660,Sheet4!A$1:M$46,11,FALSE),"")</f>
        <v>Based on ADMIXTURE results of 78,187 SNPs, trace admixed (Q&lt;0.10) with Quercus bicolor</v>
      </c>
      <c r="L660" s="65" t="str">
        <f t="shared" si="10"/>
        <v>Based on ADMIXTURE results of 78,187 SNPs, trace admixed (Q&lt;0.10) with Quercus bicolor</v>
      </c>
      <c r="M660" s="14" t="s">
        <v>49</v>
      </c>
      <c r="N660" s="15">
        <v>44791</v>
      </c>
      <c r="O660" t="s">
        <v>2719</v>
      </c>
      <c r="P660" t="s">
        <v>51</v>
      </c>
      <c r="Q660" t="s">
        <v>52</v>
      </c>
      <c r="R660" t="s">
        <v>53</v>
      </c>
      <c r="S660" t="s">
        <v>5993</v>
      </c>
      <c r="T660" t="s">
        <v>5994</v>
      </c>
      <c r="U660" t="s">
        <v>56</v>
      </c>
      <c r="V660" s="21" t="s">
        <v>5995</v>
      </c>
      <c r="W660" s="21"/>
      <c r="X660" t="s">
        <v>6054</v>
      </c>
      <c r="Y660" t="s">
        <v>6055</v>
      </c>
      <c r="AC660" t="s">
        <v>60</v>
      </c>
      <c r="AE660" s="15"/>
      <c r="AG660">
        <v>43.599099000000002</v>
      </c>
      <c r="AH660">
        <v>-73.184667000000005</v>
      </c>
      <c r="AI660" t="s">
        <v>3539</v>
      </c>
      <c r="AL660" t="s">
        <v>1715</v>
      </c>
      <c r="AM660" t="s">
        <v>63</v>
      </c>
      <c r="AN660" t="s">
        <v>6056</v>
      </c>
      <c r="AO660">
        <v>194448</v>
      </c>
      <c r="AQ660" t="s">
        <v>6057</v>
      </c>
      <c r="AR660" t="s">
        <v>6058</v>
      </c>
      <c r="AS660" t="s">
        <v>6059</v>
      </c>
      <c r="AT660" t="s">
        <v>68</v>
      </c>
      <c r="AV660" t="s">
        <v>6060</v>
      </c>
      <c r="AW660" t="s">
        <v>6061</v>
      </c>
      <c r="AX660" t="s">
        <v>6062</v>
      </c>
      <c r="BA660" s="14" t="s">
        <v>72</v>
      </c>
      <c r="BB660" s="14" t="s">
        <v>73</v>
      </c>
      <c r="BC660" s="14" t="s">
        <v>74</v>
      </c>
    </row>
    <row r="661" spans="1:55" ht="15" customHeight="1" x14ac:dyDescent="0.4">
      <c r="A661" s="12">
        <v>3850</v>
      </c>
      <c r="B661" s="21" t="s">
        <v>6063</v>
      </c>
      <c r="C661" s="13" t="s">
        <v>6064</v>
      </c>
      <c r="D661" s="25" t="s">
        <v>6064</v>
      </c>
      <c r="E661" s="13"/>
      <c r="F661" s="41"/>
      <c r="G661" s="41"/>
      <c r="H661" s="41"/>
      <c r="I661" s="41"/>
      <c r="J661" s="41"/>
      <c r="K661" s="65" t="str">
        <f>IFERROR(VLOOKUP(D661,Sheet4!A$1:M$46,11,FALSE),"")</f>
        <v/>
      </c>
      <c r="L661" s="65" t="str">
        <f t="shared" si="10"/>
        <v/>
      </c>
      <c r="M661" s="14" t="s">
        <v>1878</v>
      </c>
      <c r="N661" s="15">
        <v>44791</v>
      </c>
      <c r="O661" t="s">
        <v>2719</v>
      </c>
      <c r="P661" t="s">
        <v>51</v>
      </c>
      <c r="Q661" t="s">
        <v>52</v>
      </c>
      <c r="R661" t="s">
        <v>53</v>
      </c>
      <c r="S661" t="s">
        <v>5993</v>
      </c>
      <c r="T661" t="s">
        <v>5994</v>
      </c>
      <c r="U661" t="s">
        <v>56</v>
      </c>
      <c r="V661" s="21" t="s">
        <v>5995</v>
      </c>
      <c r="W661" s="21"/>
      <c r="X661" t="s">
        <v>6065</v>
      </c>
      <c r="Y661" t="s">
        <v>6066</v>
      </c>
      <c r="AC661" t="s">
        <v>1881</v>
      </c>
      <c r="AE661" s="15"/>
      <c r="AG661">
        <v>43.598788999999996</v>
      </c>
      <c r="AH661">
        <v>-73.185412999999997</v>
      </c>
      <c r="AI661" t="s">
        <v>6067</v>
      </c>
      <c r="AL661" t="s">
        <v>1715</v>
      </c>
      <c r="AM661" t="s">
        <v>63</v>
      </c>
      <c r="AN661" t="s">
        <v>6068</v>
      </c>
      <c r="AO661">
        <v>193947</v>
      </c>
      <c r="AQ661" t="s">
        <v>6069</v>
      </c>
      <c r="AR661" t="s">
        <v>6070</v>
      </c>
      <c r="AS661" t="s">
        <v>6071</v>
      </c>
      <c r="AT661" t="s">
        <v>68</v>
      </c>
      <c r="AV661" t="s">
        <v>6072</v>
      </c>
      <c r="AW661" t="s">
        <v>6073</v>
      </c>
      <c r="AX661" t="s">
        <v>6074</v>
      </c>
      <c r="BA661" s="14" t="s">
        <v>72</v>
      </c>
      <c r="BB661" s="14" t="s">
        <v>73</v>
      </c>
      <c r="BC661" s="14" t="s">
        <v>1723</v>
      </c>
    </row>
    <row r="662" spans="1:55" ht="15" customHeight="1" x14ac:dyDescent="0.4">
      <c r="A662" s="12">
        <v>3851</v>
      </c>
      <c r="B662" s="21" t="s">
        <v>6075</v>
      </c>
      <c r="C662" s="13" t="s">
        <v>6076</v>
      </c>
      <c r="D662" s="25" t="s">
        <v>6076</v>
      </c>
      <c r="E662" s="13"/>
      <c r="F662" s="43" t="s">
        <v>49</v>
      </c>
      <c r="G662" s="43" t="s">
        <v>8095</v>
      </c>
      <c r="H662" s="43"/>
      <c r="I662" s="43"/>
      <c r="J662" s="43"/>
      <c r="K662" s="65" t="str">
        <f>IFERROR(VLOOKUP(D662,Sheet4!A$1:M$46,11,FALSE),"")</f>
        <v/>
      </c>
      <c r="L662" s="65" t="str">
        <f t="shared" si="10"/>
        <v/>
      </c>
      <c r="M662" s="14" t="s">
        <v>49</v>
      </c>
      <c r="N662" s="15">
        <v>44791</v>
      </c>
      <c r="O662" t="s">
        <v>2719</v>
      </c>
      <c r="P662" t="s">
        <v>51</v>
      </c>
      <c r="Q662" t="s">
        <v>52</v>
      </c>
      <c r="R662" t="s">
        <v>53</v>
      </c>
      <c r="S662" t="s">
        <v>5993</v>
      </c>
      <c r="T662" t="s">
        <v>5994</v>
      </c>
      <c r="U662" t="s">
        <v>56</v>
      </c>
      <c r="V662" s="21" t="s">
        <v>5995</v>
      </c>
      <c r="W662" s="21"/>
      <c r="X662" t="s">
        <v>6077</v>
      </c>
      <c r="Y662" t="s">
        <v>6078</v>
      </c>
      <c r="AC662" t="s">
        <v>60</v>
      </c>
      <c r="AE662" s="15"/>
      <c r="AG662">
        <v>43.598002999999999</v>
      </c>
      <c r="AH662">
        <v>-73.186823000000004</v>
      </c>
      <c r="AI662" t="s">
        <v>6079</v>
      </c>
      <c r="AL662" t="s">
        <v>1715</v>
      </c>
      <c r="AM662" t="s">
        <v>63</v>
      </c>
      <c r="AN662" t="s">
        <v>6080</v>
      </c>
      <c r="AO662">
        <v>194449</v>
      </c>
      <c r="AQ662" t="s">
        <v>6081</v>
      </c>
      <c r="AR662" t="s">
        <v>6082</v>
      </c>
      <c r="AS662" t="s">
        <v>6083</v>
      </c>
      <c r="AT662" t="s">
        <v>68</v>
      </c>
      <c r="AV662" t="s">
        <v>6084</v>
      </c>
      <c r="AW662" t="s">
        <v>6085</v>
      </c>
      <c r="AX662" t="s">
        <v>6086</v>
      </c>
      <c r="BA662" s="14" t="s">
        <v>72</v>
      </c>
      <c r="BB662" s="14" t="s">
        <v>73</v>
      </c>
      <c r="BC662" s="14" t="s">
        <v>74</v>
      </c>
    </row>
    <row r="663" spans="1:55" ht="15" customHeight="1" x14ac:dyDescent="0.4">
      <c r="A663" s="12">
        <v>3852</v>
      </c>
      <c r="B663" s="21" t="s">
        <v>6087</v>
      </c>
      <c r="C663" s="13" t="s">
        <v>6088</v>
      </c>
      <c r="D663" s="25" t="s">
        <v>6088</v>
      </c>
      <c r="E663" s="13"/>
      <c r="F663" s="41"/>
      <c r="G663" s="41"/>
      <c r="H663" s="41"/>
      <c r="I663" s="41"/>
      <c r="J663" s="41"/>
      <c r="K663" s="65" t="str">
        <f>IFERROR(VLOOKUP(D663,Sheet4!A$1:M$46,11,FALSE),"")</f>
        <v/>
      </c>
      <c r="L663" s="65" t="str">
        <f t="shared" si="10"/>
        <v/>
      </c>
      <c r="M663" s="14" t="s">
        <v>1878</v>
      </c>
      <c r="N663" s="15">
        <v>44791</v>
      </c>
      <c r="O663" t="s">
        <v>2719</v>
      </c>
      <c r="P663" t="s">
        <v>51</v>
      </c>
      <c r="Q663" t="s">
        <v>52</v>
      </c>
      <c r="R663" t="s">
        <v>53</v>
      </c>
      <c r="S663" t="s">
        <v>5993</v>
      </c>
      <c r="T663" t="s">
        <v>5994</v>
      </c>
      <c r="U663" t="s">
        <v>56</v>
      </c>
      <c r="V663" s="21" t="s">
        <v>5995</v>
      </c>
      <c r="W663" s="21"/>
      <c r="X663" t="s">
        <v>6020</v>
      </c>
      <c r="Y663" t="s">
        <v>6089</v>
      </c>
      <c r="AC663" t="s">
        <v>1881</v>
      </c>
      <c r="AE663" s="15"/>
      <c r="AG663">
        <v>43.600133</v>
      </c>
      <c r="AH663">
        <v>-73.183418000000003</v>
      </c>
      <c r="AI663" t="s">
        <v>6090</v>
      </c>
      <c r="AL663" t="s">
        <v>1715</v>
      </c>
      <c r="AM663" t="s">
        <v>63</v>
      </c>
      <c r="AN663" t="s">
        <v>6091</v>
      </c>
      <c r="AO663">
        <v>192531</v>
      </c>
      <c r="AQ663" t="s">
        <v>6092</v>
      </c>
      <c r="AR663" t="s">
        <v>6093</v>
      </c>
      <c r="AS663" t="s">
        <v>6094</v>
      </c>
      <c r="AT663" t="s">
        <v>68</v>
      </c>
      <c r="AV663" t="s">
        <v>6095</v>
      </c>
      <c r="AW663" t="s">
        <v>6096</v>
      </c>
      <c r="AX663" t="s">
        <v>6097</v>
      </c>
      <c r="BA663" s="14" t="s">
        <v>72</v>
      </c>
      <c r="BB663" s="14" t="s">
        <v>73</v>
      </c>
      <c r="BC663" s="14" t="s">
        <v>1723</v>
      </c>
    </row>
    <row r="664" spans="1:55" ht="15" customHeight="1" x14ac:dyDescent="0.4">
      <c r="A664" s="12">
        <v>3714</v>
      </c>
      <c r="B664" s="21" t="s">
        <v>4465</v>
      </c>
      <c r="C664" s="13" t="s">
        <v>4466</v>
      </c>
      <c r="D664" s="25" t="s">
        <v>4466</v>
      </c>
      <c r="E664" s="13"/>
      <c r="F664" s="41" t="s">
        <v>8119</v>
      </c>
      <c r="G664" s="41"/>
      <c r="H664" s="41"/>
      <c r="I664" s="41"/>
      <c r="J664" s="41"/>
      <c r="K664" s="65" t="str">
        <f>IFERROR(VLOOKUP(D664,Sheet4!A$1:M$46,11,FALSE),"")</f>
        <v/>
      </c>
      <c r="L664" s="65" t="str">
        <f t="shared" si="10"/>
        <v/>
      </c>
      <c r="M664" s="14" t="s">
        <v>1878</v>
      </c>
      <c r="N664" s="15">
        <v>44763</v>
      </c>
      <c r="O664" t="s">
        <v>2719</v>
      </c>
      <c r="P664" t="s">
        <v>51</v>
      </c>
      <c r="Q664" t="s">
        <v>52</v>
      </c>
      <c r="R664" t="s">
        <v>53</v>
      </c>
      <c r="S664" t="s">
        <v>574</v>
      </c>
      <c r="T664" t="s">
        <v>4467</v>
      </c>
      <c r="U664" t="s">
        <v>56</v>
      </c>
      <c r="V664" s="21" t="s">
        <v>4468</v>
      </c>
      <c r="W664" s="21"/>
      <c r="X664" t="s">
        <v>4469</v>
      </c>
      <c r="Y664" t="s">
        <v>4470</v>
      </c>
      <c r="AB664" t="s">
        <v>1758</v>
      </c>
      <c r="AC664" t="s">
        <v>1881</v>
      </c>
      <c r="AE664" s="15"/>
      <c r="AG664">
        <v>46.332048</v>
      </c>
      <c r="AH664">
        <v>-91.507300999999998</v>
      </c>
      <c r="AI664" t="s">
        <v>4471</v>
      </c>
      <c r="AL664" t="s">
        <v>1715</v>
      </c>
      <c r="AM664" t="s">
        <v>63</v>
      </c>
      <c r="AN664" t="s">
        <v>4472</v>
      </c>
      <c r="AO664">
        <v>192554</v>
      </c>
      <c r="AQ664" t="s">
        <v>4473</v>
      </c>
      <c r="AR664" t="s">
        <v>4474</v>
      </c>
      <c r="AS664" t="s">
        <v>4475</v>
      </c>
      <c r="AT664" t="s">
        <v>68</v>
      </c>
      <c r="AV664" t="s">
        <v>4476</v>
      </c>
      <c r="AW664" t="s">
        <v>4477</v>
      </c>
      <c r="AX664" t="s">
        <v>4478</v>
      </c>
      <c r="BA664" s="14" t="s">
        <v>72</v>
      </c>
      <c r="BB664" s="14" t="s">
        <v>73</v>
      </c>
      <c r="BC664" s="14" t="s">
        <v>1723</v>
      </c>
    </row>
    <row r="665" spans="1:55" ht="15" customHeight="1" x14ac:dyDescent="0.4">
      <c r="A665" s="33">
        <v>3715</v>
      </c>
      <c r="B665" s="37" t="s">
        <v>4479</v>
      </c>
      <c r="C665" s="35" t="s">
        <v>4480</v>
      </c>
      <c r="D665" s="55" t="s">
        <v>4480</v>
      </c>
      <c r="E665" s="35"/>
      <c r="F665" s="42" t="s">
        <v>8119</v>
      </c>
      <c r="G665" s="42"/>
      <c r="H665" s="42"/>
      <c r="I665" s="42"/>
      <c r="J665" s="42"/>
      <c r="K665" s="65" t="str">
        <f>IFERROR(VLOOKUP(D665,Sheet4!A$1:M$46,11,FALSE),"")</f>
        <v/>
      </c>
      <c r="L665" s="65" t="str">
        <f t="shared" si="10"/>
        <v/>
      </c>
      <c r="M665" s="34" t="s">
        <v>1878</v>
      </c>
      <c r="N665" s="36">
        <v>44763</v>
      </c>
      <c r="O665" s="34" t="s">
        <v>2719</v>
      </c>
      <c r="P665" s="34" t="s">
        <v>51</v>
      </c>
      <c r="Q665" s="34" t="s">
        <v>52</v>
      </c>
      <c r="R665" s="34" t="s">
        <v>53</v>
      </c>
      <c r="S665" s="34" t="s">
        <v>574</v>
      </c>
      <c r="T665" s="34" t="s">
        <v>4467</v>
      </c>
      <c r="U665" s="34" t="s">
        <v>56</v>
      </c>
      <c r="V665" s="37" t="s">
        <v>4468</v>
      </c>
      <c r="W665" s="37"/>
      <c r="X665" s="34" t="s">
        <v>4469</v>
      </c>
      <c r="Y665" s="34" t="s">
        <v>4481</v>
      </c>
      <c r="Z665" s="34"/>
      <c r="AA665" s="34"/>
      <c r="AB665" s="34" t="s">
        <v>1758</v>
      </c>
      <c r="AC665" s="34" t="s">
        <v>1881</v>
      </c>
      <c r="AD665" s="34"/>
      <c r="AE665" s="36"/>
      <c r="AF665" s="34"/>
      <c r="AG665" s="34">
        <v>46.332273000000001</v>
      </c>
      <c r="AH665" s="34">
        <v>-91.507436999999996</v>
      </c>
      <c r="AI665" s="34" t="s">
        <v>4482</v>
      </c>
      <c r="AJ665" s="34"/>
      <c r="AK665" s="34"/>
      <c r="AL665" s="34" t="s">
        <v>1715</v>
      </c>
      <c r="AM665" s="34" t="s">
        <v>63</v>
      </c>
      <c r="AN665" s="34" t="s">
        <v>4483</v>
      </c>
      <c r="AO665" s="34">
        <v>192555</v>
      </c>
      <c r="AP665" s="34"/>
      <c r="AQ665" s="34" t="s">
        <v>4484</v>
      </c>
      <c r="AR665" s="34" t="s">
        <v>4485</v>
      </c>
      <c r="AS665" s="34" t="s">
        <v>4486</v>
      </c>
      <c r="AT665" s="34" t="s">
        <v>68</v>
      </c>
      <c r="AU665" s="34"/>
      <c r="AV665" s="34" t="s">
        <v>4487</v>
      </c>
      <c r="AW665" s="34" t="s">
        <v>4488</v>
      </c>
      <c r="AX665" s="34" t="s">
        <v>4489</v>
      </c>
      <c r="AY665" s="34"/>
      <c r="AZ665" s="34"/>
      <c r="BA665" s="34" t="s">
        <v>72</v>
      </c>
      <c r="BB665" s="34" t="s">
        <v>73</v>
      </c>
      <c r="BC665" s="34" t="s">
        <v>1723</v>
      </c>
    </row>
    <row r="666" spans="1:55" ht="15" customHeight="1" x14ac:dyDescent="0.4">
      <c r="A666" s="12">
        <v>3716</v>
      </c>
      <c r="B666" s="21" t="s">
        <v>4490</v>
      </c>
      <c r="C666" s="13" t="s">
        <v>4491</v>
      </c>
      <c r="D666" s="25" t="s">
        <v>4491</v>
      </c>
      <c r="E666" s="13"/>
      <c r="F666" s="43" t="s">
        <v>1878</v>
      </c>
      <c r="G666" s="43" t="s">
        <v>8129</v>
      </c>
      <c r="H666" s="43" t="s">
        <v>8101</v>
      </c>
      <c r="I666" s="43"/>
      <c r="J666" s="43"/>
      <c r="K666" s="65" t="str">
        <f>IFERROR(VLOOKUP(D666,Sheet4!A$1:M$46,11,FALSE),"")</f>
        <v>Based on ADMIXTURE results of 78,187 SNPs, trace admixed (Q&lt;0.10) with Quercus macrocarpa</v>
      </c>
      <c r="L666" s="65" t="str">
        <f t="shared" si="10"/>
        <v>Based on ADMIXTURE results of 78,187 SNPs, trace admixed (Q&lt;0.10) with Quercus macrocarpa</v>
      </c>
      <c r="M666" s="14" t="s">
        <v>1878</v>
      </c>
      <c r="N666" s="15">
        <v>44763</v>
      </c>
      <c r="O666" t="s">
        <v>2719</v>
      </c>
      <c r="P666" t="s">
        <v>51</v>
      </c>
      <c r="Q666" t="s">
        <v>52</v>
      </c>
      <c r="R666" t="s">
        <v>53</v>
      </c>
      <c r="S666" t="s">
        <v>574</v>
      </c>
      <c r="T666" t="s">
        <v>4467</v>
      </c>
      <c r="U666" t="s">
        <v>56</v>
      </c>
      <c r="V666" s="21" t="s">
        <v>4468</v>
      </c>
      <c r="W666" s="21"/>
      <c r="X666" t="s">
        <v>4469</v>
      </c>
      <c r="Y666" t="s">
        <v>4492</v>
      </c>
      <c r="AB666" t="s">
        <v>1758</v>
      </c>
      <c r="AC666" t="s">
        <v>1881</v>
      </c>
      <c r="AE666" s="15"/>
      <c r="AG666">
        <v>46.332523000000002</v>
      </c>
      <c r="AH666">
        <v>-91.507718999999994</v>
      </c>
      <c r="AI666" t="s">
        <v>4493</v>
      </c>
      <c r="AL666" t="s">
        <v>1715</v>
      </c>
      <c r="AM666" t="s">
        <v>63</v>
      </c>
      <c r="AN666" t="s">
        <v>4494</v>
      </c>
      <c r="AO666">
        <v>194221</v>
      </c>
      <c r="AQ666" t="s">
        <v>4495</v>
      </c>
      <c r="AR666" t="s">
        <v>4496</v>
      </c>
      <c r="AS666" t="s">
        <v>4497</v>
      </c>
      <c r="AT666" t="s">
        <v>68</v>
      </c>
      <c r="AV666" t="s">
        <v>4498</v>
      </c>
      <c r="AW666" t="s">
        <v>4499</v>
      </c>
      <c r="AX666" t="s">
        <v>4500</v>
      </c>
      <c r="BA666" s="14" t="s">
        <v>72</v>
      </c>
      <c r="BB666" s="14" t="s">
        <v>73</v>
      </c>
      <c r="BC666" s="14" t="s">
        <v>1723</v>
      </c>
    </row>
    <row r="667" spans="1:55" ht="15" customHeight="1" x14ac:dyDescent="0.4">
      <c r="A667" s="12">
        <v>3717</v>
      </c>
      <c r="B667" s="21" t="s">
        <v>4501</v>
      </c>
      <c r="C667" s="13" t="s">
        <v>4502</v>
      </c>
      <c r="D667" s="25" t="s">
        <v>4502</v>
      </c>
      <c r="E667" s="13"/>
      <c r="F667" s="45" t="s">
        <v>49</v>
      </c>
      <c r="G667" s="45" t="s">
        <v>8128</v>
      </c>
      <c r="H667" s="45"/>
      <c r="I667" s="45"/>
      <c r="J667" s="45"/>
      <c r="K667" s="65" t="str">
        <f>IFERROR(VLOOKUP(D667,Sheet4!A$1:M$46,11,FALSE),"")</f>
        <v>Based on ADMIXTURE results of 78,187 SNPs, admixed with Quercus alba</v>
      </c>
      <c r="L667" s="65" t="str">
        <f t="shared" si="10"/>
        <v>Based on ADMIXTURE results of 78,187 SNPs, admixed with Quercus alba</v>
      </c>
      <c r="M667" s="14" t="s">
        <v>1878</v>
      </c>
      <c r="N667" s="15">
        <v>44763</v>
      </c>
      <c r="O667" t="s">
        <v>2719</v>
      </c>
      <c r="P667" t="s">
        <v>51</v>
      </c>
      <c r="Q667" t="s">
        <v>52</v>
      </c>
      <c r="R667" t="s">
        <v>53</v>
      </c>
      <c r="S667" t="s">
        <v>574</v>
      </c>
      <c r="T667" t="s">
        <v>4467</v>
      </c>
      <c r="U667" t="s">
        <v>56</v>
      </c>
      <c r="V667" s="21" t="s">
        <v>4468</v>
      </c>
      <c r="W667" s="21"/>
      <c r="X667" t="s">
        <v>4469</v>
      </c>
      <c r="Y667" t="s">
        <v>4503</v>
      </c>
      <c r="AB667" t="s">
        <v>2321</v>
      </c>
      <c r="AC667" t="s">
        <v>1881</v>
      </c>
      <c r="AE667" s="15"/>
      <c r="AG667">
        <v>46.331696999999998</v>
      </c>
      <c r="AH667">
        <v>-91.507323999999997</v>
      </c>
      <c r="AI667" t="s">
        <v>4504</v>
      </c>
      <c r="AL667" t="s">
        <v>1715</v>
      </c>
      <c r="AM667" t="s">
        <v>63</v>
      </c>
      <c r="AN667" t="s">
        <v>4505</v>
      </c>
      <c r="AO667">
        <v>192553</v>
      </c>
      <c r="AQ667" t="s">
        <v>4506</v>
      </c>
      <c r="AR667" t="s">
        <v>4507</v>
      </c>
      <c r="AS667" t="s">
        <v>4508</v>
      </c>
      <c r="AT667" t="s">
        <v>68</v>
      </c>
      <c r="AV667" t="s">
        <v>4509</v>
      </c>
      <c r="AW667" t="s">
        <v>4510</v>
      </c>
      <c r="AX667" t="s">
        <v>4511</v>
      </c>
      <c r="BA667" s="14" t="s">
        <v>72</v>
      </c>
      <c r="BB667" s="14" t="s">
        <v>73</v>
      </c>
      <c r="BC667" s="14" t="s">
        <v>1723</v>
      </c>
    </row>
    <row r="668" spans="1:55" ht="15" customHeight="1" x14ac:dyDescent="0.4">
      <c r="A668" s="12">
        <v>3718</v>
      </c>
      <c r="B668" s="21" t="s">
        <v>4512</v>
      </c>
      <c r="C668" s="13" t="s">
        <v>4513</v>
      </c>
      <c r="D668" s="25" t="s">
        <v>4513</v>
      </c>
      <c r="E668" s="13"/>
      <c r="F668" s="41"/>
      <c r="G668" s="41"/>
      <c r="H668" s="41"/>
      <c r="I668" s="41"/>
      <c r="J668" s="41"/>
      <c r="K668" s="65" t="str">
        <f>IFERROR(VLOOKUP(D668,Sheet4!A$1:M$46,11,FALSE),"")</f>
        <v/>
      </c>
      <c r="L668" s="65" t="str">
        <f t="shared" si="10"/>
        <v/>
      </c>
      <c r="M668" s="14" t="s">
        <v>49</v>
      </c>
      <c r="N668" s="15">
        <v>44763</v>
      </c>
      <c r="O668" t="s">
        <v>2719</v>
      </c>
      <c r="P668" t="s">
        <v>51</v>
      </c>
      <c r="Q668" t="s">
        <v>52</v>
      </c>
      <c r="R668" t="s">
        <v>53</v>
      </c>
      <c r="S668" t="s">
        <v>574</v>
      </c>
      <c r="T668" t="s">
        <v>4467</v>
      </c>
      <c r="U668" t="s">
        <v>56</v>
      </c>
      <c r="V668" s="21" t="s">
        <v>4468</v>
      </c>
      <c r="W668" s="21"/>
      <c r="X668" t="s">
        <v>4469</v>
      </c>
      <c r="Y668" t="s">
        <v>4514</v>
      </c>
      <c r="AB668" t="s">
        <v>2336</v>
      </c>
      <c r="AC668" t="s">
        <v>60</v>
      </c>
      <c r="AE668" s="15"/>
      <c r="AG668">
        <v>46.331710999999999</v>
      </c>
      <c r="AH668">
        <v>-91.507253000000006</v>
      </c>
      <c r="AI668" t="s">
        <v>4515</v>
      </c>
      <c r="AL668" t="s">
        <v>1715</v>
      </c>
      <c r="AM668" t="s">
        <v>63</v>
      </c>
      <c r="AN668" t="s">
        <v>4516</v>
      </c>
      <c r="AO668">
        <v>194470</v>
      </c>
      <c r="AQ668" t="s">
        <v>4517</v>
      </c>
      <c r="AR668" t="s">
        <v>4518</v>
      </c>
      <c r="AS668" t="s">
        <v>4519</v>
      </c>
      <c r="AT668" t="s">
        <v>68</v>
      </c>
      <c r="AV668" t="s">
        <v>4520</v>
      </c>
      <c r="AW668" t="s">
        <v>4521</v>
      </c>
      <c r="AX668" t="s">
        <v>4522</v>
      </c>
      <c r="BA668" s="14" t="s">
        <v>72</v>
      </c>
      <c r="BB668" s="14" t="s">
        <v>73</v>
      </c>
      <c r="BC668" s="14" t="s">
        <v>74</v>
      </c>
    </row>
    <row r="669" spans="1:55" ht="15" customHeight="1" x14ac:dyDescent="0.4">
      <c r="A669" s="12">
        <v>3719</v>
      </c>
      <c r="B669" s="21" t="s">
        <v>4523</v>
      </c>
      <c r="C669" s="13" t="s">
        <v>4524</v>
      </c>
      <c r="D669" s="25" t="s">
        <v>4524</v>
      </c>
      <c r="E669" s="13"/>
      <c r="F669" s="41"/>
      <c r="G669" s="41"/>
      <c r="H669" s="41"/>
      <c r="I669" s="41"/>
      <c r="J669" s="41"/>
      <c r="K669" s="65" t="str">
        <f>IFERROR(VLOOKUP(D669,Sheet4!A$1:M$46,11,FALSE),"")</f>
        <v/>
      </c>
      <c r="L669" s="65" t="str">
        <f t="shared" si="10"/>
        <v/>
      </c>
      <c r="M669" s="14" t="s">
        <v>49</v>
      </c>
      <c r="N669" s="15">
        <v>44763</v>
      </c>
      <c r="O669" t="s">
        <v>2719</v>
      </c>
      <c r="P669" t="s">
        <v>51</v>
      </c>
      <c r="Q669" t="s">
        <v>52</v>
      </c>
      <c r="R669" t="s">
        <v>53</v>
      </c>
      <c r="S669" t="s">
        <v>574</v>
      </c>
      <c r="T669" t="s">
        <v>4467</v>
      </c>
      <c r="U669" t="s">
        <v>56</v>
      </c>
      <c r="V669" s="21" t="s">
        <v>4468</v>
      </c>
      <c r="W669" s="21"/>
      <c r="X669" t="s">
        <v>4469</v>
      </c>
      <c r="Y669" t="s">
        <v>4525</v>
      </c>
      <c r="AB669" t="s">
        <v>2321</v>
      </c>
      <c r="AC669" t="s">
        <v>60</v>
      </c>
      <c r="AE669" s="15"/>
      <c r="AG669">
        <v>46.330843999999999</v>
      </c>
      <c r="AH669">
        <v>-91.506894000000003</v>
      </c>
      <c r="AI669" t="s">
        <v>4493</v>
      </c>
      <c r="AL669" t="s">
        <v>1715</v>
      </c>
      <c r="AM669" t="s">
        <v>63</v>
      </c>
      <c r="AN669" t="s">
        <v>4526</v>
      </c>
      <c r="AO669">
        <v>192576</v>
      </c>
      <c r="AQ669" t="s">
        <v>4527</v>
      </c>
      <c r="AR669" t="s">
        <v>4528</v>
      </c>
      <c r="AS669" t="s">
        <v>4529</v>
      </c>
      <c r="AT669" t="s">
        <v>68</v>
      </c>
      <c r="AU669" t="s">
        <v>4530</v>
      </c>
      <c r="AV669" t="s">
        <v>4531</v>
      </c>
      <c r="AW669" t="s">
        <v>4532</v>
      </c>
      <c r="AX669" t="s">
        <v>4533</v>
      </c>
      <c r="AY669" s="31" t="s">
        <v>4534</v>
      </c>
      <c r="BA669" s="14" t="s">
        <v>72</v>
      </c>
      <c r="BB669" s="14" t="s">
        <v>73</v>
      </c>
      <c r="BC669" s="14" t="s">
        <v>74</v>
      </c>
    </row>
    <row r="670" spans="1:55" ht="15" customHeight="1" x14ac:dyDescent="0.4">
      <c r="A670" s="12">
        <v>3720</v>
      </c>
      <c r="B670" s="21" t="s">
        <v>4535</v>
      </c>
      <c r="C670" s="13" t="s">
        <v>4536</v>
      </c>
      <c r="D670" s="25" t="s">
        <v>4536</v>
      </c>
      <c r="E670" s="13"/>
      <c r="F670" s="41"/>
      <c r="G670" s="41"/>
      <c r="H670" s="41"/>
      <c r="I670" s="41"/>
      <c r="J670" s="41"/>
      <c r="K670" s="65" t="str">
        <f>IFERROR(VLOOKUP(D670,Sheet4!A$1:M$46,11,FALSE),"")</f>
        <v/>
      </c>
      <c r="L670" s="65" t="str">
        <f t="shared" si="10"/>
        <v/>
      </c>
      <c r="M670" s="14" t="s">
        <v>49</v>
      </c>
      <c r="N670" s="15">
        <v>44763</v>
      </c>
      <c r="O670" t="s">
        <v>2719</v>
      </c>
      <c r="P670" t="s">
        <v>51</v>
      </c>
      <c r="Q670" t="s">
        <v>52</v>
      </c>
      <c r="R670" t="s">
        <v>53</v>
      </c>
      <c r="S670" t="s">
        <v>574</v>
      </c>
      <c r="T670" t="s">
        <v>4467</v>
      </c>
      <c r="U670" t="s">
        <v>56</v>
      </c>
      <c r="V670" s="21" t="s">
        <v>4468</v>
      </c>
      <c r="W670" s="21"/>
      <c r="X670" t="s">
        <v>4469</v>
      </c>
      <c r="Y670" t="s">
        <v>4537</v>
      </c>
      <c r="AB670" t="s">
        <v>2321</v>
      </c>
      <c r="AC670" t="s">
        <v>60</v>
      </c>
      <c r="AE670" s="15"/>
      <c r="AG670">
        <v>46.331659000000002</v>
      </c>
      <c r="AH670">
        <v>-91.506574000000001</v>
      </c>
      <c r="AI670" t="s">
        <v>4538</v>
      </c>
      <c r="AL670" t="s">
        <v>1715</v>
      </c>
      <c r="AM670" t="s">
        <v>63</v>
      </c>
      <c r="AN670" t="s">
        <v>4539</v>
      </c>
      <c r="AO670">
        <v>192656</v>
      </c>
      <c r="AQ670" t="s">
        <v>4540</v>
      </c>
      <c r="AR670" t="s">
        <v>4541</v>
      </c>
      <c r="AS670" t="s">
        <v>4542</v>
      </c>
      <c r="AT670" t="s">
        <v>68</v>
      </c>
      <c r="AV670" t="s">
        <v>4543</v>
      </c>
      <c r="AW670" t="s">
        <v>4544</v>
      </c>
      <c r="AX670" t="s">
        <v>4545</v>
      </c>
      <c r="BA670" s="14" t="s">
        <v>72</v>
      </c>
      <c r="BB670" s="14" t="s">
        <v>73</v>
      </c>
      <c r="BC670" s="14" t="s">
        <v>74</v>
      </c>
    </row>
    <row r="671" spans="1:55" ht="15" customHeight="1" x14ac:dyDescent="0.4">
      <c r="A671" s="12">
        <v>3721</v>
      </c>
      <c r="B671" s="21" t="s">
        <v>4546</v>
      </c>
      <c r="C671" s="13" t="s">
        <v>4547</v>
      </c>
      <c r="D671" s="25" t="s">
        <v>4547</v>
      </c>
      <c r="E671" s="13"/>
      <c r="F671" s="41"/>
      <c r="G671" s="41"/>
      <c r="H671" s="41"/>
      <c r="I671" s="41"/>
      <c r="J671" s="41"/>
      <c r="K671" s="65" t="str">
        <f>IFERROR(VLOOKUP(D671,Sheet4!A$1:M$46,11,FALSE),"")</f>
        <v/>
      </c>
      <c r="L671" s="65" t="str">
        <f t="shared" si="10"/>
        <v/>
      </c>
      <c r="M671" s="14" t="s">
        <v>49</v>
      </c>
      <c r="N671" s="15">
        <v>44763</v>
      </c>
      <c r="O671" t="s">
        <v>2719</v>
      </c>
      <c r="P671" t="s">
        <v>51</v>
      </c>
      <c r="Q671" t="s">
        <v>52</v>
      </c>
      <c r="R671" t="s">
        <v>53</v>
      </c>
      <c r="S671" t="s">
        <v>574</v>
      </c>
      <c r="T671" t="s">
        <v>4467</v>
      </c>
      <c r="U671" t="s">
        <v>56</v>
      </c>
      <c r="V671" s="21" t="s">
        <v>4468</v>
      </c>
      <c r="W671" s="21"/>
      <c r="X671" t="s">
        <v>4548</v>
      </c>
      <c r="Y671" t="s">
        <v>4549</v>
      </c>
      <c r="AB671" t="s">
        <v>2321</v>
      </c>
      <c r="AC671" t="s">
        <v>60</v>
      </c>
      <c r="AE671" s="15"/>
      <c r="AG671">
        <v>46.330621999999998</v>
      </c>
      <c r="AH671">
        <v>-91.506962000000001</v>
      </c>
      <c r="AI671" t="s">
        <v>4550</v>
      </c>
      <c r="AL671" t="s">
        <v>1715</v>
      </c>
      <c r="AM671" t="s">
        <v>63</v>
      </c>
      <c r="AN671" t="s">
        <v>4551</v>
      </c>
      <c r="AO671">
        <v>192537</v>
      </c>
      <c r="AQ671" t="s">
        <v>4552</v>
      </c>
      <c r="AR671" t="s">
        <v>4553</v>
      </c>
      <c r="AS671" t="s">
        <v>4554</v>
      </c>
      <c r="AT671" t="s">
        <v>68</v>
      </c>
      <c r="AV671" t="s">
        <v>4555</v>
      </c>
      <c r="AW671" t="s">
        <v>4556</v>
      </c>
      <c r="AX671" t="s">
        <v>4557</v>
      </c>
      <c r="BA671" s="14" t="s">
        <v>72</v>
      </c>
      <c r="BB671" s="14" t="s">
        <v>73</v>
      </c>
      <c r="BC671" s="14" t="s">
        <v>74</v>
      </c>
    </row>
    <row r="672" spans="1:55" ht="15" customHeight="1" x14ac:dyDescent="0.4">
      <c r="A672" s="12">
        <v>3722</v>
      </c>
      <c r="B672" s="21" t="s">
        <v>4558</v>
      </c>
      <c r="C672" s="13" t="s">
        <v>4559</v>
      </c>
      <c r="D672" s="25" t="s">
        <v>4559</v>
      </c>
      <c r="E672" s="13"/>
      <c r="F672" s="41"/>
      <c r="G672" s="41"/>
      <c r="H672" s="41"/>
      <c r="I672" s="41"/>
      <c r="J672" s="41"/>
      <c r="K672" s="65" t="str">
        <f>IFERROR(VLOOKUP(D672,Sheet4!A$1:M$46,11,FALSE),"")</f>
        <v/>
      </c>
      <c r="L672" s="65" t="str">
        <f t="shared" si="10"/>
        <v/>
      </c>
      <c r="M672" s="14" t="s">
        <v>49</v>
      </c>
      <c r="N672" s="15">
        <v>44763</v>
      </c>
      <c r="O672" t="s">
        <v>2719</v>
      </c>
      <c r="P672" t="s">
        <v>51</v>
      </c>
      <c r="Q672" t="s">
        <v>52</v>
      </c>
      <c r="R672" t="s">
        <v>53</v>
      </c>
      <c r="S672" t="s">
        <v>574</v>
      </c>
      <c r="T672" t="s">
        <v>4467</v>
      </c>
      <c r="U672" t="s">
        <v>56</v>
      </c>
      <c r="V672" s="21" t="s">
        <v>4468</v>
      </c>
      <c r="W672" s="21"/>
      <c r="X672" t="s">
        <v>4548</v>
      </c>
      <c r="Y672" t="s">
        <v>4560</v>
      </c>
      <c r="AB672" t="s">
        <v>2321</v>
      </c>
      <c r="AC672" t="s">
        <v>60</v>
      </c>
      <c r="AE672" s="15"/>
      <c r="AG672">
        <v>46.330665000000003</v>
      </c>
      <c r="AH672">
        <v>-91.507785999999996</v>
      </c>
      <c r="AI672" t="s">
        <v>4561</v>
      </c>
      <c r="AL672" t="s">
        <v>1715</v>
      </c>
      <c r="AM672" t="s">
        <v>63</v>
      </c>
      <c r="AN672" t="s">
        <v>4562</v>
      </c>
      <c r="AO672">
        <v>194469</v>
      </c>
      <c r="AQ672" t="s">
        <v>4563</v>
      </c>
      <c r="AR672" t="s">
        <v>4564</v>
      </c>
      <c r="AS672" t="s">
        <v>4565</v>
      </c>
      <c r="AT672" t="s">
        <v>68</v>
      </c>
      <c r="AV672" t="s">
        <v>4566</v>
      </c>
      <c r="AW672" t="s">
        <v>4567</v>
      </c>
      <c r="AX672" t="s">
        <v>4568</v>
      </c>
      <c r="BA672" s="14" t="s">
        <v>72</v>
      </c>
      <c r="BB672" s="14" t="s">
        <v>73</v>
      </c>
      <c r="BC672" s="14" t="s">
        <v>74</v>
      </c>
    </row>
    <row r="673" spans="1:55" ht="15" customHeight="1" x14ac:dyDescent="0.4">
      <c r="A673" s="12">
        <v>3700</v>
      </c>
      <c r="B673" s="21" t="s">
        <v>4299</v>
      </c>
      <c r="C673" s="13" t="s">
        <v>4300</v>
      </c>
      <c r="D673" s="25" t="s">
        <v>4300</v>
      </c>
      <c r="E673" s="13"/>
      <c r="F673" s="41"/>
      <c r="G673" s="41"/>
      <c r="H673" s="41"/>
      <c r="I673" s="41"/>
      <c r="J673" s="41"/>
      <c r="K673" s="65" t="str">
        <f>IFERROR(VLOOKUP(D673,Sheet4!A$1:M$46,11,FALSE),"")</f>
        <v/>
      </c>
      <c r="L673" s="65" t="str">
        <f t="shared" si="10"/>
        <v/>
      </c>
      <c r="M673" s="14" t="s">
        <v>49</v>
      </c>
      <c r="N673" s="15">
        <v>44761</v>
      </c>
      <c r="O673" t="s">
        <v>2719</v>
      </c>
      <c r="P673" t="s">
        <v>51</v>
      </c>
      <c r="Q673" t="s">
        <v>52</v>
      </c>
      <c r="R673" t="s">
        <v>53</v>
      </c>
      <c r="S673" t="s">
        <v>574</v>
      </c>
      <c r="T673" t="s">
        <v>2435</v>
      </c>
      <c r="U673" t="s">
        <v>56</v>
      </c>
      <c r="V673" s="21" t="s">
        <v>4301</v>
      </c>
      <c r="W673" s="21"/>
      <c r="X673" t="s">
        <v>4302</v>
      </c>
      <c r="Y673" t="s">
        <v>4303</v>
      </c>
      <c r="AC673" t="s">
        <v>60</v>
      </c>
      <c r="AE673" s="15"/>
      <c r="AG673">
        <v>43.148663999999997</v>
      </c>
      <c r="AH673">
        <v>-90.043608000000006</v>
      </c>
      <c r="AI673" t="s">
        <v>3079</v>
      </c>
      <c r="AL673" t="s">
        <v>1715</v>
      </c>
      <c r="AM673" t="s">
        <v>63</v>
      </c>
      <c r="AN673" t="s">
        <v>4304</v>
      </c>
      <c r="AO673">
        <v>192653</v>
      </c>
      <c r="AQ673" t="s">
        <v>4305</v>
      </c>
      <c r="AR673" t="s">
        <v>4306</v>
      </c>
      <c r="AS673" t="s">
        <v>4307</v>
      </c>
      <c r="AT673" t="s">
        <v>68</v>
      </c>
      <c r="AV673" t="s">
        <v>4308</v>
      </c>
      <c r="AW673" t="s">
        <v>4309</v>
      </c>
      <c r="AX673" t="s">
        <v>4310</v>
      </c>
      <c r="BA673" s="14" t="s">
        <v>72</v>
      </c>
      <c r="BB673" s="14" t="s">
        <v>73</v>
      </c>
      <c r="BC673" s="14" t="s">
        <v>74</v>
      </c>
    </row>
    <row r="674" spans="1:55" ht="15" customHeight="1" x14ac:dyDescent="0.4">
      <c r="A674" s="12">
        <v>3701</v>
      </c>
      <c r="B674" s="21" t="s">
        <v>4311</v>
      </c>
      <c r="C674" s="13" t="s">
        <v>4312</v>
      </c>
      <c r="D674" s="25" t="s">
        <v>4312</v>
      </c>
      <c r="E674" s="13"/>
      <c r="F674" s="41"/>
      <c r="G674" s="41"/>
      <c r="H674" s="41"/>
      <c r="I674" s="41"/>
      <c r="J674" s="41"/>
      <c r="K674" s="65" t="str">
        <f>IFERROR(VLOOKUP(D674,Sheet4!A$1:M$46,11,FALSE),"")</f>
        <v/>
      </c>
      <c r="L674" s="65" t="str">
        <f t="shared" si="10"/>
        <v/>
      </c>
      <c r="M674" s="14" t="s">
        <v>1878</v>
      </c>
      <c r="N674" s="15">
        <v>44761</v>
      </c>
      <c r="O674" t="s">
        <v>2719</v>
      </c>
      <c r="P674" t="s">
        <v>51</v>
      </c>
      <c r="Q674" t="s">
        <v>52</v>
      </c>
      <c r="R674" t="s">
        <v>53</v>
      </c>
      <c r="S674" t="s">
        <v>574</v>
      </c>
      <c r="T674" t="s">
        <v>2435</v>
      </c>
      <c r="U674" t="s">
        <v>56</v>
      </c>
      <c r="V674" s="21" t="s">
        <v>4301</v>
      </c>
      <c r="W674" s="21"/>
      <c r="X674" t="s">
        <v>4313</v>
      </c>
      <c r="Y674" t="s">
        <v>4314</v>
      </c>
      <c r="AC674" t="s">
        <v>1881</v>
      </c>
      <c r="AE674" s="15"/>
      <c r="AG674">
        <v>43.148147000000002</v>
      </c>
      <c r="AH674">
        <v>-90.041259999999994</v>
      </c>
      <c r="AI674" t="s">
        <v>4315</v>
      </c>
      <c r="AL674" t="s">
        <v>1715</v>
      </c>
      <c r="AM674" t="s">
        <v>63</v>
      </c>
      <c r="AN674" t="s">
        <v>4316</v>
      </c>
      <c r="AO674">
        <v>194179</v>
      </c>
      <c r="AQ674" t="s">
        <v>4317</v>
      </c>
      <c r="AR674" t="s">
        <v>4318</v>
      </c>
      <c r="AS674" t="s">
        <v>4319</v>
      </c>
      <c r="AT674" t="s">
        <v>68</v>
      </c>
      <c r="AV674" t="s">
        <v>4320</v>
      </c>
      <c r="AW674" t="s">
        <v>4321</v>
      </c>
      <c r="AX674" t="s">
        <v>4322</v>
      </c>
      <c r="BA674" s="14" t="s">
        <v>72</v>
      </c>
      <c r="BB674" s="14" t="s">
        <v>73</v>
      </c>
      <c r="BC674" s="14" t="s">
        <v>1723</v>
      </c>
    </row>
    <row r="675" spans="1:55" ht="15" customHeight="1" x14ac:dyDescent="0.4">
      <c r="A675" s="12">
        <v>3702</v>
      </c>
      <c r="B675" s="21" t="s">
        <v>4323</v>
      </c>
      <c r="C675" s="13" t="s">
        <v>4324</v>
      </c>
      <c r="D675" s="25" t="s">
        <v>4324</v>
      </c>
      <c r="E675" s="13"/>
      <c r="F675" s="41"/>
      <c r="G675" s="41"/>
      <c r="H675" s="41"/>
      <c r="I675" s="41"/>
      <c r="J675" s="41"/>
      <c r="K675" s="65" t="str">
        <f>IFERROR(VLOOKUP(D675,Sheet4!A$1:M$46,11,FALSE),"")</f>
        <v/>
      </c>
      <c r="L675" s="65" t="str">
        <f t="shared" si="10"/>
        <v/>
      </c>
      <c r="M675" s="14" t="s">
        <v>1878</v>
      </c>
      <c r="N675" s="15">
        <v>44761</v>
      </c>
      <c r="O675" t="s">
        <v>2719</v>
      </c>
      <c r="P675" t="s">
        <v>51</v>
      </c>
      <c r="Q675" t="s">
        <v>52</v>
      </c>
      <c r="R675" t="s">
        <v>53</v>
      </c>
      <c r="S675" t="s">
        <v>574</v>
      </c>
      <c r="T675" t="s">
        <v>2435</v>
      </c>
      <c r="U675" t="s">
        <v>56</v>
      </c>
      <c r="V675" s="21" t="s">
        <v>4301</v>
      </c>
      <c r="W675" s="21"/>
      <c r="X675" t="s">
        <v>4325</v>
      </c>
      <c r="Y675" t="s">
        <v>4326</v>
      </c>
      <c r="AC675" t="s">
        <v>1881</v>
      </c>
      <c r="AE675" s="15"/>
      <c r="AG675">
        <v>43.148617000000002</v>
      </c>
      <c r="AH675">
        <v>-90.041292999999996</v>
      </c>
      <c r="AI675" t="s">
        <v>4327</v>
      </c>
      <c r="AL675" t="s">
        <v>1715</v>
      </c>
      <c r="AM675" t="s">
        <v>63</v>
      </c>
      <c r="AN675" t="s">
        <v>4328</v>
      </c>
      <c r="AO675">
        <v>194180</v>
      </c>
      <c r="AQ675" t="s">
        <v>4329</v>
      </c>
      <c r="AR675" t="s">
        <v>4330</v>
      </c>
      <c r="AS675" t="s">
        <v>4331</v>
      </c>
      <c r="AT675" t="s">
        <v>68</v>
      </c>
      <c r="AV675" t="s">
        <v>4332</v>
      </c>
      <c r="AW675" t="s">
        <v>4333</v>
      </c>
      <c r="AX675" t="s">
        <v>4334</v>
      </c>
      <c r="BA675" s="14" t="s">
        <v>72</v>
      </c>
      <c r="BB675" s="14" t="s">
        <v>73</v>
      </c>
      <c r="BC675" s="14" t="s">
        <v>1723</v>
      </c>
    </row>
    <row r="676" spans="1:55" ht="15" customHeight="1" x14ac:dyDescent="0.4">
      <c r="A676" s="12">
        <v>3703</v>
      </c>
      <c r="B676" s="21" t="s">
        <v>4335</v>
      </c>
      <c r="C676" s="13" t="s">
        <v>4336</v>
      </c>
      <c r="D676" s="25" t="s">
        <v>4336</v>
      </c>
      <c r="E676" s="13"/>
      <c r="F676" s="41"/>
      <c r="G676" s="41"/>
      <c r="H676" s="41"/>
      <c r="I676" s="41"/>
      <c r="J676" s="41"/>
      <c r="K676" s="65" t="str">
        <f>IFERROR(VLOOKUP(D676,Sheet4!A$1:M$46,11,FALSE),"")</f>
        <v/>
      </c>
      <c r="L676" s="65" t="str">
        <f t="shared" si="10"/>
        <v/>
      </c>
      <c r="M676" s="14" t="s">
        <v>1878</v>
      </c>
      <c r="N676" s="15">
        <v>44761</v>
      </c>
      <c r="O676" t="s">
        <v>2719</v>
      </c>
      <c r="P676" t="s">
        <v>51</v>
      </c>
      <c r="Q676" t="s">
        <v>52</v>
      </c>
      <c r="R676" t="s">
        <v>53</v>
      </c>
      <c r="S676" t="s">
        <v>574</v>
      </c>
      <c r="T676" t="s">
        <v>2435</v>
      </c>
      <c r="U676" t="s">
        <v>56</v>
      </c>
      <c r="V676" s="21" t="s">
        <v>4301</v>
      </c>
      <c r="W676" s="21"/>
      <c r="X676" t="s">
        <v>4337</v>
      </c>
      <c r="Y676" t="s">
        <v>4338</v>
      </c>
      <c r="AB676" t="s">
        <v>2440</v>
      </c>
      <c r="AC676" t="s">
        <v>1881</v>
      </c>
      <c r="AE676" s="15"/>
      <c r="AG676">
        <v>43.150036</v>
      </c>
      <c r="AH676">
        <v>-90.041292999999996</v>
      </c>
      <c r="AI676" t="s">
        <v>4339</v>
      </c>
      <c r="AL676" t="s">
        <v>1715</v>
      </c>
      <c r="AM676" t="s">
        <v>63</v>
      </c>
      <c r="AN676" t="s">
        <v>4340</v>
      </c>
      <c r="AO676">
        <v>194181</v>
      </c>
      <c r="AQ676" t="s">
        <v>4341</v>
      </c>
      <c r="AR676" t="s">
        <v>4342</v>
      </c>
      <c r="AS676" t="s">
        <v>4343</v>
      </c>
      <c r="AT676" t="s">
        <v>68</v>
      </c>
      <c r="AV676" t="s">
        <v>4344</v>
      </c>
      <c r="AW676" t="s">
        <v>4345</v>
      </c>
      <c r="AX676" t="s">
        <v>4346</v>
      </c>
      <c r="BA676" s="14" t="s">
        <v>72</v>
      </c>
      <c r="BB676" s="14" t="s">
        <v>73</v>
      </c>
      <c r="BC676" s="14" t="s">
        <v>1723</v>
      </c>
    </row>
    <row r="677" spans="1:55" ht="15" customHeight="1" x14ac:dyDescent="0.4">
      <c r="A677" s="12">
        <v>3704</v>
      </c>
      <c r="B677" s="21" t="s">
        <v>4347</v>
      </c>
      <c r="C677" s="13" t="s">
        <v>4348</v>
      </c>
      <c r="D677" s="25" t="s">
        <v>4348</v>
      </c>
      <c r="E677" s="13"/>
      <c r="F677" s="41"/>
      <c r="G677" s="41"/>
      <c r="H677" s="41"/>
      <c r="I677" s="41"/>
      <c r="J677" s="41"/>
      <c r="K677" s="65" t="str">
        <f>IFERROR(VLOOKUP(D677,Sheet4!A$1:M$46,11,FALSE),"")</f>
        <v/>
      </c>
      <c r="L677" s="65" t="str">
        <f t="shared" si="10"/>
        <v/>
      </c>
      <c r="M677" s="14" t="s">
        <v>1878</v>
      </c>
      <c r="N677" s="15">
        <v>44761</v>
      </c>
      <c r="O677" t="s">
        <v>2719</v>
      </c>
      <c r="P677" t="s">
        <v>51</v>
      </c>
      <c r="Q677" t="s">
        <v>52</v>
      </c>
      <c r="R677" t="s">
        <v>53</v>
      </c>
      <c r="S677" t="s">
        <v>574</v>
      </c>
      <c r="T677" t="s">
        <v>2435</v>
      </c>
      <c r="U677" t="s">
        <v>56</v>
      </c>
      <c r="V677" s="21" t="s">
        <v>4301</v>
      </c>
      <c r="W677" s="21"/>
      <c r="X677" t="s">
        <v>4349</v>
      </c>
      <c r="Y677" t="s">
        <v>4350</v>
      </c>
      <c r="AB677" t="s">
        <v>2440</v>
      </c>
      <c r="AC677" t="s">
        <v>1881</v>
      </c>
      <c r="AE677" s="15"/>
      <c r="AG677">
        <v>43.150426000000003</v>
      </c>
      <c r="AH677">
        <v>-90.045288999999997</v>
      </c>
      <c r="AI677" t="s">
        <v>4351</v>
      </c>
      <c r="AL677" t="s">
        <v>1715</v>
      </c>
      <c r="AM677" t="s">
        <v>63</v>
      </c>
      <c r="AN677" t="s">
        <v>4352</v>
      </c>
      <c r="AO677">
        <v>194220</v>
      </c>
      <c r="AQ677" t="s">
        <v>4353</v>
      </c>
      <c r="AR677" t="s">
        <v>4354</v>
      </c>
      <c r="AS677" t="s">
        <v>4355</v>
      </c>
      <c r="AT677" t="s">
        <v>68</v>
      </c>
      <c r="AV677" t="s">
        <v>4356</v>
      </c>
      <c r="AW677" t="s">
        <v>4357</v>
      </c>
      <c r="AX677" t="s">
        <v>4358</v>
      </c>
      <c r="BA677" s="14" t="s">
        <v>72</v>
      </c>
      <c r="BB677" s="14" t="s">
        <v>73</v>
      </c>
      <c r="BC677" s="14" t="s">
        <v>1723</v>
      </c>
    </row>
    <row r="678" spans="1:55" ht="15" customHeight="1" x14ac:dyDescent="0.4">
      <c r="A678" s="12">
        <v>3705</v>
      </c>
      <c r="B678" s="21" t="s">
        <v>4359</v>
      </c>
      <c r="C678" s="13" t="s">
        <v>4360</v>
      </c>
      <c r="D678" s="25" t="s">
        <v>4360</v>
      </c>
      <c r="E678" s="13"/>
      <c r="F678" s="41"/>
      <c r="G678" s="41"/>
      <c r="H678" s="41"/>
      <c r="I678" s="41"/>
      <c r="J678" s="41"/>
      <c r="K678" s="65" t="str">
        <f>IFERROR(VLOOKUP(D678,Sheet4!A$1:M$46,11,FALSE),"")</f>
        <v/>
      </c>
      <c r="L678" s="65" t="str">
        <f t="shared" si="10"/>
        <v/>
      </c>
      <c r="M678" s="14" t="s">
        <v>49</v>
      </c>
      <c r="N678" s="15">
        <v>44761</v>
      </c>
      <c r="O678" t="s">
        <v>2719</v>
      </c>
      <c r="P678" t="s">
        <v>51</v>
      </c>
      <c r="Q678" t="s">
        <v>52</v>
      </c>
      <c r="R678" t="s">
        <v>53</v>
      </c>
      <c r="S678" t="s">
        <v>574</v>
      </c>
      <c r="T678" t="s">
        <v>2435</v>
      </c>
      <c r="U678" t="s">
        <v>56</v>
      </c>
      <c r="V678" s="21" t="s">
        <v>4301</v>
      </c>
      <c r="W678" s="21"/>
      <c r="X678" t="s">
        <v>4361</v>
      </c>
      <c r="Y678" t="s">
        <v>4362</v>
      </c>
      <c r="AC678" t="s">
        <v>60</v>
      </c>
      <c r="AE678" s="15"/>
      <c r="AG678">
        <v>43.148781</v>
      </c>
      <c r="AH678">
        <v>-90.043418000000003</v>
      </c>
      <c r="AI678" t="s">
        <v>3079</v>
      </c>
      <c r="AL678" t="s">
        <v>1715</v>
      </c>
      <c r="AM678" t="s">
        <v>63</v>
      </c>
      <c r="AN678" t="s">
        <v>4363</v>
      </c>
      <c r="AO678">
        <v>194472</v>
      </c>
      <c r="AQ678" t="s">
        <v>4364</v>
      </c>
      <c r="AR678" t="s">
        <v>4365</v>
      </c>
      <c r="AS678" t="s">
        <v>4366</v>
      </c>
      <c r="AT678" t="s">
        <v>68</v>
      </c>
      <c r="AV678" t="s">
        <v>4367</v>
      </c>
      <c r="AW678" t="s">
        <v>4368</v>
      </c>
      <c r="AX678" t="s">
        <v>4369</v>
      </c>
      <c r="BA678" s="14" t="s">
        <v>72</v>
      </c>
      <c r="BB678" s="14" t="s">
        <v>73</v>
      </c>
      <c r="BC678" s="14" t="s">
        <v>74</v>
      </c>
    </row>
    <row r="679" spans="1:55" ht="15" customHeight="1" x14ac:dyDescent="0.4">
      <c r="A679" s="12">
        <v>3723</v>
      </c>
      <c r="B679" s="21" t="s">
        <v>4569</v>
      </c>
      <c r="C679" s="13" t="s">
        <v>4570</v>
      </c>
      <c r="D679" s="25" t="s">
        <v>4570</v>
      </c>
      <c r="E679" s="13"/>
      <c r="F679" s="41"/>
      <c r="G679" s="41"/>
      <c r="H679" s="41"/>
      <c r="I679" s="41"/>
      <c r="J679" s="41"/>
      <c r="K679" s="65" t="str">
        <f>IFERROR(VLOOKUP(D679,Sheet4!A$1:M$46,11,FALSE),"")</f>
        <v/>
      </c>
      <c r="L679" s="65" t="str">
        <f t="shared" si="10"/>
        <v/>
      </c>
      <c r="M679" s="14" t="s">
        <v>49</v>
      </c>
      <c r="N679" s="15">
        <v>44764</v>
      </c>
      <c r="O679" t="s">
        <v>2719</v>
      </c>
      <c r="P679" t="s">
        <v>51</v>
      </c>
      <c r="Q679" t="s">
        <v>52</v>
      </c>
      <c r="R679" t="s">
        <v>53</v>
      </c>
      <c r="S679" t="s">
        <v>574</v>
      </c>
      <c r="T679" t="s">
        <v>4571</v>
      </c>
      <c r="U679" t="s">
        <v>56</v>
      </c>
      <c r="V679" s="21" t="s">
        <v>4572</v>
      </c>
      <c r="W679" s="21"/>
      <c r="X679" t="s">
        <v>4573</v>
      </c>
      <c r="Y679" t="s">
        <v>4574</v>
      </c>
      <c r="AB679" t="s">
        <v>2321</v>
      </c>
      <c r="AC679" t="s">
        <v>60</v>
      </c>
      <c r="AE679" s="15"/>
      <c r="AG679">
        <v>43.016382999999998</v>
      </c>
      <c r="AH679">
        <v>-88.438509999999994</v>
      </c>
      <c r="AI679" t="s">
        <v>4575</v>
      </c>
      <c r="AL679" t="s">
        <v>1715</v>
      </c>
      <c r="AM679" t="s">
        <v>63</v>
      </c>
      <c r="AN679" t="s">
        <v>4576</v>
      </c>
      <c r="AO679">
        <v>194463</v>
      </c>
      <c r="AQ679" t="s">
        <v>4577</v>
      </c>
      <c r="AR679" t="s">
        <v>4578</v>
      </c>
      <c r="AS679" t="s">
        <v>4579</v>
      </c>
      <c r="AT679" t="s">
        <v>68</v>
      </c>
      <c r="AV679" t="s">
        <v>4580</v>
      </c>
      <c r="AW679" t="s">
        <v>4581</v>
      </c>
      <c r="AX679" t="s">
        <v>4582</v>
      </c>
      <c r="BA679" s="14" t="s">
        <v>72</v>
      </c>
      <c r="BB679" s="14" t="s">
        <v>73</v>
      </c>
      <c r="BC679" s="14" t="s">
        <v>74</v>
      </c>
    </row>
    <row r="680" spans="1:55" ht="15" customHeight="1" x14ac:dyDescent="0.4">
      <c r="A680" s="12">
        <v>3724</v>
      </c>
      <c r="B680" s="21" t="s">
        <v>4583</v>
      </c>
      <c r="C680" s="13" t="s">
        <v>4584</v>
      </c>
      <c r="D680" s="25" t="s">
        <v>4584</v>
      </c>
      <c r="E680" s="13"/>
      <c r="F680" s="41"/>
      <c r="G680" s="41"/>
      <c r="H680" s="41"/>
      <c r="I680" s="41"/>
      <c r="J680" s="41"/>
      <c r="K680" s="65" t="str">
        <f>IFERROR(VLOOKUP(D680,Sheet4!A$1:M$46,11,FALSE),"")</f>
        <v/>
      </c>
      <c r="L680" s="65" t="str">
        <f t="shared" si="10"/>
        <v/>
      </c>
      <c r="M680" s="14" t="s">
        <v>49</v>
      </c>
      <c r="N680" s="15">
        <v>44764</v>
      </c>
      <c r="O680" t="s">
        <v>2719</v>
      </c>
      <c r="P680" t="s">
        <v>51</v>
      </c>
      <c r="Q680" t="s">
        <v>52</v>
      </c>
      <c r="R680" t="s">
        <v>53</v>
      </c>
      <c r="S680" t="s">
        <v>574</v>
      </c>
      <c r="T680" t="s">
        <v>4571</v>
      </c>
      <c r="U680" t="s">
        <v>56</v>
      </c>
      <c r="V680" s="21" t="s">
        <v>4572</v>
      </c>
      <c r="W680" s="21"/>
      <c r="X680" t="s">
        <v>4585</v>
      </c>
      <c r="Y680" t="s">
        <v>4586</v>
      </c>
      <c r="AB680" t="s">
        <v>1758</v>
      </c>
      <c r="AC680" t="s">
        <v>60</v>
      </c>
      <c r="AE680" s="15"/>
      <c r="AG680">
        <v>43.016533000000003</v>
      </c>
      <c r="AH680">
        <v>-88.434152999999995</v>
      </c>
      <c r="AI680" t="s">
        <v>4587</v>
      </c>
      <c r="AL680" t="s">
        <v>1715</v>
      </c>
      <c r="AM680" t="s">
        <v>63</v>
      </c>
      <c r="AN680" t="s">
        <v>4588</v>
      </c>
      <c r="AO680">
        <v>192669</v>
      </c>
      <c r="AQ680" t="s">
        <v>4589</v>
      </c>
      <c r="AR680" t="s">
        <v>4590</v>
      </c>
      <c r="AS680" t="s">
        <v>4591</v>
      </c>
      <c r="AT680" t="s">
        <v>68</v>
      </c>
      <c r="AV680" t="s">
        <v>4592</v>
      </c>
      <c r="AW680" t="s">
        <v>4593</v>
      </c>
      <c r="AX680" t="s">
        <v>4594</v>
      </c>
      <c r="BA680" s="14" t="s">
        <v>72</v>
      </c>
      <c r="BB680" s="14" t="s">
        <v>73</v>
      </c>
      <c r="BC680" s="14" t="s">
        <v>74</v>
      </c>
    </row>
    <row r="681" spans="1:55" ht="15" customHeight="1" x14ac:dyDescent="0.4">
      <c r="A681" s="12">
        <v>3725</v>
      </c>
      <c r="B681" s="21" t="s">
        <v>4595</v>
      </c>
      <c r="C681" s="13" t="s">
        <v>4596</v>
      </c>
      <c r="D681" s="25" t="s">
        <v>4596</v>
      </c>
      <c r="E681" s="13"/>
      <c r="F681" s="41"/>
      <c r="G681" s="41"/>
      <c r="H681" s="41"/>
      <c r="I681" s="41"/>
      <c r="J681" s="41"/>
      <c r="K681" s="65" t="str">
        <f>IFERROR(VLOOKUP(D681,Sheet4!A$1:M$46,11,FALSE),"")</f>
        <v/>
      </c>
      <c r="L681" s="65" t="str">
        <f t="shared" si="10"/>
        <v/>
      </c>
      <c r="M681" s="14" t="s">
        <v>49</v>
      </c>
      <c r="N681" s="15">
        <v>44764</v>
      </c>
      <c r="O681" t="s">
        <v>2719</v>
      </c>
      <c r="P681" t="s">
        <v>51</v>
      </c>
      <c r="Q681" t="s">
        <v>52</v>
      </c>
      <c r="R681" t="s">
        <v>53</v>
      </c>
      <c r="S681" t="s">
        <v>574</v>
      </c>
      <c r="T681" t="s">
        <v>4571</v>
      </c>
      <c r="U681" t="s">
        <v>56</v>
      </c>
      <c r="V681" s="21" t="s">
        <v>4572</v>
      </c>
      <c r="W681" s="21"/>
      <c r="X681" t="s">
        <v>4573</v>
      </c>
      <c r="Y681" t="s">
        <v>4597</v>
      </c>
      <c r="AB681" t="s">
        <v>2321</v>
      </c>
      <c r="AC681" t="s">
        <v>60</v>
      </c>
      <c r="AE681" s="15"/>
      <c r="AG681">
        <v>43.016871000000002</v>
      </c>
      <c r="AH681">
        <v>-88.435539000000006</v>
      </c>
      <c r="AI681" t="s">
        <v>4598</v>
      </c>
      <c r="AL681" t="s">
        <v>1715</v>
      </c>
      <c r="AM681" t="s">
        <v>63</v>
      </c>
      <c r="AN681" t="s">
        <v>4599</v>
      </c>
      <c r="AO681">
        <v>194465</v>
      </c>
      <c r="AQ681" t="s">
        <v>4600</v>
      </c>
      <c r="AR681" t="s">
        <v>4601</v>
      </c>
      <c r="AS681" t="s">
        <v>4602</v>
      </c>
      <c r="AT681" t="s">
        <v>68</v>
      </c>
      <c r="AV681" t="s">
        <v>4603</v>
      </c>
      <c r="AW681" t="s">
        <v>4604</v>
      </c>
      <c r="AX681" t="s">
        <v>4605</v>
      </c>
      <c r="BA681" s="14" t="s">
        <v>72</v>
      </c>
      <c r="BB681" s="14" t="s">
        <v>73</v>
      </c>
      <c r="BC681" s="14" t="s">
        <v>74</v>
      </c>
    </row>
    <row r="682" spans="1:55" ht="15" customHeight="1" x14ac:dyDescent="0.4">
      <c r="A682" s="12">
        <v>3726</v>
      </c>
      <c r="B682" s="21" t="s">
        <v>4606</v>
      </c>
      <c r="C682" s="13" t="s">
        <v>4607</v>
      </c>
      <c r="D682" s="25" t="s">
        <v>4607</v>
      </c>
      <c r="E682" s="13"/>
      <c r="F682" s="41"/>
      <c r="G682" s="41"/>
      <c r="H682" s="41"/>
      <c r="I682" s="41"/>
      <c r="J682" s="41"/>
      <c r="K682" s="65" t="str">
        <f>IFERROR(VLOOKUP(D682,Sheet4!A$1:M$46,11,FALSE),"")</f>
        <v/>
      </c>
      <c r="L682" s="65" t="str">
        <f t="shared" si="10"/>
        <v/>
      </c>
      <c r="M682" s="14" t="s">
        <v>49</v>
      </c>
      <c r="N682" s="15">
        <v>44764</v>
      </c>
      <c r="O682" t="s">
        <v>2719</v>
      </c>
      <c r="P682" t="s">
        <v>51</v>
      </c>
      <c r="Q682" t="s">
        <v>52</v>
      </c>
      <c r="R682" t="s">
        <v>53</v>
      </c>
      <c r="S682" t="s">
        <v>574</v>
      </c>
      <c r="T682" t="s">
        <v>4571</v>
      </c>
      <c r="U682" t="s">
        <v>56</v>
      </c>
      <c r="V682" s="21" t="s">
        <v>4572</v>
      </c>
      <c r="W682" s="21"/>
      <c r="X682" t="s">
        <v>4573</v>
      </c>
      <c r="Y682" t="s">
        <v>4608</v>
      </c>
      <c r="AC682" t="s">
        <v>60</v>
      </c>
      <c r="AE682" s="15"/>
      <c r="AG682">
        <v>43.017411000000003</v>
      </c>
      <c r="AH682">
        <v>-88.436648000000005</v>
      </c>
      <c r="AI682" t="s">
        <v>4609</v>
      </c>
      <c r="AL682" t="s">
        <v>1715</v>
      </c>
      <c r="AM682" t="s">
        <v>63</v>
      </c>
      <c r="AN682" t="s">
        <v>4610</v>
      </c>
      <c r="AO682">
        <v>194468</v>
      </c>
      <c r="AQ682" t="s">
        <v>4611</v>
      </c>
      <c r="AR682" t="s">
        <v>4612</v>
      </c>
      <c r="AS682" t="s">
        <v>4613</v>
      </c>
      <c r="AT682" t="s">
        <v>68</v>
      </c>
      <c r="AV682" t="s">
        <v>4614</v>
      </c>
      <c r="AW682" t="s">
        <v>4615</v>
      </c>
      <c r="AX682" t="s">
        <v>4616</v>
      </c>
      <c r="BA682" s="14" t="s">
        <v>72</v>
      </c>
      <c r="BB682" s="14" t="s">
        <v>73</v>
      </c>
      <c r="BC682" s="14" t="s">
        <v>74</v>
      </c>
    </row>
    <row r="683" spans="1:55" ht="15" customHeight="1" x14ac:dyDescent="0.4">
      <c r="A683" s="12">
        <v>3727</v>
      </c>
      <c r="B683" s="21" t="s">
        <v>4617</v>
      </c>
      <c r="C683" s="13" t="s">
        <v>4618</v>
      </c>
      <c r="D683" s="25" t="s">
        <v>4618</v>
      </c>
      <c r="E683" s="13"/>
      <c r="F683" s="41"/>
      <c r="G683" s="41"/>
      <c r="H683" s="41"/>
      <c r="I683" s="41"/>
      <c r="J683" s="41"/>
      <c r="K683" s="65" t="str">
        <f>IFERROR(VLOOKUP(D683,Sheet4!A$1:M$46,11,FALSE),"")</f>
        <v/>
      </c>
      <c r="L683" s="65" t="str">
        <f t="shared" si="10"/>
        <v/>
      </c>
      <c r="M683" s="14" t="s">
        <v>1878</v>
      </c>
      <c r="N683" s="15">
        <v>44764</v>
      </c>
      <c r="O683" t="s">
        <v>2719</v>
      </c>
      <c r="P683" t="s">
        <v>51</v>
      </c>
      <c r="Q683" t="s">
        <v>52</v>
      </c>
      <c r="R683" t="s">
        <v>53</v>
      </c>
      <c r="S683" t="s">
        <v>574</v>
      </c>
      <c r="T683" t="s">
        <v>4571</v>
      </c>
      <c r="U683" t="s">
        <v>56</v>
      </c>
      <c r="V683" s="21" t="s">
        <v>4572</v>
      </c>
      <c r="W683" s="21"/>
      <c r="X683" t="s">
        <v>4573</v>
      </c>
      <c r="Y683" t="s">
        <v>4619</v>
      </c>
      <c r="AB683" t="s">
        <v>2321</v>
      </c>
      <c r="AC683" t="s">
        <v>1881</v>
      </c>
      <c r="AE683" s="15"/>
      <c r="AG683">
        <v>43.017992999999997</v>
      </c>
      <c r="AH683">
        <v>-88.43768</v>
      </c>
      <c r="AI683" t="s">
        <v>4620</v>
      </c>
      <c r="AL683" t="s">
        <v>1715</v>
      </c>
      <c r="AM683" t="s">
        <v>63</v>
      </c>
      <c r="AN683" t="s">
        <v>4621</v>
      </c>
      <c r="AO683">
        <v>194222</v>
      </c>
      <c r="AQ683" t="s">
        <v>4622</v>
      </c>
      <c r="AR683" t="s">
        <v>4623</v>
      </c>
      <c r="AS683" t="s">
        <v>4624</v>
      </c>
      <c r="AT683" t="s">
        <v>68</v>
      </c>
      <c r="AV683" t="s">
        <v>4625</v>
      </c>
      <c r="AW683" t="s">
        <v>4626</v>
      </c>
      <c r="AX683" t="s">
        <v>4627</v>
      </c>
      <c r="BA683" s="14" t="s">
        <v>72</v>
      </c>
      <c r="BB683" s="14" t="s">
        <v>73</v>
      </c>
      <c r="BC683" s="14" t="s">
        <v>1723</v>
      </c>
    </row>
    <row r="684" spans="1:55" ht="15" customHeight="1" x14ac:dyDescent="0.4">
      <c r="A684" s="12">
        <v>3728</v>
      </c>
      <c r="B684" s="21" t="s">
        <v>4628</v>
      </c>
      <c r="C684" s="13" t="s">
        <v>4629</v>
      </c>
      <c r="D684" s="25" t="s">
        <v>4629</v>
      </c>
      <c r="E684" s="13"/>
      <c r="F684" s="41"/>
      <c r="G684" s="41"/>
      <c r="H684" s="41"/>
      <c r="I684" s="41"/>
      <c r="J684" s="41"/>
      <c r="K684" s="65" t="str">
        <f>IFERROR(VLOOKUP(D684,Sheet4!A$1:M$46,11,FALSE),"")</f>
        <v/>
      </c>
      <c r="L684" s="65" t="str">
        <f t="shared" si="10"/>
        <v/>
      </c>
      <c r="M684" s="14" t="s">
        <v>1878</v>
      </c>
      <c r="N684" s="15">
        <v>44764</v>
      </c>
      <c r="O684" t="s">
        <v>2719</v>
      </c>
      <c r="P684" t="s">
        <v>51</v>
      </c>
      <c r="Q684" t="s">
        <v>52</v>
      </c>
      <c r="R684" t="s">
        <v>53</v>
      </c>
      <c r="S684" t="s">
        <v>574</v>
      </c>
      <c r="T684" t="s">
        <v>4571</v>
      </c>
      <c r="U684" t="s">
        <v>56</v>
      </c>
      <c r="V684" s="21" t="s">
        <v>4572</v>
      </c>
      <c r="W684" s="21"/>
      <c r="X684" t="s">
        <v>4573</v>
      </c>
      <c r="Y684" t="s">
        <v>4630</v>
      </c>
      <c r="AB684" t="s">
        <v>1758</v>
      </c>
      <c r="AC684" t="s">
        <v>1881</v>
      </c>
      <c r="AE684" s="15"/>
      <c r="AG684">
        <v>43.017924999999998</v>
      </c>
      <c r="AH684">
        <v>-88.438305</v>
      </c>
      <c r="AI684" t="s">
        <v>4631</v>
      </c>
      <c r="AL684" t="s">
        <v>1715</v>
      </c>
      <c r="AM684" t="s">
        <v>63</v>
      </c>
      <c r="AN684" t="s">
        <v>4632</v>
      </c>
      <c r="AO684">
        <v>194207</v>
      </c>
      <c r="AQ684" t="s">
        <v>4633</v>
      </c>
      <c r="AR684" t="s">
        <v>4634</v>
      </c>
      <c r="AS684" t="s">
        <v>4635</v>
      </c>
      <c r="AT684" t="s">
        <v>68</v>
      </c>
      <c r="AV684" t="s">
        <v>4636</v>
      </c>
      <c r="AW684" t="s">
        <v>4637</v>
      </c>
      <c r="AX684" t="s">
        <v>4638</v>
      </c>
      <c r="BA684" s="14" t="s">
        <v>72</v>
      </c>
      <c r="BB684" s="14" t="s">
        <v>73</v>
      </c>
      <c r="BC684" s="14" t="s">
        <v>1723</v>
      </c>
    </row>
    <row r="685" spans="1:55" ht="15" customHeight="1" x14ac:dyDescent="0.4">
      <c r="A685" s="12">
        <v>3729</v>
      </c>
      <c r="B685" s="21" t="s">
        <v>4639</v>
      </c>
      <c r="C685" s="13" t="s">
        <v>4640</v>
      </c>
      <c r="D685" s="25" t="s">
        <v>4640</v>
      </c>
      <c r="E685" s="13"/>
      <c r="F685" s="41"/>
      <c r="G685" s="41"/>
      <c r="H685" s="41"/>
      <c r="I685" s="41"/>
      <c r="J685" s="41"/>
      <c r="K685" s="65" t="str">
        <f>IFERROR(VLOOKUP(D685,Sheet4!A$1:M$46,11,FALSE),"")</f>
        <v/>
      </c>
      <c r="L685" s="65" t="str">
        <f t="shared" si="10"/>
        <v/>
      </c>
      <c r="M685" s="14" t="s">
        <v>1878</v>
      </c>
      <c r="N685" s="15">
        <v>44764</v>
      </c>
      <c r="O685" t="s">
        <v>2719</v>
      </c>
      <c r="P685" t="s">
        <v>51</v>
      </c>
      <c r="Q685" t="s">
        <v>52</v>
      </c>
      <c r="R685" t="s">
        <v>53</v>
      </c>
      <c r="S685" t="s">
        <v>574</v>
      </c>
      <c r="T685" t="s">
        <v>4571</v>
      </c>
      <c r="U685" t="s">
        <v>56</v>
      </c>
      <c r="V685" s="21" t="s">
        <v>4572</v>
      </c>
      <c r="W685" s="21"/>
      <c r="X685" t="s">
        <v>4641</v>
      </c>
      <c r="Y685" t="s">
        <v>4642</v>
      </c>
      <c r="AC685" t="s">
        <v>1881</v>
      </c>
      <c r="AE685" s="15"/>
      <c r="AG685">
        <v>43.018248</v>
      </c>
      <c r="AH685">
        <v>-88.439409999999995</v>
      </c>
      <c r="AI685" t="s">
        <v>4643</v>
      </c>
      <c r="AL685" t="s">
        <v>1715</v>
      </c>
      <c r="AM685" t="s">
        <v>63</v>
      </c>
      <c r="AN685" t="s">
        <v>4644</v>
      </c>
      <c r="AO685">
        <v>194141</v>
      </c>
      <c r="AQ685" t="s">
        <v>4645</v>
      </c>
      <c r="AR685" t="s">
        <v>4646</v>
      </c>
      <c r="AS685" t="s">
        <v>4647</v>
      </c>
      <c r="AT685" t="s">
        <v>68</v>
      </c>
      <c r="AV685" t="s">
        <v>4648</v>
      </c>
      <c r="AW685" t="s">
        <v>4649</v>
      </c>
      <c r="AX685" t="s">
        <v>4650</v>
      </c>
      <c r="BA685" s="14" t="s">
        <v>72</v>
      </c>
      <c r="BB685" s="14" t="s">
        <v>73</v>
      </c>
      <c r="BC685" s="14" t="s">
        <v>1723</v>
      </c>
    </row>
    <row r="686" spans="1:55" ht="15" customHeight="1" x14ac:dyDescent="0.4">
      <c r="A686" s="12">
        <v>3730</v>
      </c>
      <c r="B686" s="21" t="s">
        <v>4651</v>
      </c>
      <c r="C686" s="13" t="s">
        <v>4652</v>
      </c>
      <c r="D686" s="25" t="s">
        <v>4652</v>
      </c>
      <c r="E686" s="13"/>
      <c r="F686" s="41"/>
      <c r="G686" s="41"/>
      <c r="H686" s="41"/>
      <c r="I686" s="41"/>
      <c r="J686" s="41"/>
      <c r="K686" s="65" t="str">
        <f>IFERROR(VLOOKUP(D686,Sheet4!A$1:M$46,11,FALSE),"")</f>
        <v/>
      </c>
      <c r="L686" s="65" t="str">
        <f t="shared" si="10"/>
        <v/>
      </c>
      <c r="M686" s="14" t="s">
        <v>1878</v>
      </c>
      <c r="N686" s="15">
        <v>44764</v>
      </c>
      <c r="O686" t="s">
        <v>2719</v>
      </c>
      <c r="P686" t="s">
        <v>51</v>
      </c>
      <c r="Q686" t="s">
        <v>52</v>
      </c>
      <c r="R686" t="s">
        <v>53</v>
      </c>
      <c r="S686" t="s">
        <v>574</v>
      </c>
      <c r="T686" t="s">
        <v>4571</v>
      </c>
      <c r="U686" t="s">
        <v>56</v>
      </c>
      <c r="V686" s="21" t="s">
        <v>4572</v>
      </c>
      <c r="W686" s="21"/>
      <c r="X686" t="s">
        <v>4653</v>
      </c>
      <c r="Y686" t="s">
        <v>4654</v>
      </c>
      <c r="AC686" t="s">
        <v>1881</v>
      </c>
      <c r="AE686" s="15"/>
      <c r="AG686">
        <v>43.017823999999997</v>
      </c>
      <c r="AH686">
        <v>-88.440448000000004</v>
      </c>
      <c r="AI686" t="s">
        <v>4655</v>
      </c>
      <c r="AL686" t="s">
        <v>1715</v>
      </c>
      <c r="AM686" t="s">
        <v>63</v>
      </c>
      <c r="AN686" t="s">
        <v>4656</v>
      </c>
      <c r="AO686">
        <v>194239</v>
      </c>
      <c r="AQ686" t="s">
        <v>4657</v>
      </c>
      <c r="AR686" t="s">
        <v>4658</v>
      </c>
      <c r="AS686" t="s">
        <v>4659</v>
      </c>
      <c r="AT686" t="s">
        <v>68</v>
      </c>
      <c r="AV686" t="s">
        <v>4660</v>
      </c>
      <c r="AW686" t="s">
        <v>4661</v>
      </c>
      <c r="AX686" t="s">
        <v>4662</v>
      </c>
      <c r="BA686" s="14" t="s">
        <v>72</v>
      </c>
      <c r="BB686" s="14" t="s">
        <v>73</v>
      </c>
      <c r="BC686" s="14" t="s">
        <v>1723</v>
      </c>
    </row>
    <row r="687" spans="1:55" ht="15" customHeight="1" x14ac:dyDescent="0.4">
      <c r="A687" s="12">
        <v>3731</v>
      </c>
      <c r="B687" s="21" t="s">
        <v>4663</v>
      </c>
      <c r="C687" s="13" t="s">
        <v>4664</v>
      </c>
      <c r="D687" s="25" t="s">
        <v>4664</v>
      </c>
      <c r="E687" s="13"/>
      <c r="F687" s="41"/>
      <c r="G687" s="41"/>
      <c r="H687" s="41"/>
      <c r="I687" s="41"/>
      <c r="J687" s="41"/>
      <c r="K687" s="65" t="str">
        <f>IFERROR(VLOOKUP(D687,Sheet4!A$1:M$46,11,FALSE),"")</f>
        <v/>
      </c>
      <c r="L687" s="65" t="str">
        <f t="shared" si="10"/>
        <v/>
      </c>
      <c r="M687" s="14" t="s">
        <v>49</v>
      </c>
      <c r="N687" s="15">
        <v>44764</v>
      </c>
      <c r="O687" t="s">
        <v>2719</v>
      </c>
      <c r="P687" t="s">
        <v>51</v>
      </c>
      <c r="Q687" t="s">
        <v>52</v>
      </c>
      <c r="R687" t="s">
        <v>53</v>
      </c>
      <c r="S687" t="s">
        <v>574</v>
      </c>
      <c r="T687" t="s">
        <v>4571</v>
      </c>
      <c r="U687" t="s">
        <v>56</v>
      </c>
      <c r="V687" s="21" t="s">
        <v>4572</v>
      </c>
      <c r="W687" s="21"/>
      <c r="X687" t="s">
        <v>4665</v>
      </c>
      <c r="Y687" t="s">
        <v>4666</v>
      </c>
      <c r="AB687" t="s">
        <v>1758</v>
      </c>
      <c r="AC687" t="s">
        <v>60</v>
      </c>
      <c r="AE687" s="15"/>
      <c r="AG687">
        <v>43.017806999999998</v>
      </c>
      <c r="AH687">
        <v>-88.440777999999995</v>
      </c>
      <c r="AI687" t="s">
        <v>4667</v>
      </c>
      <c r="AL687" t="s">
        <v>1715</v>
      </c>
      <c r="AM687" t="s">
        <v>63</v>
      </c>
      <c r="AN687" t="s">
        <v>4668</v>
      </c>
      <c r="AO687">
        <v>194466</v>
      </c>
      <c r="AQ687" t="s">
        <v>4669</v>
      </c>
      <c r="AR687" t="s">
        <v>4670</v>
      </c>
      <c r="AS687" t="s">
        <v>4671</v>
      </c>
      <c r="AT687" t="s">
        <v>68</v>
      </c>
      <c r="AV687" t="s">
        <v>4672</v>
      </c>
      <c r="AW687" t="s">
        <v>4673</v>
      </c>
      <c r="AX687" t="s">
        <v>4674</v>
      </c>
      <c r="BA687" s="14" t="s">
        <v>72</v>
      </c>
      <c r="BB687" s="14" t="s">
        <v>73</v>
      </c>
      <c r="BC687" s="14" t="s">
        <v>74</v>
      </c>
    </row>
    <row r="688" spans="1:55" ht="15" customHeight="1" x14ac:dyDescent="0.4">
      <c r="A688" s="12">
        <v>3732</v>
      </c>
      <c r="B688" s="21" t="s">
        <v>4675</v>
      </c>
      <c r="C688" s="13" t="s">
        <v>4676</v>
      </c>
      <c r="D688" s="25" t="s">
        <v>4676</v>
      </c>
      <c r="E688" s="13"/>
      <c r="F688" s="41"/>
      <c r="G688" s="41"/>
      <c r="H688" s="41"/>
      <c r="I688" s="41"/>
      <c r="J688" s="41"/>
      <c r="K688" s="65" t="str">
        <f>IFERROR(VLOOKUP(D688,Sheet4!A$1:M$46,11,FALSE),"")</f>
        <v/>
      </c>
      <c r="L688" s="65" t="str">
        <f t="shared" si="10"/>
        <v/>
      </c>
      <c r="M688" s="14" t="s">
        <v>1878</v>
      </c>
      <c r="N688" s="15">
        <v>44764</v>
      </c>
      <c r="O688" t="s">
        <v>2719</v>
      </c>
      <c r="P688" t="s">
        <v>51</v>
      </c>
      <c r="Q688" t="s">
        <v>52</v>
      </c>
      <c r="R688" t="s">
        <v>53</v>
      </c>
      <c r="S688" t="s">
        <v>574</v>
      </c>
      <c r="T688" t="s">
        <v>4571</v>
      </c>
      <c r="U688" t="s">
        <v>56</v>
      </c>
      <c r="V688" s="21" t="s">
        <v>4572</v>
      </c>
      <c r="W688" s="21"/>
      <c r="X688" t="s">
        <v>4677</v>
      </c>
      <c r="Y688" t="s">
        <v>4678</v>
      </c>
      <c r="AC688" t="s">
        <v>1881</v>
      </c>
      <c r="AE688" s="15"/>
      <c r="AG688">
        <v>43.017679999999999</v>
      </c>
      <c r="AH688">
        <v>-88.441062000000002</v>
      </c>
      <c r="AI688" t="s">
        <v>4679</v>
      </c>
      <c r="AL688" t="s">
        <v>1715</v>
      </c>
      <c r="AM688" t="s">
        <v>63</v>
      </c>
      <c r="AN688" t="s">
        <v>4680</v>
      </c>
      <c r="AO688">
        <v>194215</v>
      </c>
      <c r="AQ688" t="s">
        <v>4681</v>
      </c>
      <c r="AR688" t="s">
        <v>4682</v>
      </c>
      <c r="AS688" t="s">
        <v>4683</v>
      </c>
      <c r="AT688" t="s">
        <v>68</v>
      </c>
      <c r="AV688" t="s">
        <v>4684</v>
      </c>
      <c r="AW688" t="s">
        <v>4685</v>
      </c>
      <c r="AX688" t="s">
        <v>4686</v>
      </c>
      <c r="BA688" s="14" t="s">
        <v>72</v>
      </c>
      <c r="BB688" s="14" t="s">
        <v>73</v>
      </c>
      <c r="BC688" s="14" t="s">
        <v>1723</v>
      </c>
    </row>
    <row r="689" spans="1:55" s="34" customFormat="1" ht="15" customHeight="1" x14ac:dyDescent="0.4">
      <c r="A689" s="12">
        <v>1980</v>
      </c>
      <c r="B689" t="s">
        <v>572</v>
      </c>
      <c r="C689"/>
      <c r="D689" t="s">
        <v>573</v>
      </c>
      <c r="E689" s="13"/>
      <c r="F689" s="41"/>
      <c r="G689" s="41"/>
      <c r="H689" s="41"/>
      <c r="I689" s="41"/>
      <c r="J689" s="41"/>
      <c r="K689" s="65" t="str">
        <f>IFERROR(VLOOKUP(D689,Sheet4!A$1:M$46,11,FALSE),"")</f>
        <v/>
      </c>
      <c r="L689" s="65" t="str">
        <f t="shared" si="10"/>
        <v/>
      </c>
      <c r="M689" s="14" t="s">
        <v>49</v>
      </c>
      <c r="N689" s="15">
        <v>42925</v>
      </c>
      <c r="O689" t="s">
        <v>174</v>
      </c>
      <c r="P689" t="s">
        <v>51</v>
      </c>
      <c r="Q689" t="s">
        <v>52</v>
      </c>
      <c r="R689" t="s">
        <v>53</v>
      </c>
      <c r="S689" t="s">
        <v>574</v>
      </c>
      <c r="T689" t="s">
        <v>575</v>
      </c>
      <c r="U689" t="s">
        <v>56</v>
      </c>
      <c r="V689" t="s">
        <v>576</v>
      </c>
      <c r="W689" s="16" t="s">
        <v>577</v>
      </c>
      <c r="X689" t="s">
        <v>578</v>
      </c>
      <c r="Y689"/>
      <c r="Z689"/>
      <c r="AA689"/>
      <c r="AB689"/>
      <c r="AC689" t="s">
        <v>78</v>
      </c>
      <c r="AD689" t="s">
        <v>79</v>
      </c>
      <c r="AE689" s="15">
        <v>45597</v>
      </c>
      <c r="AF689" t="s">
        <v>48</v>
      </c>
      <c r="AG689" s="17">
        <v>46.023829999999997</v>
      </c>
      <c r="AH689" s="17">
        <v>-91.145570000000006</v>
      </c>
      <c r="AI689" t="s">
        <v>579</v>
      </c>
      <c r="AJ689"/>
      <c r="AK689"/>
      <c r="AL689" t="s">
        <v>62</v>
      </c>
      <c r="AM689" t="s">
        <v>63</v>
      </c>
      <c r="AN689" t="s">
        <v>580</v>
      </c>
      <c r="AO689">
        <v>184816</v>
      </c>
      <c r="AP689"/>
      <c r="AQ689" t="s">
        <v>581</v>
      </c>
      <c r="AR689" t="s">
        <v>582</v>
      </c>
      <c r="AS689" t="s">
        <v>583</v>
      </c>
      <c r="AT689" t="s">
        <v>68</v>
      </c>
      <c r="AU689"/>
      <c r="AV689" t="s">
        <v>584</v>
      </c>
      <c r="AW689" t="s">
        <v>585</v>
      </c>
      <c r="AX689" t="s">
        <v>586</v>
      </c>
      <c r="AY689" s="31" t="s">
        <v>587</v>
      </c>
      <c r="AZ689" s="31" t="s">
        <v>85</v>
      </c>
      <c r="BA689" s="14" t="s">
        <v>72</v>
      </c>
      <c r="BB689" s="14" t="s">
        <v>73</v>
      </c>
      <c r="BC689" s="14" t="s">
        <v>74</v>
      </c>
    </row>
    <row r="690" spans="1:55" ht="15" customHeight="1" x14ac:dyDescent="0.4">
      <c r="A690" s="12">
        <v>1981</v>
      </c>
      <c r="B690" t="s">
        <v>588</v>
      </c>
      <c r="D690" t="s">
        <v>589</v>
      </c>
      <c r="E690" s="13"/>
      <c r="F690" s="41"/>
      <c r="G690" s="41"/>
      <c r="H690" s="41"/>
      <c r="I690" s="41"/>
      <c r="J690" s="41"/>
      <c r="K690" s="65" t="str">
        <f>IFERROR(VLOOKUP(D690,Sheet4!A$1:M$46,11,FALSE),"")</f>
        <v/>
      </c>
      <c r="L690" s="65" t="str">
        <f t="shared" si="10"/>
        <v/>
      </c>
      <c r="M690" s="14" t="s">
        <v>49</v>
      </c>
      <c r="N690" s="15">
        <v>42925</v>
      </c>
      <c r="O690" t="s">
        <v>174</v>
      </c>
      <c r="P690" t="s">
        <v>51</v>
      </c>
      <c r="Q690" t="s">
        <v>52</v>
      </c>
      <c r="R690" t="s">
        <v>53</v>
      </c>
      <c r="S690" t="s">
        <v>574</v>
      </c>
      <c r="T690" t="s">
        <v>575</v>
      </c>
      <c r="U690" t="s">
        <v>56</v>
      </c>
      <c r="V690" t="s">
        <v>576</v>
      </c>
      <c r="W690" s="16" t="s">
        <v>577</v>
      </c>
      <c r="X690" t="s">
        <v>590</v>
      </c>
      <c r="Y690" t="s">
        <v>591</v>
      </c>
      <c r="AC690" t="s">
        <v>60</v>
      </c>
      <c r="AE690" s="15"/>
      <c r="AG690" s="17">
        <v>46.021949999999997</v>
      </c>
      <c r="AH690" s="17">
        <v>-91.145589999999999</v>
      </c>
      <c r="AI690" t="s">
        <v>592</v>
      </c>
      <c r="AL690" t="s">
        <v>62</v>
      </c>
      <c r="AM690" t="s">
        <v>63</v>
      </c>
      <c r="AN690" t="s">
        <v>593</v>
      </c>
      <c r="AO690">
        <v>184817</v>
      </c>
      <c r="AQ690" t="s">
        <v>594</v>
      </c>
      <c r="AR690" t="s">
        <v>595</v>
      </c>
      <c r="AS690" t="s">
        <v>596</v>
      </c>
      <c r="AT690" t="s">
        <v>68</v>
      </c>
      <c r="AV690" t="s">
        <v>597</v>
      </c>
      <c r="AW690" t="s">
        <v>598</v>
      </c>
      <c r="AX690" t="s">
        <v>599</v>
      </c>
      <c r="BA690" s="14" t="s">
        <v>72</v>
      </c>
      <c r="BB690" s="14" t="s">
        <v>73</v>
      </c>
      <c r="BC690" s="14" t="s">
        <v>74</v>
      </c>
    </row>
    <row r="691" spans="1:55" ht="15" customHeight="1" x14ac:dyDescent="0.4">
      <c r="A691" s="12">
        <v>1982</v>
      </c>
      <c r="B691" t="s">
        <v>600</v>
      </c>
      <c r="D691" t="s">
        <v>601</v>
      </c>
      <c r="E691" s="13"/>
      <c r="F691" s="41"/>
      <c r="G691" s="41"/>
      <c r="H691" s="41"/>
      <c r="I691" s="41"/>
      <c r="J691" s="41"/>
      <c r="K691" s="65" t="str">
        <f>IFERROR(VLOOKUP(D691,Sheet4!A$1:M$46,11,FALSE),"")</f>
        <v/>
      </c>
      <c r="L691" s="65" t="str">
        <f t="shared" si="10"/>
        <v/>
      </c>
      <c r="M691" s="14" t="s">
        <v>49</v>
      </c>
      <c r="N691" s="15">
        <v>42925</v>
      </c>
      <c r="O691" t="s">
        <v>174</v>
      </c>
      <c r="P691" t="s">
        <v>51</v>
      </c>
      <c r="Q691" t="s">
        <v>52</v>
      </c>
      <c r="R691" t="s">
        <v>53</v>
      </c>
      <c r="S691" t="s">
        <v>574</v>
      </c>
      <c r="T691" t="s">
        <v>575</v>
      </c>
      <c r="U691" t="s">
        <v>56</v>
      </c>
      <c r="V691" t="s">
        <v>576</v>
      </c>
      <c r="W691" s="16" t="s">
        <v>577</v>
      </c>
      <c r="X691" t="s">
        <v>602</v>
      </c>
      <c r="Y691" t="s">
        <v>603</v>
      </c>
      <c r="AC691" t="s">
        <v>78</v>
      </c>
      <c r="AD691" t="s">
        <v>79</v>
      </c>
      <c r="AE691" s="15">
        <v>45597</v>
      </c>
      <c r="AF691" t="s">
        <v>48</v>
      </c>
      <c r="AG691" s="17">
        <v>46.0259</v>
      </c>
      <c r="AH691" s="17">
        <v>-91.142880000000005</v>
      </c>
      <c r="AI691" t="s">
        <v>604</v>
      </c>
      <c r="AL691" t="s">
        <v>62</v>
      </c>
      <c r="AM691" t="s">
        <v>63</v>
      </c>
      <c r="AN691" t="s">
        <v>605</v>
      </c>
      <c r="AO691">
        <v>184818</v>
      </c>
      <c r="AQ691" t="s">
        <v>606</v>
      </c>
      <c r="AR691" t="s">
        <v>607</v>
      </c>
      <c r="AS691" t="s">
        <v>608</v>
      </c>
      <c r="AT691" t="s">
        <v>68</v>
      </c>
      <c r="AV691" t="s">
        <v>609</v>
      </c>
      <c r="AW691" t="s">
        <v>610</v>
      </c>
      <c r="AX691" t="s">
        <v>611</v>
      </c>
      <c r="AY691" s="31" t="s">
        <v>612</v>
      </c>
      <c r="AZ691" s="31" t="s">
        <v>85</v>
      </c>
      <c r="BA691" s="14" t="s">
        <v>72</v>
      </c>
      <c r="BB691" s="14" t="s">
        <v>73</v>
      </c>
      <c r="BC691" s="14" t="s">
        <v>74</v>
      </c>
    </row>
    <row r="692" spans="1:55" ht="15" customHeight="1" x14ac:dyDescent="0.4">
      <c r="A692" s="12">
        <v>1983</v>
      </c>
      <c r="B692" t="s">
        <v>613</v>
      </c>
      <c r="D692" t="s">
        <v>614</v>
      </c>
      <c r="E692" s="13"/>
      <c r="F692" s="41"/>
      <c r="G692" s="41"/>
      <c r="H692" s="41"/>
      <c r="I692" s="41"/>
      <c r="J692" s="41"/>
      <c r="K692" s="65" t="str">
        <f>IFERROR(VLOOKUP(D692,Sheet4!A$1:M$46,11,FALSE),"")</f>
        <v/>
      </c>
      <c r="L692" s="65" t="str">
        <f t="shared" si="10"/>
        <v/>
      </c>
      <c r="M692" s="14" t="s">
        <v>49</v>
      </c>
      <c r="N692" s="15">
        <v>42925</v>
      </c>
      <c r="O692" t="s">
        <v>174</v>
      </c>
      <c r="P692" t="s">
        <v>51</v>
      </c>
      <c r="Q692" t="s">
        <v>52</v>
      </c>
      <c r="R692" t="s">
        <v>53</v>
      </c>
      <c r="S692" t="s">
        <v>574</v>
      </c>
      <c r="T692" t="s">
        <v>575</v>
      </c>
      <c r="U692" t="s">
        <v>56</v>
      </c>
      <c r="V692" t="s">
        <v>576</v>
      </c>
      <c r="W692" s="16" t="s">
        <v>577</v>
      </c>
      <c r="X692" t="s">
        <v>602</v>
      </c>
      <c r="AC692" t="s">
        <v>60</v>
      </c>
      <c r="AE692" s="15"/>
      <c r="AG692" s="17">
        <v>46.026310000000002</v>
      </c>
      <c r="AH692" s="17">
        <v>-91.141679999999994</v>
      </c>
      <c r="AI692" t="s">
        <v>615</v>
      </c>
      <c r="AL692" t="s">
        <v>62</v>
      </c>
      <c r="AM692" t="s">
        <v>63</v>
      </c>
      <c r="AN692" t="s">
        <v>616</v>
      </c>
      <c r="AO692">
        <v>184819</v>
      </c>
      <c r="AQ692" t="s">
        <v>617</v>
      </c>
      <c r="AR692" t="s">
        <v>618</v>
      </c>
      <c r="AS692" t="s">
        <v>619</v>
      </c>
      <c r="AT692" t="s">
        <v>68</v>
      </c>
      <c r="AV692" t="s">
        <v>620</v>
      </c>
      <c r="AW692" t="s">
        <v>621</v>
      </c>
      <c r="AX692" t="s">
        <v>622</v>
      </c>
      <c r="BA692" s="14" t="s">
        <v>72</v>
      </c>
      <c r="BB692" s="14" t="s">
        <v>73</v>
      </c>
      <c r="BC692" s="14" t="s">
        <v>74</v>
      </c>
    </row>
    <row r="693" spans="1:55" ht="15" customHeight="1" x14ac:dyDescent="0.4">
      <c r="A693" s="12">
        <v>1984</v>
      </c>
      <c r="B693" t="s">
        <v>623</v>
      </c>
      <c r="D693" t="s">
        <v>624</v>
      </c>
      <c r="E693" s="13"/>
      <c r="F693" s="41"/>
      <c r="G693" s="41"/>
      <c r="H693" s="41"/>
      <c r="I693" s="41"/>
      <c r="J693" s="41"/>
      <c r="K693" s="65" t="str">
        <f>IFERROR(VLOOKUP(D693,Sheet4!A$1:M$46,11,FALSE),"")</f>
        <v/>
      </c>
      <c r="L693" s="65" t="str">
        <f t="shared" si="10"/>
        <v/>
      </c>
      <c r="M693" s="14" t="s">
        <v>49</v>
      </c>
      <c r="N693" s="15">
        <v>42925</v>
      </c>
      <c r="O693" t="s">
        <v>174</v>
      </c>
      <c r="P693" t="s">
        <v>51</v>
      </c>
      <c r="Q693" t="s">
        <v>52</v>
      </c>
      <c r="R693" t="s">
        <v>53</v>
      </c>
      <c r="S693" t="s">
        <v>574</v>
      </c>
      <c r="T693" t="s">
        <v>575</v>
      </c>
      <c r="U693" t="s">
        <v>56</v>
      </c>
      <c r="V693" t="s">
        <v>576</v>
      </c>
      <c r="W693" s="16" t="s">
        <v>577</v>
      </c>
      <c r="X693" t="s">
        <v>625</v>
      </c>
      <c r="Y693" t="s">
        <v>626</v>
      </c>
      <c r="AC693" t="s">
        <v>60</v>
      </c>
      <c r="AE693" s="15"/>
      <c r="AG693" s="17">
        <v>46.024509999999999</v>
      </c>
      <c r="AH693" s="17">
        <v>-91.128280000000004</v>
      </c>
      <c r="AI693" t="s">
        <v>627</v>
      </c>
      <c r="AL693" t="s">
        <v>62</v>
      </c>
      <c r="AM693" t="s">
        <v>63</v>
      </c>
      <c r="AN693" t="s">
        <v>628</v>
      </c>
      <c r="AO693">
        <v>184820</v>
      </c>
      <c r="AQ693" t="s">
        <v>629</v>
      </c>
      <c r="AR693" t="s">
        <v>630</v>
      </c>
      <c r="AS693" t="s">
        <v>631</v>
      </c>
      <c r="AT693" t="s">
        <v>68</v>
      </c>
      <c r="AV693" t="s">
        <v>632</v>
      </c>
      <c r="AW693" t="s">
        <v>633</v>
      </c>
      <c r="AX693" t="s">
        <v>634</v>
      </c>
      <c r="BA693" s="14" t="s">
        <v>72</v>
      </c>
      <c r="BB693" s="14" t="s">
        <v>73</v>
      </c>
      <c r="BC693" s="14" t="s">
        <v>74</v>
      </c>
    </row>
    <row r="694" spans="1:55" ht="15" customHeight="1" x14ac:dyDescent="0.4">
      <c r="A694" s="12">
        <v>1985</v>
      </c>
      <c r="B694" t="s">
        <v>635</v>
      </c>
      <c r="D694" t="s">
        <v>636</v>
      </c>
      <c r="E694" s="13"/>
      <c r="F694" s="41"/>
      <c r="G694" s="41"/>
      <c r="H694" s="41"/>
      <c r="I694" s="41"/>
      <c r="J694" s="41"/>
      <c r="K694" s="65" t="str">
        <f>IFERROR(VLOOKUP(D694,Sheet4!A$1:M$46,11,FALSE),"")</f>
        <v/>
      </c>
      <c r="L694" s="65" t="str">
        <f t="shared" si="10"/>
        <v/>
      </c>
      <c r="M694" s="14" t="s">
        <v>49</v>
      </c>
      <c r="N694" s="15">
        <v>42925</v>
      </c>
      <c r="O694" t="s">
        <v>174</v>
      </c>
      <c r="P694" t="s">
        <v>51</v>
      </c>
      <c r="Q694" t="s">
        <v>52</v>
      </c>
      <c r="R694" t="s">
        <v>53</v>
      </c>
      <c r="S694" t="s">
        <v>574</v>
      </c>
      <c r="T694" t="s">
        <v>575</v>
      </c>
      <c r="U694" t="s">
        <v>56</v>
      </c>
      <c r="V694" t="s">
        <v>576</v>
      </c>
      <c r="W694" s="16" t="s">
        <v>577</v>
      </c>
      <c r="X694" t="s">
        <v>637</v>
      </c>
      <c r="AC694" t="s">
        <v>78</v>
      </c>
      <c r="AD694" t="s">
        <v>79</v>
      </c>
      <c r="AE694" s="15">
        <v>45597</v>
      </c>
      <c r="AF694" t="s">
        <v>48</v>
      </c>
      <c r="AG694" s="17">
        <v>46.0244</v>
      </c>
      <c r="AH694" s="17">
        <v>-91.129450000000006</v>
      </c>
      <c r="AI694" t="s">
        <v>638</v>
      </c>
      <c r="AL694" t="s">
        <v>62</v>
      </c>
      <c r="AM694" t="s">
        <v>63</v>
      </c>
      <c r="AN694" t="s">
        <v>639</v>
      </c>
      <c r="AO694">
        <v>184821</v>
      </c>
      <c r="AQ694" t="s">
        <v>640</v>
      </c>
      <c r="AR694" t="s">
        <v>641</v>
      </c>
      <c r="AS694" t="s">
        <v>642</v>
      </c>
      <c r="AT694" t="s">
        <v>68</v>
      </c>
      <c r="AV694" t="s">
        <v>643</v>
      </c>
      <c r="AW694" t="s">
        <v>644</v>
      </c>
      <c r="AX694" t="s">
        <v>645</v>
      </c>
      <c r="AY694" s="31" t="s">
        <v>646</v>
      </c>
      <c r="AZ694" s="31" t="s">
        <v>85</v>
      </c>
      <c r="BA694" s="14" t="s">
        <v>72</v>
      </c>
      <c r="BB694" s="14" t="s">
        <v>73</v>
      </c>
      <c r="BC694" s="14" t="s">
        <v>74</v>
      </c>
    </row>
  </sheetData>
  <autoFilter ref="A1:BC694" xr:uid="{79825F41-60C7-4AE9-ADA8-5437FECFF603}">
    <sortState xmlns:xlrd2="http://schemas.microsoft.com/office/spreadsheetml/2017/richdata2" ref="A2:BC694">
      <sortCondition ref="D1:D694"/>
    </sortState>
  </autoFilter>
  <sortState xmlns:xlrd2="http://schemas.microsoft.com/office/spreadsheetml/2017/richdata2" ref="A2:BC696">
    <sortCondition ref="F2:F696"/>
  </sortState>
  <conditionalFormatting sqref="AY1:AY694">
    <cfRule type="duplicateValues" dxfId="35" priority="9"/>
  </conditionalFormatting>
  <conditionalFormatting sqref="A1:A694">
    <cfRule type="duplicateValues" dxfId="34" priority="8"/>
  </conditionalFormatting>
  <conditionalFormatting sqref="B1:B694">
    <cfRule type="duplicateValues" dxfId="33" priority="5"/>
    <cfRule type="duplicateValues" dxfId="32" priority="6"/>
    <cfRule type="duplicateValues" dxfId="31" priority="10"/>
    <cfRule type="duplicateValues" dxfId="30" priority="11"/>
  </conditionalFormatting>
  <conditionalFormatting sqref="AC197:AC694 AD142 AC80:AC150 AC1:AC69">
    <cfRule type="containsText" dxfId="29" priority="7" operator="containsText" text="|">
      <formula>NOT(ISERROR(SEARCH("|",AC1)))</formula>
    </cfRule>
  </conditionalFormatting>
  <conditionalFormatting sqref="D198:D683 D1:D196">
    <cfRule type="duplicateValues" dxfId="28" priority="12"/>
  </conditionalFormatting>
  <conditionalFormatting sqref="AD142 AC1:AC694">
    <cfRule type="containsText" dxfId="27" priority="4" operator="containsText" text="|">
      <formula>NOT(ISERROR(SEARCH("|",AC1)))</formula>
    </cfRule>
  </conditionalFormatting>
  <conditionalFormatting sqref="C1:C694">
    <cfRule type="duplicateValues" dxfId="26" priority="3"/>
  </conditionalFormatting>
  <conditionalFormatting sqref="D1:D694">
    <cfRule type="duplicateValues" dxfId="25" priority="2"/>
  </conditionalFormatting>
  <conditionalFormatting sqref="D1:D694">
    <cfRule type="duplicateValues" dxfId="24" priority="1"/>
  </conditionalFormatting>
  <hyperlinks>
    <hyperlink ref="AS599" r:id="rId1" xr:uid="{B3D4AF9B-B3D6-4053-B30F-639C6B9F88DF}"/>
    <hyperlink ref="AS438" r:id="rId2" xr:uid="{F6C8A53A-B4B6-4E23-A66F-7080850941C9}"/>
    <hyperlink ref="AS423" r:id="rId3" xr:uid="{5FE271CE-0D04-4006-BDA1-D605AB99DF08}"/>
    <hyperlink ref="AS538" r:id="rId4" xr:uid="{9B5E5F4E-BA08-4000-982D-8A90453E3FD3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B92D-43AD-453E-A129-F4A74967651D}">
  <dimension ref="A1:AX694"/>
  <sheetViews>
    <sheetView tabSelected="1" topLeftCell="C670" workbookViewId="0">
      <selection activeCell="G503" sqref="G503"/>
    </sheetView>
  </sheetViews>
  <sheetFormatPr defaultRowHeight="14.6" x14ac:dyDescent="0.4"/>
  <cols>
    <col min="2" max="2" width="10.69140625" bestFit="1" customWidth="1"/>
    <col min="3" max="3" width="15.69140625" customWidth="1"/>
    <col min="4" max="4" width="19.69140625" bestFit="1" customWidth="1"/>
    <col min="5" max="5" width="17.84375" customWidth="1"/>
    <col min="6" max="6" width="17.84375" style="18" customWidth="1"/>
    <col min="7" max="7" width="8" style="65" customWidth="1"/>
    <col min="8" max="8" width="33.3828125" bestFit="1" customWidth="1"/>
    <col min="9" max="9" width="17.3828125" hidden="1" customWidth="1"/>
    <col min="10" max="10" width="39" hidden="1" customWidth="1"/>
    <col min="11" max="11" width="19" hidden="1" customWidth="1"/>
    <col min="12" max="12" width="22.15234375" hidden="1" customWidth="1"/>
    <col min="13" max="13" width="10.3046875" hidden="1" customWidth="1"/>
    <col min="14" max="14" width="13.69140625" hidden="1" customWidth="1"/>
    <col min="15" max="15" width="11.53515625" hidden="1" customWidth="1"/>
    <col min="16" max="16" width="0" hidden="1" customWidth="1"/>
    <col min="17" max="17" width="22.53515625" hidden="1" customWidth="1"/>
    <col min="18" max="18" width="15.3046875" hidden="1" customWidth="1"/>
    <col min="19" max="19" width="23.3828125" hidden="1" customWidth="1"/>
    <col min="20" max="23" width="0" hidden="1" customWidth="1"/>
    <col min="24" max="24" width="70.15234375" customWidth="1"/>
    <col min="25" max="25" width="27.3046875" customWidth="1"/>
    <col min="26" max="26" width="23.84375" customWidth="1"/>
    <col min="27" max="27" width="28.69140625" customWidth="1"/>
    <col min="30" max="31" width="13" customWidth="1"/>
    <col min="35" max="35" width="69.3828125" customWidth="1"/>
    <col min="36" max="36" width="10.53515625" customWidth="1"/>
    <col min="38" max="38" width="17.84375" customWidth="1"/>
    <col min="39" max="39" width="46" customWidth="1"/>
    <col min="40" max="40" width="76.15234375" customWidth="1"/>
    <col min="41" max="41" width="17.15234375" customWidth="1"/>
    <col min="42" max="42" width="17.3046875" customWidth="1"/>
    <col min="43" max="43" width="26" bestFit="1" customWidth="1"/>
    <col min="44" max="44" width="30.84375" customWidth="1"/>
    <col min="45" max="45" width="35.69140625" customWidth="1"/>
    <col min="46" max="46" width="27.15234375" style="31" customWidth="1"/>
    <col min="47" max="47" width="24.3828125" style="31" customWidth="1"/>
    <col min="48" max="49" width="23" customWidth="1"/>
    <col min="50" max="50" width="30.3046875" customWidth="1"/>
  </cols>
  <sheetData>
    <row r="1" spans="1:50" ht="15" customHeight="1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0" t="s">
        <v>8094</v>
      </c>
      <c r="G1" s="64" t="s">
        <v>8146</v>
      </c>
      <c r="H1" s="4" t="s">
        <v>5</v>
      </c>
      <c r="I1" s="5" t="s">
        <v>6</v>
      </c>
      <c r="J1" s="2" t="s">
        <v>7</v>
      </c>
      <c r="K1" s="6" t="s">
        <v>8</v>
      </c>
      <c r="L1" s="2" t="s">
        <v>9</v>
      </c>
      <c r="M1" s="7" t="s">
        <v>10</v>
      </c>
      <c r="N1" s="8" t="s">
        <v>11</v>
      </c>
      <c r="O1" s="2" t="s">
        <v>12</v>
      </c>
      <c r="P1" s="2" t="s">
        <v>13</v>
      </c>
      <c r="Q1" s="2" t="s">
        <v>14</v>
      </c>
      <c r="R1" s="9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5" t="s">
        <v>23</v>
      </c>
      <c r="AA1" s="2" t="s">
        <v>24</v>
      </c>
      <c r="AB1" s="10" t="s">
        <v>25</v>
      </c>
      <c r="AC1" s="2" t="s">
        <v>26</v>
      </c>
      <c r="AD1" s="2" t="s">
        <v>8092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8093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11" t="s">
        <v>37</v>
      </c>
      <c r="AP1" s="11" t="s">
        <v>38</v>
      </c>
      <c r="AQ1" s="11" t="s">
        <v>39</v>
      </c>
      <c r="AR1" s="11" t="s">
        <v>40</v>
      </c>
      <c r="AS1" s="11" t="s">
        <v>41</v>
      </c>
      <c r="AT1" s="30" t="s">
        <v>42</v>
      </c>
      <c r="AU1" s="32" t="s">
        <v>36</v>
      </c>
      <c r="AV1" s="4" t="s">
        <v>43</v>
      </c>
      <c r="AW1" s="4" t="s">
        <v>44</v>
      </c>
      <c r="AX1" s="4" t="s">
        <v>45</v>
      </c>
    </row>
    <row r="2" spans="1:50" ht="15" customHeight="1" x14ac:dyDescent="0.4">
      <c r="A2" s="12">
        <v>3892</v>
      </c>
      <c r="B2" s="21" t="s">
        <v>6552</v>
      </c>
      <c r="C2" s="13" t="s">
        <v>6553</v>
      </c>
      <c r="D2" s="25" t="s">
        <v>6553</v>
      </c>
      <c r="E2" s="13"/>
      <c r="F2" s="41"/>
      <c r="G2" s="65" t="s">
        <v>8185</v>
      </c>
      <c r="H2" s="14" t="s">
        <v>2006</v>
      </c>
      <c r="I2" s="15">
        <v>44803</v>
      </c>
      <c r="J2" t="s">
        <v>2719</v>
      </c>
      <c r="K2" t="s">
        <v>51</v>
      </c>
      <c r="L2" t="s">
        <v>52</v>
      </c>
      <c r="M2" t="s">
        <v>53</v>
      </c>
      <c r="N2" t="s">
        <v>6554</v>
      </c>
      <c r="O2" t="s">
        <v>6555</v>
      </c>
      <c r="P2" t="s">
        <v>56</v>
      </c>
      <c r="Q2" t="s">
        <v>6556</v>
      </c>
      <c r="R2" s="21" t="s">
        <v>6557</v>
      </c>
      <c r="S2" t="s">
        <v>6558</v>
      </c>
      <c r="T2" t="s">
        <v>6559</v>
      </c>
      <c r="W2" t="s">
        <v>1758</v>
      </c>
      <c r="X2" t="s">
        <v>2009</v>
      </c>
      <c r="Z2" s="15"/>
      <c r="AB2">
        <v>34.804527999999998</v>
      </c>
      <c r="AC2">
        <v>-92.326498000000001</v>
      </c>
      <c r="AD2" t="s">
        <v>6560</v>
      </c>
      <c r="AG2" t="s">
        <v>1715</v>
      </c>
      <c r="AH2" t="s">
        <v>63</v>
      </c>
      <c r="AI2" t="s">
        <v>6561</v>
      </c>
      <c r="AJ2">
        <v>194234</v>
      </c>
      <c r="AL2" t="s">
        <v>6562</v>
      </c>
      <c r="AM2" t="s">
        <v>6563</v>
      </c>
      <c r="AN2" t="s">
        <v>6564</v>
      </c>
      <c r="AO2" t="s">
        <v>68</v>
      </c>
      <c r="AQ2" t="s">
        <v>6565</v>
      </c>
      <c r="AR2" t="s">
        <v>6566</v>
      </c>
      <c r="AS2" t="s">
        <v>6567</v>
      </c>
      <c r="AV2" s="14" t="s">
        <v>72</v>
      </c>
      <c r="AW2" s="14" t="s">
        <v>73</v>
      </c>
      <c r="AX2" s="14" t="s">
        <v>74</v>
      </c>
    </row>
    <row r="3" spans="1:50" ht="15" customHeight="1" x14ac:dyDescent="0.4">
      <c r="A3" s="12">
        <v>3893</v>
      </c>
      <c r="B3" s="21" t="s">
        <v>6568</v>
      </c>
      <c r="C3" s="13" t="s">
        <v>6569</v>
      </c>
      <c r="D3" s="25" t="s">
        <v>6569</v>
      </c>
      <c r="E3" s="13"/>
      <c r="F3" s="41"/>
      <c r="G3" s="65" t="s">
        <v>8185</v>
      </c>
      <c r="H3" s="14" t="s">
        <v>49</v>
      </c>
      <c r="I3" s="15">
        <v>44803</v>
      </c>
      <c r="J3" t="s">
        <v>2719</v>
      </c>
      <c r="K3" t="s">
        <v>51</v>
      </c>
      <c r="L3" t="s">
        <v>52</v>
      </c>
      <c r="M3" t="s">
        <v>53</v>
      </c>
      <c r="N3" t="s">
        <v>6554</v>
      </c>
      <c r="O3" t="s">
        <v>6555</v>
      </c>
      <c r="P3" t="s">
        <v>56</v>
      </c>
      <c r="Q3" t="s">
        <v>6556</v>
      </c>
      <c r="R3" s="21" t="s">
        <v>6557</v>
      </c>
      <c r="S3" t="s">
        <v>6570</v>
      </c>
      <c r="T3" t="s">
        <v>6571</v>
      </c>
      <c r="W3" t="s">
        <v>2336</v>
      </c>
      <c r="X3" t="s">
        <v>60</v>
      </c>
      <c r="Z3" s="15"/>
      <c r="AB3">
        <v>34.804341999999998</v>
      </c>
      <c r="AC3">
        <v>-92.326644999999999</v>
      </c>
      <c r="AD3" t="s">
        <v>6572</v>
      </c>
      <c r="AG3" t="s">
        <v>1715</v>
      </c>
      <c r="AH3" t="s">
        <v>63</v>
      </c>
      <c r="AI3" t="s">
        <v>6573</v>
      </c>
      <c r="AJ3">
        <v>194576</v>
      </c>
      <c r="AL3" t="s">
        <v>6574</v>
      </c>
      <c r="AM3" t="s">
        <v>6575</v>
      </c>
      <c r="AN3" t="s">
        <v>6576</v>
      </c>
      <c r="AO3" t="s">
        <v>68</v>
      </c>
      <c r="AQ3" t="s">
        <v>6577</v>
      </c>
      <c r="AR3" t="s">
        <v>6578</v>
      </c>
      <c r="AS3" t="s">
        <v>6579</v>
      </c>
      <c r="AV3" s="14" t="s">
        <v>72</v>
      </c>
      <c r="AW3" s="14" t="s">
        <v>73</v>
      </c>
      <c r="AX3" s="14" t="s">
        <v>74</v>
      </c>
    </row>
    <row r="4" spans="1:50" ht="15" customHeight="1" x14ac:dyDescent="0.4">
      <c r="A4" s="12">
        <v>3894</v>
      </c>
      <c r="B4" s="21" t="s">
        <v>6580</v>
      </c>
      <c r="C4" s="13" t="s">
        <v>6581</v>
      </c>
      <c r="D4" s="25" t="s">
        <v>6581</v>
      </c>
      <c r="E4" s="13"/>
      <c r="F4" s="41"/>
      <c r="G4" s="65" t="s">
        <v>8185</v>
      </c>
      <c r="H4" s="14" t="s">
        <v>1752</v>
      </c>
      <c r="I4" s="15">
        <v>44803</v>
      </c>
      <c r="J4" t="s">
        <v>2719</v>
      </c>
      <c r="K4" t="s">
        <v>51</v>
      </c>
      <c r="L4" t="s">
        <v>52</v>
      </c>
      <c r="M4" t="s">
        <v>53</v>
      </c>
      <c r="N4" t="s">
        <v>6554</v>
      </c>
      <c r="O4" t="s">
        <v>6555</v>
      </c>
      <c r="P4" t="s">
        <v>56</v>
      </c>
      <c r="Q4" t="s">
        <v>6556</v>
      </c>
      <c r="R4" s="21" t="s">
        <v>6557</v>
      </c>
      <c r="S4" t="s">
        <v>6582</v>
      </c>
      <c r="T4" t="s">
        <v>6583</v>
      </c>
      <c r="W4" t="s">
        <v>1758</v>
      </c>
      <c r="X4" t="s">
        <v>1759</v>
      </c>
      <c r="Z4" s="15"/>
      <c r="AB4">
        <v>34.804412999999997</v>
      </c>
      <c r="AC4">
        <v>-92.326312000000001</v>
      </c>
      <c r="AD4" t="s">
        <v>6584</v>
      </c>
      <c r="AG4" t="s">
        <v>1715</v>
      </c>
      <c r="AH4" t="s">
        <v>63</v>
      </c>
      <c r="AI4" t="s">
        <v>6585</v>
      </c>
      <c r="AJ4">
        <v>193548</v>
      </c>
      <c r="AL4" t="s">
        <v>6586</v>
      </c>
      <c r="AM4" t="s">
        <v>6587</v>
      </c>
      <c r="AN4" t="s">
        <v>6588</v>
      </c>
      <c r="AO4" t="s">
        <v>68</v>
      </c>
      <c r="AQ4" t="s">
        <v>6589</v>
      </c>
      <c r="AR4" t="s">
        <v>6590</v>
      </c>
      <c r="AS4" t="s">
        <v>6591</v>
      </c>
      <c r="AV4" s="14" t="s">
        <v>72</v>
      </c>
      <c r="AW4" s="14" t="s">
        <v>73</v>
      </c>
      <c r="AX4" s="14" t="s">
        <v>1768</v>
      </c>
    </row>
    <row r="5" spans="1:50" ht="15" customHeight="1" x14ac:dyDescent="0.4">
      <c r="A5" s="12">
        <v>3895</v>
      </c>
      <c r="B5" s="21" t="s">
        <v>6592</v>
      </c>
      <c r="C5" s="13" t="s">
        <v>6593</v>
      </c>
      <c r="D5" s="25" t="s">
        <v>6593</v>
      </c>
      <c r="E5" s="13"/>
      <c r="F5" s="41"/>
      <c r="G5" s="65" t="s">
        <v>8185</v>
      </c>
      <c r="H5" s="14" t="s">
        <v>49</v>
      </c>
      <c r="I5" s="15">
        <v>44803</v>
      </c>
      <c r="J5" t="s">
        <v>2719</v>
      </c>
      <c r="K5" t="s">
        <v>51</v>
      </c>
      <c r="L5" t="s">
        <v>52</v>
      </c>
      <c r="M5" t="s">
        <v>53</v>
      </c>
      <c r="N5" t="s">
        <v>6554</v>
      </c>
      <c r="O5" t="s">
        <v>6555</v>
      </c>
      <c r="P5" t="s">
        <v>56</v>
      </c>
      <c r="Q5" t="s">
        <v>6556</v>
      </c>
      <c r="R5" s="21" t="s">
        <v>6557</v>
      </c>
      <c r="S5" t="s">
        <v>6594</v>
      </c>
      <c r="T5" t="s">
        <v>6595</v>
      </c>
      <c r="X5" t="s">
        <v>60</v>
      </c>
      <c r="Z5" s="15"/>
      <c r="AB5">
        <v>34.805005999999999</v>
      </c>
      <c r="AC5">
        <v>-92.327102999999994</v>
      </c>
      <c r="AD5" t="s">
        <v>6596</v>
      </c>
      <c r="AG5" t="s">
        <v>1715</v>
      </c>
      <c r="AH5" t="s">
        <v>63</v>
      </c>
      <c r="AI5" t="s">
        <v>6597</v>
      </c>
      <c r="AJ5">
        <v>194575</v>
      </c>
      <c r="AL5" t="s">
        <v>6598</v>
      </c>
      <c r="AM5" t="s">
        <v>6599</v>
      </c>
      <c r="AN5" t="s">
        <v>6600</v>
      </c>
      <c r="AO5" t="s">
        <v>68</v>
      </c>
      <c r="AQ5" t="s">
        <v>6601</v>
      </c>
      <c r="AR5" t="s">
        <v>6602</v>
      </c>
      <c r="AS5" t="s">
        <v>6603</v>
      </c>
      <c r="AV5" s="14" t="s">
        <v>72</v>
      </c>
      <c r="AW5" s="14" t="s">
        <v>73</v>
      </c>
      <c r="AX5" s="14" t="s">
        <v>74</v>
      </c>
    </row>
    <row r="6" spans="1:50" ht="15" customHeight="1" x14ac:dyDescent="0.4">
      <c r="A6" s="12">
        <v>3896</v>
      </c>
      <c r="B6" s="21" t="s">
        <v>6604</v>
      </c>
      <c r="C6" s="13" t="s">
        <v>6605</v>
      </c>
      <c r="D6" s="25" t="s">
        <v>6605</v>
      </c>
      <c r="E6" s="13"/>
      <c r="F6" s="41"/>
      <c r="G6" s="65" t="s">
        <v>8185</v>
      </c>
      <c r="H6" s="14" t="s">
        <v>1752</v>
      </c>
      <c r="I6" s="15">
        <v>44803</v>
      </c>
      <c r="J6" t="s">
        <v>2719</v>
      </c>
      <c r="K6" t="s">
        <v>51</v>
      </c>
      <c r="L6" t="s">
        <v>52</v>
      </c>
      <c r="M6" t="s">
        <v>53</v>
      </c>
      <c r="N6" t="s">
        <v>6554</v>
      </c>
      <c r="O6" t="s">
        <v>6555</v>
      </c>
      <c r="P6" t="s">
        <v>56</v>
      </c>
      <c r="Q6" t="s">
        <v>6556</v>
      </c>
      <c r="R6" s="21" t="s">
        <v>6557</v>
      </c>
      <c r="S6" t="s">
        <v>6606</v>
      </c>
      <c r="T6" t="s">
        <v>6607</v>
      </c>
      <c r="X6" t="s">
        <v>1759</v>
      </c>
      <c r="Z6" s="15"/>
      <c r="AB6">
        <v>34.805382000000002</v>
      </c>
      <c r="AC6">
        <v>-92.327056999999996</v>
      </c>
      <c r="AD6" t="s">
        <v>6608</v>
      </c>
      <c r="AG6" t="s">
        <v>1715</v>
      </c>
      <c r="AH6" t="s">
        <v>63</v>
      </c>
      <c r="AI6" t="s">
        <v>6609</v>
      </c>
      <c r="AJ6">
        <v>193549</v>
      </c>
      <c r="AL6" t="s">
        <v>6610</v>
      </c>
      <c r="AM6" t="s">
        <v>6611</v>
      </c>
      <c r="AN6" t="s">
        <v>6612</v>
      </c>
      <c r="AO6" t="s">
        <v>68</v>
      </c>
      <c r="AQ6" t="s">
        <v>6613</v>
      </c>
      <c r="AR6" t="s">
        <v>6614</v>
      </c>
      <c r="AS6" t="s">
        <v>6615</v>
      </c>
      <c r="AV6" s="14" t="s">
        <v>72</v>
      </c>
      <c r="AW6" s="14" t="s">
        <v>73</v>
      </c>
      <c r="AX6" s="14" t="s">
        <v>1768</v>
      </c>
    </row>
    <row r="7" spans="1:50" ht="15" customHeight="1" x14ac:dyDescent="0.4">
      <c r="A7" s="12">
        <v>3897</v>
      </c>
      <c r="B7" s="21" t="s">
        <v>6616</v>
      </c>
      <c r="C7" s="13" t="s">
        <v>6617</v>
      </c>
      <c r="D7" s="25" t="s">
        <v>6617</v>
      </c>
      <c r="E7" s="13"/>
      <c r="F7" s="41"/>
      <c r="G7" s="65" t="s">
        <v>8185</v>
      </c>
      <c r="H7" s="14" t="s">
        <v>2006</v>
      </c>
      <c r="I7" s="15">
        <v>44803</v>
      </c>
      <c r="J7" t="s">
        <v>2719</v>
      </c>
      <c r="K7" t="s">
        <v>51</v>
      </c>
      <c r="L7" t="s">
        <v>52</v>
      </c>
      <c r="M7" t="s">
        <v>53</v>
      </c>
      <c r="N7" t="s">
        <v>6554</v>
      </c>
      <c r="O7" t="s">
        <v>6555</v>
      </c>
      <c r="P7" t="s">
        <v>56</v>
      </c>
      <c r="Q7" t="s">
        <v>6556</v>
      </c>
      <c r="R7" s="21" t="s">
        <v>6557</v>
      </c>
      <c r="S7" t="s">
        <v>6618</v>
      </c>
      <c r="T7" t="s">
        <v>6619</v>
      </c>
      <c r="X7" t="s">
        <v>2009</v>
      </c>
      <c r="Z7" s="15"/>
      <c r="AB7">
        <v>34.805731000000002</v>
      </c>
      <c r="AC7">
        <v>-92.327413000000007</v>
      </c>
      <c r="AD7" t="s">
        <v>2103</v>
      </c>
      <c r="AG7" t="s">
        <v>1715</v>
      </c>
      <c r="AH7" t="s">
        <v>63</v>
      </c>
      <c r="AI7" t="s">
        <v>6620</v>
      </c>
      <c r="AJ7">
        <v>194235</v>
      </c>
      <c r="AL7" t="s">
        <v>6621</v>
      </c>
      <c r="AM7" t="s">
        <v>6622</v>
      </c>
      <c r="AN7" t="s">
        <v>6623</v>
      </c>
      <c r="AO7" t="s">
        <v>68</v>
      </c>
      <c r="AQ7" t="s">
        <v>6624</v>
      </c>
      <c r="AR7" t="s">
        <v>6625</v>
      </c>
      <c r="AS7" t="s">
        <v>6626</v>
      </c>
      <c r="AV7" s="14" t="s">
        <v>72</v>
      </c>
      <c r="AW7" s="14" t="s">
        <v>73</v>
      </c>
      <c r="AX7" s="14" t="s">
        <v>74</v>
      </c>
    </row>
    <row r="8" spans="1:50" ht="15" customHeight="1" x14ac:dyDescent="0.4">
      <c r="A8" s="12">
        <v>3898</v>
      </c>
      <c r="B8" s="21" t="s">
        <v>6627</v>
      </c>
      <c r="C8" s="13" t="s">
        <v>6628</v>
      </c>
      <c r="D8" s="25" t="s">
        <v>6628</v>
      </c>
      <c r="E8" s="13"/>
      <c r="F8" s="41"/>
      <c r="G8" s="65" t="s">
        <v>8185</v>
      </c>
      <c r="H8" s="14" t="s">
        <v>1878</v>
      </c>
      <c r="I8" s="15">
        <v>44803</v>
      </c>
      <c r="J8" t="s">
        <v>2719</v>
      </c>
      <c r="K8" t="s">
        <v>51</v>
      </c>
      <c r="L8" t="s">
        <v>52</v>
      </c>
      <c r="M8" t="s">
        <v>53</v>
      </c>
      <c r="N8" t="s">
        <v>6554</v>
      </c>
      <c r="O8" t="s">
        <v>6555</v>
      </c>
      <c r="P8" t="s">
        <v>56</v>
      </c>
      <c r="Q8" t="s">
        <v>6556</v>
      </c>
      <c r="R8" s="21" t="s">
        <v>6557</v>
      </c>
      <c r="S8" t="s">
        <v>6629</v>
      </c>
      <c r="T8" t="s">
        <v>6630</v>
      </c>
      <c r="X8" t="s">
        <v>1881</v>
      </c>
      <c r="Z8" s="15"/>
      <c r="AB8">
        <v>34.805909999999997</v>
      </c>
      <c r="AC8">
        <v>-92.327567999999999</v>
      </c>
      <c r="AD8" t="s">
        <v>6631</v>
      </c>
      <c r="AG8" t="s">
        <v>1715</v>
      </c>
      <c r="AH8" t="s">
        <v>63</v>
      </c>
      <c r="AI8" t="s">
        <v>6632</v>
      </c>
      <c r="AJ8">
        <v>194165</v>
      </c>
      <c r="AL8" t="s">
        <v>6633</v>
      </c>
      <c r="AM8" t="s">
        <v>6634</v>
      </c>
      <c r="AN8" t="s">
        <v>6635</v>
      </c>
      <c r="AO8" t="s">
        <v>68</v>
      </c>
      <c r="AQ8" t="s">
        <v>6636</v>
      </c>
      <c r="AR8" t="s">
        <v>6637</v>
      </c>
      <c r="AS8" t="s">
        <v>6638</v>
      </c>
      <c r="AV8" s="14" t="s">
        <v>72</v>
      </c>
      <c r="AW8" s="14" t="s">
        <v>73</v>
      </c>
      <c r="AX8" s="14" t="s">
        <v>1723</v>
      </c>
    </row>
    <row r="9" spans="1:50" ht="15" customHeight="1" x14ac:dyDescent="0.4">
      <c r="A9" s="12">
        <v>3899</v>
      </c>
      <c r="B9" s="21" t="s">
        <v>6639</v>
      </c>
      <c r="C9" s="13" t="s">
        <v>6640</v>
      </c>
      <c r="D9" s="25" t="s">
        <v>6640</v>
      </c>
      <c r="E9" s="13"/>
      <c r="F9" s="41"/>
      <c r="G9" s="65" t="s">
        <v>8185</v>
      </c>
      <c r="H9" s="14" t="s">
        <v>1752</v>
      </c>
      <c r="I9" s="15">
        <v>44803</v>
      </c>
      <c r="J9" t="s">
        <v>2719</v>
      </c>
      <c r="K9" t="s">
        <v>51</v>
      </c>
      <c r="L9" t="s">
        <v>52</v>
      </c>
      <c r="M9" t="s">
        <v>53</v>
      </c>
      <c r="N9" t="s">
        <v>6554</v>
      </c>
      <c r="O9" t="s">
        <v>6555</v>
      </c>
      <c r="P9" t="s">
        <v>56</v>
      </c>
      <c r="Q9" t="s">
        <v>6556</v>
      </c>
      <c r="R9" s="21" t="s">
        <v>6557</v>
      </c>
      <c r="S9" t="s">
        <v>6641</v>
      </c>
      <c r="T9" t="s">
        <v>6642</v>
      </c>
      <c r="X9" t="s">
        <v>1759</v>
      </c>
      <c r="Z9" s="15"/>
      <c r="AB9">
        <v>34.806736999999998</v>
      </c>
      <c r="AC9">
        <v>-92.328942999999995</v>
      </c>
      <c r="AD9" t="s">
        <v>6643</v>
      </c>
      <c r="AG9" t="s">
        <v>1715</v>
      </c>
      <c r="AH9" t="s">
        <v>63</v>
      </c>
      <c r="AI9" t="s">
        <v>6644</v>
      </c>
      <c r="AJ9">
        <v>193550</v>
      </c>
      <c r="AL9" t="s">
        <v>6645</v>
      </c>
      <c r="AM9" t="s">
        <v>6646</v>
      </c>
      <c r="AN9" t="s">
        <v>6647</v>
      </c>
      <c r="AO9" t="s">
        <v>68</v>
      </c>
      <c r="AQ9" t="s">
        <v>6648</v>
      </c>
      <c r="AR9" t="s">
        <v>6649</v>
      </c>
      <c r="AS9" t="s">
        <v>6650</v>
      </c>
      <c r="AV9" s="14" t="s">
        <v>72</v>
      </c>
      <c r="AW9" s="14" t="s">
        <v>73</v>
      </c>
      <c r="AX9" s="14" t="s">
        <v>1768</v>
      </c>
    </row>
    <row r="10" spans="1:50" ht="15" customHeight="1" x14ac:dyDescent="0.4">
      <c r="A10" s="12">
        <v>3900</v>
      </c>
      <c r="B10" s="21" t="s">
        <v>6651</v>
      </c>
      <c r="C10" s="13" t="s">
        <v>6652</v>
      </c>
      <c r="D10" s="25" t="s">
        <v>6652</v>
      </c>
      <c r="E10" s="13"/>
      <c r="F10" s="41"/>
      <c r="G10" s="65" t="s">
        <v>8182</v>
      </c>
      <c r="H10" s="14" t="s">
        <v>49</v>
      </c>
      <c r="I10" s="15">
        <v>44803</v>
      </c>
      <c r="J10" t="s">
        <v>2719</v>
      </c>
      <c r="K10" t="s">
        <v>51</v>
      </c>
      <c r="L10" t="s">
        <v>52</v>
      </c>
      <c r="M10" t="s">
        <v>53</v>
      </c>
      <c r="N10" t="s">
        <v>6554</v>
      </c>
      <c r="O10" t="s">
        <v>6555</v>
      </c>
      <c r="P10" t="s">
        <v>56</v>
      </c>
      <c r="Q10" t="s">
        <v>6556</v>
      </c>
      <c r="R10" s="21" t="s">
        <v>6557</v>
      </c>
      <c r="S10" t="s">
        <v>6653</v>
      </c>
      <c r="T10" t="s">
        <v>6654</v>
      </c>
      <c r="X10" t="s">
        <v>60</v>
      </c>
      <c r="Z10" s="15"/>
      <c r="AB10">
        <v>34.806243000000002</v>
      </c>
      <c r="AC10">
        <v>-92.330089999999998</v>
      </c>
      <c r="AD10" t="s">
        <v>6655</v>
      </c>
      <c r="AG10" t="s">
        <v>1715</v>
      </c>
      <c r="AH10" t="s">
        <v>63</v>
      </c>
      <c r="AI10" t="s">
        <v>6656</v>
      </c>
      <c r="AJ10">
        <v>194574</v>
      </c>
      <c r="AL10" t="s">
        <v>6657</v>
      </c>
      <c r="AM10" t="s">
        <v>6658</v>
      </c>
      <c r="AN10" t="s">
        <v>6659</v>
      </c>
      <c r="AO10" t="s">
        <v>68</v>
      </c>
      <c r="AQ10" t="s">
        <v>6660</v>
      </c>
      <c r="AR10" t="s">
        <v>6661</v>
      </c>
      <c r="AS10" t="s">
        <v>6662</v>
      </c>
      <c r="AV10" s="14" t="s">
        <v>72</v>
      </c>
      <c r="AW10" s="14" t="s">
        <v>73</v>
      </c>
      <c r="AX10" s="14" t="s">
        <v>74</v>
      </c>
    </row>
    <row r="11" spans="1:50" ht="15" customHeight="1" x14ac:dyDescent="0.4">
      <c r="A11" s="12">
        <v>3901</v>
      </c>
      <c r="B11" s="21" t="s">
        <v>6663</v>
      </c>
      <c r="C11" s="13" t="s">
        <v>6664</v>
      </c>
      <c r="D11" s="25" t="s">
        <v>6664</v>
      </c>
      <c r="E11" s="13"/>
      <c r="F11" s="41"/>
      <c r="G11" s="65" t="s">
        <v>8185</v>
      </c>
      <c r="H11" s="14" t="s">
        <v>2006</v>
      </c>
      <c r="I11" s="15">
        <v>44803</v>
      </c>
      <c r="J11" t="s">
        <v>2719</v>
      </c>
      <c r="K11" t="s">
        <v>51</v>
      </c>
      <c r="L11" t="s">
        <v>52</v>
      </c>
      <c r="M11" t="s">
        <v>53</v>
      </c>
      <c r="N11" t="s">
        <v>6554</v>
      </c>
      <c r="O11" t="s">
        <v>6555</v>
      </c>
      <c r="P11" t="s">
        <v>56</v>
      </c>
      <c r="Q11" t="s">
        <v>6556</v>
      </c>
      <c r="R11" s="21" t="s">
        <v>6557</v>
      </c>
      <c r="S11" t="s">
        <v>6665</v>
      </c>
      <c r="T11" t="s">
        <v>6666</v>
      </c>
      <c r="W11" t="s">
        <v>2336</v>
      </c>
      <c r="X11" t="s">
        <v>2009</v>
      </c>
      <c r="Z11" s="15"/>
      <c r="AB11">
        <v>34.806528</v>
      </c>
      <c r="AC11">
        <v>-92.330323000000007</v>
      </c>
      <c r="AD11" t="s">
        <v>6572</v>
      </c>
      <c r="AG11" t="s">
        <v>1715</v>
      </c>
      <c r="AH11" t="s">
        <v>63</v>
      </c>
      <c r="AI11" t="s">
        <v>6667</v>
      </c>
      <c r="AJ11">
        <v>194236</v>
      </c>
      <c r="AL11" t="s">
        <v>6668</v>
      </c>
      <c r="AM11" t="s">
        <v>6669</v>
      </c>
      <c r="AN11" t="s">
        <v>6670</v>
      </c>
      <c r="AO11" t="s">
        <v>68</v>
      </c>
      <c r="AQ11" t="s">
        <v>6671</v>
      </c>
      <c r="AR11" t="s">
        <v>6672</v>
      </c>
      <c r="AS11" t="s">
        <v>6673</v>
      </c>
      <c r="AV11" s="14" t="s">
        <v>72</v>
      </c>
      <c r="AW11" s="14" t="s">
        <v>73</v>
      </c>
      <c r="AX11" s="14" t="s">
        <v>74</v>
      </c>
    </row>
    <row r="12" spans="1:50" ht="15" customHeight="1" x14ac:dyDescent="0.4">
      <c r="A12" s="12">
        <v>3902</v>
      </c>
      <c r="B12" s="21" t="s">
        <v>6674</v>
      </c>
      <c r="C12" s="13" t="s">
        <v>6675</v>
      </c>
      <c r="D12" s="25" t="s">
        <v>6675</v>
      </c>
      <c r="E12" s="13"/>
      <c r="F12" s="41"/>
      <c r="G12" s="65" t="s">
        <v>8185</v>
      </c>
      <c r="H12" s="14" t="s">
        <v>1752</v>
      </c>
      <c r="I12" s="15">
        <v>44803</v>
      </c>
      <c r="J12" t="s">
        <v>2719</v>
      </c>
      <c r="K12" t="s">
        <v>51</v>
      </c>
      <c r="L12" t="s">
        <v>52</v>
      </c>
      <c r="M12" t="s">
        <v>53</v>
      </c>
      <c r="N12" t="s">
        <v>6554</v>
      </c>
      <c r="O12" t="s">
        <v>6555</v>
      </c>
      <c r="P12" t="s">
        <v>56</v>
      </c>
      <c r="Q12" t="s">
        <v>6556</v>
      </c>
      <c r="R12" s="21" t="s">
        <v>6557</v>
      </c>
      <c r="S12" t="s">
        <v>6676</v>
      </c>
      <c r="T12" t="s">
        <v>6677</v>
      </c>
      <c r="X12" t="s">
        <v>1759</v>
      </c>
      <c r="Z12" s="15"/>
      <c r="AB12">
        <v>34.806536000000001</v>
      </c>
      <c r="AC12">
        <v>-92.330337999999998</v>
      </c>
      <c r="AD12" t="s">
        <v>6678</v>
      </c>
      <c r="AG12" t="s">
        <v>1715</v>
      </c>
      <c r="AH12" t="s">
        <v>63</v>
      </c>
      <c r="AI12" t="s">
        <v>6679</v>
      </c>
      <c r="AJ12">
        <v>193551</v>
      </c>
      <c r="AL12" t="s">
        <v>6680</v>
      </c>
      <c r="AM12" t="s">
        <v>6681</v>
      </c>
      <c r="AN12" t="s">
        <v>6682</v>
      </c>
      <c r="AO12" t="s">
        <v>68</v>
      </c>
      <c r="AQ12" t="s">
        <v>6683</v>
      </c>
      <c r="AR12" t="s">
        <v>6684</v>
      </c>
      <c r="AS12" t="s">
        <v>6685</v>
      </c>
      <c r="AV12" s="14" t="s">
        <v>72</v>
      </c>
      <c r="AW12" s="14" t="s">
        <v>73</v>
      </c>
      <c r="AX12" s="14" t="s">
        <v>1768</v>
      </c>
    </row>
    <row r="13" spans="1:50" ht="15" customHeight="1" x14ac:dyDescent="0.4">
      <c r="A13" s="12">
        <v>3903</v>
      </c>
      <c r="B13" s="21" t="s">
        <v>6686</v>
      </c>
      <c r="C13" s="13" t="s">
        <v>6687</v>
      </c>
      <c r="D13" s="25" t="s">
        <v>6687</v>
      </c>
      <c r="E13" s="13"/>
      <c r="F13" s="41"/>
      <c r="G13" s="65" t="s">
        <v>8185</v>
      </c>
      <c r="H13" s="14" t="s">
        <v>1878</v>
      </c>
      <c r="I13" s="15">
        <v>44803</v>
      </c>
      <c r="J13" t="s">
        <v>2719</v>
      </c>
      <c r="K13" t="s">
        <v>51</v>
      </c>
      <c r="L13" t="s">
        <v>52</v>
      </c>
      <c r="M13" t="s">
        <v>53</v>
      </c>
      <c r="N13" t="s">
        <v>6554</v>
      </c>
      <c r="O13" t="s">
        <v>6555</v>
      </c>
      <c r="P13" t="s">
        <v>56</v>
      </c>
      <c r="Q13" t="s">
        <v>6556</v>
      </c>
      <c r="R13" s="21" t="s">
        <v>6557</v>
      </c>
      <c r="S13" t="s">
        <v>6688</v>
      </c>
      <c r="T13" t="s">
        <v>6689</v>
      </c>
      <c r="X13" t="s">
        <v>1881</v>
      </c>
      <c r="Z13" s="15"/>
      <c r="AB13">
        <v>34.803472999999997</v>
      </c>
      <c r="AC13">
        <v>-92.329470999999998</v>
      </c>
      <c r="AD13" t="s">
        <v>6690</v>
      </c>
      <c r="AG13" t="s">
        <v>1715</v>
      </c>
      <c r="AH13" t="s">
        <v>63</v>
      </c>
      <c r="AI13" t="s">
        <v>6691</v>
      </c>
      <c r="AJ13">
        <v>194166</v>
      </c>
      <c r="AL13" t="s">
        <v>6692</v>
      </c>
      <c r="AM13" t="s">
        <v>6693</v>
      </c>
      <c r="AN13" t="s">
        <v>6694</v>
      </c>
      <c r="AO13" t="s">
        <v>68</v>
      </c>
      <c r="AQ13" t="s">
        <v>6695</v>
      </c>
      <c r="AR13" t="s">
        <v>6696</v>
      </c>
      <c r="AS13" t="s">
        <v>6697</v>
      </c>
      <c r="AV13" s="14" t="s">
        <v>72</v>
      </c>
      <c r="AW13" s="14" t="s">
        <v>73</v>
      </c>
      <c r="AX13" s="14" t="s">
        <v>1723</v>
      </c>
    </row>
    <row r="14" spans="1:50" ht="15" customHeight="1" x14ac:dyDescent="0.4">
      <c r="A14" s="12">
        <v>3904</v>
      </c>
      <c r="B14" s="21" t="s">
        <v>6698</v>
      </c>
      <c r="C14" s="13" t="s">
        <v>6699</v>
      </c>
      <c r="D14" s="25" t="s">
        <v>6699</v>
      </c>
      <c r="E14" s="13"/>
      <c r="F14" s="41"/>
      <c r="G14" s="65" t="s">
        <v>8185</v>
      </c>
      <c r="H14" s="14" t="s">
        <v>1829</v>
      </c>
      <c r="I14" s="15">
        <v>44803</v>
      </c>
      <c r="J14" t="s">
        <v>2719</v>
      </c>
      <c r="K14" t="s">
        <v>51</v>
      </c>
      <c r="L14" t="s">
        <v>52</v>
      </c>
      <c r="M14" t="s">
        <v>53</v>
      </c>
      <c r="N14" t="s">
        <v>6554</v>
      </c>
      <c r="O14" t="s">
        <v>6555</v>
      </c>
      <c r="P14" t="s">
        <v>56</v>
      </c>
      <c r="Q14" t="s">
        <v>6556</v>
      </c>
      <c r="R14" s="21" t="s">
        <v>6557</v>
      </c>
      <c r="S14" t="s">
        <v>6700</v>
      </c>
      <c r="T14" t="s">
        <v>6701</v>
      </c>
      <c r="X14" t="s">
        <v>1832</v>
      </c>
      <c r="Z14" s="15"/>
      <c r="AB14">
        <v>34.801994999999998</v>
      </c>
      <c r="AC14">
        <v>-92.328254999999999</v>
      </c>
      <c r="AD14" t="s">
        <v>6702</v>
      </c>
      <c r="AG14" t="s">
        <v>1715</v>
      </c>
      <c r="AH14" t="s">
        <v>63</v>
      </c>
      <c r="AI14" t="s">
        <v>6703</v>
      </c>
      <c r="AJ14">
        <v>194498</v>
      </c>
      <c r="AL14" t="s">
        <v>6704</v>
      </c>
      <c r="AM14" t="s">
        <v>6705</v>
      </c>
      <c r="AN14" t="s">
        <v>6706</v>
      </c>
      <c r="AO14" t="s">
        <v>68</v>
      </c>
      <c r="AQ14" t="s">
        <v>6707</v>
      </c>
      <c r="AR14" t="s">
        <v>6708</v>
      </c>
      <c r="AS14" t="s">
        <v>6709</v>
      </c>
      <c r="AV14" s="14" t="s">
        <v>72</v>
      </c>
      <c r="AW14" s="14" t="s">
        <v>73</v>
      </c>
      <c r="AX14" s="14" t="s">
        <v>74</v>
      </c>
    </row>
    <row r="15" spans="1:50" ht="15" customHeight="1" x14ac:dyDescent="0.4">
      <c r="A15" s="12">
        <v>3905</v>
      </c>
      <c r="B15" s="21" t="s">
        <v>6710</v>
      </c>
      <c r="C15" s="13" t="s">
        <v>6711</v>
      </c>
      <c r="D15" s="25" t="s">
        <v>6711</v>
      </c>
      <c r="E15" s="13"/>
      <c r="F15" s="41"/>
      <c r="G15" s="65" t="s">
        <v>8185</v>
      </c>
      <c r="H15" s="14" t="s">
        <v>1829</v>
      </c>
      <c r="I15" s="15">
        <v>44803</v>
      </c>
      <c r="J15" t="s">
        <v>2719</v>
      </c>
      <c r="K15" t="s">
        <v>51</v>
      </c>
      <c r="L15" t="s">
        <v>52</v>
      </c>
      <c r="M15" t="s">
        <v>53</v>
      </c>
      <c r="N15" t="s">
        <v>6554</v>
      </c>
      <c r="O15" t="s">
        <v>6555</v>
      </c>
      <c r="P15" t="s">
        <v>56</v>
      </c>
      <c r="Q15" t="s">
        <v>6556</v>
      </c>
      <c r="R15" s="21" t="s">
        <v>6557</v>
      </c>
      <c r="S15" t="s">
        <v>6712</v>
      </c>
      <c r="T15" t="s">
        <v>6713</v>
      </c>
      <c r="X15" t="s">
        <v>1832</v>
      </c>
      <c r="Z15" s="15"/>
      <c r="AB15">
        <v>34.801788999999999</v>
      </c>
      <c r="AC15">
        <v>-92.328063</v>
      </c>
      <c r="AD15" t="s">
        <v>6714</v>
      </c>
      <c r="AG15" t="s">
        <v>1715</v>
      </c>
      <c r="AH15" t="s">
        <v>63</v>
      </c>
      <c r="AI15" t="s">
        <v>6715</v>
      </c>
      <c r="AJ15">
        <v>194499</v>
      </c>
      <c r="AL15" t="s">
        <v>6716</v>
      </c>
      <c r="AM15" t="s">
        <v>6717</v>
      </c>
      <c r="AN15" t="s">
        <v>6718</v>
      </c>
      <c r="AO15" t="s">
        <v>68</v>
      </c>
      <c r="AQ15" t="s">
        <v>6719</v>
      </c>
      <c r="AR15" t="s">
        <v>6720</v>
      </c>
      <c r="AS15" t="s">
        <v>6721</v>
      </c>
      <c r="AV15" s="14" t="s">
        <v>72</v>
      </c>
      <c r="AW15" s="14" t="s">
        <v>73</v>
      </c>
      <c r="AX15" s="14" t="s">
        <v>74</v>
      </c>
    </row>
    <row r="16" spans="1:50" ht="15" customHeight="1" x14ac:dyDescent="0.4">
      <c r="A16" s="12">
        <v>3906</v>
      </c>
      <c r="B16" s="21" t="s">
        <v>6722</v>
      </c>
      <c r="C16" s="13" t="s">
        <v>6723</v>
      </c>
      <c r="D16" s="25" t="s">
        <v>6723</v>
      </c>
      <c r="E16" s="13"/>
      <c r="F16" s="41"/>
      <c r="G16" s="65" t="s">
        <v>8185</v>
      </c>
      <c r="H16" s="14" t="s">
        <v>49</v>
      </c>
      <c r="I16" s="15">
        <v>44803</v>
      </c>
      <c r="J16" t="s">
        <v>2719</v>
      </c>
      <c r="K16" t="s">
        <v>51</v>
      </c>
      <c r="L16" t="s">
        <v>52</v>
      </c>
      <c r="M16" t="s">
        <v>53</v>
      </c>
      <c r="N16" t="s">
        <v>6554</v>
      </c>
      <c r="O16" t="s">
        <v>6555</v>
      </c>
      <c r="P16" t="s">
        <v>56</v>
      </c>
      <c r="Q16" t="s">
        <v>6556</v>
      </c>
      <c r="R16" s="21" t="s">
        <v>6557</v>
      </c>
      <c r="S16" t="s">
        <v>6724</v>
      </c>
      <c r="T16" t="s">
        <v>6725</v>
      </c>
      <c r="X16" t="s">
        <v>60</v>
      </c>
      <c r="Z16" s="15"/>
      <c r="AB16">
        <v>34.802582000000001</v>
      </c>
      <c r="AC16">
        <v>-92.327239000000006</v>
      </c>
      <c r="AD16" t="s">
        <v>6643</v>
      </c>
      <c r="AG16" t="s">
        <v>1715</v>
      </c>
      <c r="AH16" t="s">
        <v>63</v>
      </c>
      <c r="AI16" t="s">
        <v>6726</v>
      </c>
      <c r="AJ16">
        <v>194573</v>
      </c>
      <c r="AL16" t="s">
        <v>6727</v>
      </c>
      <c r="AM16" t="s">
        <v>6728</v>
      </c>
      <c r="AN16" t="s">
        <v>6729</v>
      </c>
      <c r="AO16" t="s">
        <v>68</v>
      </c>
      <c r="AQ16" t="s">
        <v>6730</v>
      </c>
      <c r="AR16" t="s">
        <v>6731</v>
      </c>
      <c r="AS16" t="s">
        <v>6732</v>
      </c>
      <c r="AV16" s="14" t="s">
        <v>72</v>
      </c>
      <c r="AW16" s="14" t="s">
        <v>73</v>
      </c>
      <c r="AX16" s="14" t="s">
        <v>74</v>
      </c>
    </row>
    <row r="17" spans="1:50" ht="15" customHeight="1" x14ac:dyDescent="0.4">
      <c r="A17" s="12">
        <v>3907</v>
      </c>
      <c r="B17" s="21" t="s">
        <v>6733</v>
      </c>
      <c r="C17" s="13" t="s">
        <v>6734</v>
      </c>
      <c r="D17" s="25" t="s">
        <v>6734</v>
      </c>
      <c r="E17" s="13"/>
      <c r="F17" s="41"/>
      <c r="G17" s="65" t="s">
        <v>8185</v>
      </c>
      <c r="H17" s="14" t="s">
        <v>1878</v>
      </c>
      <c r="I17" s="15">
        <v>44803</v>
      </c>
      <c r="J17" t="s">
        <v>2719</v>
      </c>
      <c r="K17" t="s">
        <v>51</v>
      </c>
      <c r="L17" t="s">
        <v>52</v>
      </c>
      <c r="M17" t="s">
        <v>53</v>
      </c>
      <c r="N17" t="s">
        <v>6554</v>
      </c>
      <c r="O17" t="s">
        <v>6555</v>
      </c>
      <c r="P17" t="s">
        <v>56</v>
      </c>
      <c r="Q17" t="s">
        <v>6556</v>
      </c>
      <c r="R17" s="21" t="s">
        <v>6557</v>
      </c>
      <c r="S17" t="s">
        <v>6735</v>
      </c>
      <c r="T17" t="s">
        <v>6736</v>
      </c>
      <c r="X17" t="s">
        <v>1881</v>
      </c>
      <c r="Z17" s="15"/>
      <c r="AB17">
        <v>34.803696000000002</v>
      </c>
      <c r="AC17">
        <v>-92.327312000000006</v>
      </c>
      <c r="AD17" t="s">
        <v>6655</v>
      </c>
      <c r="AG17" t="s">
        <v>1715</v>
      </c>
      <c r="AH17" t="s">
        <v>63</v>
      </c>
      <c r="AI17" t="s">
        <v>6737</v>
      </c>
      <c r="AJ17">
        <v>194167</v>
      </c>
      <c r="AL17" t="s">
        <v>6738</v>
      </c>
      <c r="AM17" t="s">
        <v>6739</v>
      </c>
      <c r="AN17" t="s">
        <v>6740</v>
      </c>
      <c r="AO17" t="s">
        <v>68</v>
      </c>
      <c r="AQ17" t="s">
        <v>6741</v>
      </c>
      <c r="AR17" t="s">
        <v>6742</v>
      </c>
      <c r="AS17" t="s">
        <v>6743</v>
      </c>
      <c r="AV17" s="14" t="s">
        <v>72</v>
      </c>
      <c r="AW17" s="14" t="s">
        <v>73</v>
      </c>
      <c r="AX17" s="14" t="s">
        <v>1723</v>
      </c>
    </row>
    <row r="18" spans="1:50" ht="15" customHeight="1" x14ac:dyDescent="0.4">
      <c r="A18" s="12">
        <v>3908</v>
      </c>
      <c r="B18" s="21" t="s">
        <v>6744</v>
      </c>
      <c r="C18" s="13" t="s">
        <v>6745</v>
      </c>
      <c r="D18" s="25" t="s">
        <v>6745</v>
      </c>
      <c r="E18" s="13"/>
      <c r="F18" s="41"/>
      <c r="G18" s="65" t="s">
        <v>8185</v>
      </c>
      <c r="H18" s="14" t="s">
        <v>1752</v>
      </c>
      <c r="I18" s="15">
        <v>44803</v>
      </c>
      <c r="J18" t="s">
        <v>2719</v>
      </c>
      <c r="K18" t="s">
        <v>51</v>
      </c>
      <c r="L18" t="s">
        <v>52</v>
      </c>
      <c r="M18" t="s">
        <v>53</v>
      </c>
      <c r="N18" t="s">
        <v>6554</v>
      </c>
      <c r="O18" t="s">
        <v>6555</v>
      </c>
      <c r="P18" t="s">
        <v>56</v>
      </c>
      <c r="Q18" t="s">
        <v>6556</v>
      </c>
      <c r="R18" s="21" t="s">
        <v>6557</v>
      </c>
      <c r="S18" t="s">
        <v>6746</v>
      </c>
      <c r="T18" t="s">
        <v>6747</v>
      </c>
      <c r="X18" t="s">
        <v>1759</v>
      </c>
      <c r="Z18" s="15"/>
      <c r="AB18">
        <v>34.805413999999999</v>
      </c>
      <c r="AC18">
        <v>-92.324095999999997</v>
      </c>
      <c r="AD18" t="s">
        <v>6572</v>
      </c>
      <c r="AG18" t="s">
        <v>1715</v>
      </c>
      <c r="AH18" t="s">
        <v>63</v>
      </c>
      <c r="AI18" t="s">
        <v>6748</v>
      </c>
      <c r="AJ18">
        <v>193552</v>
      </c>
      <c r="AL18" t="s">
        <v>6749</v>
      </c>
      <c r="AM18" t="s">
        <v>6750</v>
      </c>
      <c r="AN18" t="s">
        <v>6751</v>
      </c>
      <c r="AO18" t="s">
        <v>68</v>
      </c>
      <c r="AQ18" t="s">
        <v>6752</v>
      </c>
      <c r="AR18" t="s">
        <v>6753</v>
      </c>
      <c r="AS18" t="s">
        <v>6754</v>
      </c>
      <c r="AV18" s="14" t="s">
        <v>72</v>
      </c>
      <c r="AW18" s="14" t="s">
        <v>73</v>
      </c>
      <c r="AX18" s="14" t="s">
        <v>1768</v>
      </c>
    </row>
    <row r="19" spans="1:50" ht="15" customHeight="1" x14ac:dyDescent="0.4">
      <c r="A19" s="12">
        <v>3909</v>
      </c>
      <c r="B19" s="21" t="s">
        <v>6755</v>
      </c>
      <c r="C19" s="13" t="s">
        <v>6756</v>
      </c>
      <c r="D19" s="25" t="s">
        <v>6756</v>
      </c>
      <c r="E19" s="13"/>
      <c r="F19" s="41"/>
      <c r="G19" s="65" t="s">
        <v>8185</v>
      </c>
      <c r="H19" s="14" t="s">
        <v>49</v>
      </c>
      <c r="I19" s="15">
        <v>44803</v>
      </c>
      <c r="J19" t="s">
        <v>2719</v>
      </c>
      <c r="K19" t="s">
        <v>51</v>
      </c>
      <c r="L19" t="s">
        <v>52</v>
      </c>
      <c r="M19" t="s">
        <v>53</v>
      </c>
      <c r="N19" t="s">
        <v>6554</v>
      </c>
      <c r="O19" t="s">
        <v>6555</v>
      </c>
      <c r="P19" t="s">
        <v>56</v>
      </c>
      <c r="Q19" t="s">
        <v>6556</v>
      </c>
      <c r="R19" s="21" t="s">
        <v>6557</v>
      </c>
      <c r="S19" t="s">
        <v>6757</v>
      </c>
      <c r="T19" t="s">
        <v>6758</v>
      </c>
      <c r="W19" t="s">
        <v>1758</v>
      </c>
      <c r="X19" t="s">
        <v>60</v>
      </c>
      <c r="Z19" s="15"/>
      <c r="AB19">
        <v>34.806089999999998</v>
      </c>
      <c r="AC19">
        <v>-92.323036000000002</v>
      </c>
      <c r="AD19" t="s">
        <v>6560</v>
      </c>
      <c r="AG19" t="s">
        <v>1715</v>
      </c>
      <c r="AH19" t="s">
        <v>63</v>
      </c>
      <c r="AI19" t="s">
        <v>6759</v>
      </c>
      <c r="AJ19">
        <v>194572</v>
      </c>
      <c r="AL19" t="s">
        <v>6760</v>
      </c>
      <c r="AM19" t="s">
        <v>6761</v>
      </c>
      <c r="AN19" t="s">
        <v>6762</v>
      </c>
      <c r="AO19" t="s">
        <v>68</v>
      </c>
      <c r="AQ19" t="s">
        <v>6763</v>
      </c>
      <c r="AR19" t="s">
        <v>6764</v>
      </c>
      <c r="AS19" t="s">
        <v>6765</v>
      </c>
      <c r="AV19" s="14" t="s">
        <v>72</v>
      </c>
      <c r="AW19" s="14" t="s">
        <v>73</v>
      </c>
      <c r="AX19" s="14" t="s">
        <v>74</v>
      </c>
    </row>
    <row r="20" spans="1:50" ht="15" customHeight="1" x14ac:dyDescent="0.4">
      <c r="A20" s="12">
        <v>3910</v>
      </c>
      <c r="B20" s="21" t="s">
        <v>6766</v>
      </c>
      <c r="C20" s="13" t="s">
        <v>6767</v>
      </c>
      <c r="D20" s="25" t="s">
        <v>6767</v>
      </c>
      <c r="E20" s="13"/>
      <c r="F20" s="41"/>
      <c r="G20" s="65" t="s">
        <v>8185</v>
      </c>
      <c r="H20" s="14" t="s">
        <v>2006</v>
      </c>
      <c r="I20" s="15">
        <v>44803</v>
      </c>
      <c r="J20" t="s">
        <v>2719</v>
      </c>
      <c r="K20" t="s">
        <v>51</v>
      </c>
      <c r="L20" t="s">
        <v>52</v>
      </c>
      <c r="M20" t="s">
        <v>53</v>
      </c>
      <c r="N20" t="s">
        <v>6554</v>
      </c>
      <c r="O20" t="s">
        <v>6555</v>
      </c>
      <c r="P20" t="s">
        <v>56</v>
      </c>
      <c r="Q20" t="s">
        <v>6556</v>
      </c>
      <c r="R20" s="21" t="s">
        <v>6557</v>
      </c>
      <c r="S20" t="s">
        <v>6768</v>
      </c>
      <c r="T20" t="s">
        <v>6769</v>
      </c>
      <c r="W20" t="s">
        <v>1758</v>
      </c>
      <c r="X20" t="s">
        <v>2009</v>
      </c>
      <c r="Z20" s="15"/>
      <c r="AB20">
        <v>34.806755000000003</v>
      </c>
      <c r="AC20">
        <v>-92.322327999999999</v>
      </c>
      <c r="AD20" t="s">
        <v>6770</v>
      </c>
      <c r="AG20" t="s">
        <v>1715</v>
      </c>
      <c r="AH20" t="s">
        <v>63</v>
      </c>
      <c r="AI20" t="s">
        <v>6771</v>
      </c>
      <c r="AJ20">
        <v>194237</v>
      </c>
      <c r="AL20" t="s">
        <v>6772</v>
      </c>
      <c r="AM20" t="s">
        <v>6773</v>
      </c>
      <c r="AN20" t="s">
        <v>6774</v>
      </c>
      <c r="AO20" t="s">
        <v>68</v>
      </c>
      <c r="AQ20" t="s">
        <v>6775</v>
      </c>
      <c r="AR20" t="s">
        <v>6776</v>
      </c>
      <c r="AS20" t="s">
        <v>6777</v>
      </c>
      <c r="AV20" s="14" t="s">
        <v>72</v>
      </c>
      <c r="AW20" s="14" t="s">
        <v>73</v>
      </c>
      <c r="AX20" s="14" t="s">
        <v>74</v>
      </c>
    </row>
    <row r="21" spans="1:50" ht="15" customHeight="1" x14ac:dyDescent="0.4">
      <c r="A21" s="12">
        <v>3911</v>
      </c>
      <c r="B21" s="21" t="s">
        <v>6778</v>
      </c>
      <c r="C21" s="13" t="s">
        <v>6779</v>
      </c>
      <c r="D21" s="25" t="s">
        <v>6779</v>
      </c>
      <c r="E21" s="13"/>
      <c r="F21" s="41"/>
      <c r="G21" s="65" t="s">
        <v>8185</v>
      </c>
      <c r="H21" s="14" t="s">
        <v>1878</v>
      </c>
      <c r="I21" s="15">
        <v>44803</v>
      </c>
      <c r="J21" t="s">
        <v>2719</v>
      </c>
      <c r="K21" t="s">
        <v>51</v>
      </c>
      <c r="L21" t="s">
        <v>52</v>
      </c>
      <c r="M21" t="s">
        <v>53</v>
      </c>
      <c r="N21" t="s">
        <v>6554</v>
      </c>
      <c r="O21" t="s">
        <v>6555</v>
      </c>
      <c r="P21" t="s">
        <v>56</v>
      </c>
      <c r="Q21" t="s">
        <v>6556</v>
      </c>
      <c r="R21" s="21" t="s">
        <v>6557</v>
      </c>
      <c r="S21" t="s">
        <v>6780</v>
      </c>
      <c r="T21" t="s">
        <v>6781</v>
      </c>
      <c r="X21" t="s">
        <v>1881</v>
      </c>
      <c r="Z21" s="15"/>
      <c r="AB21">
        <v>34.808943999999997</v>
      </c>
      <c r="AC21">
        <v>-92.326110999999997</v>
      </c>
      <c r="AD21" t="s">
        <v>6782</v>
      </c>
      <c r="AG21" t="s">
        <v>1715</v>
      </c>
      <c r="AH21" t="s">
        <v>63</v>
      </c>
      <c r="AI21" t="s">
        <v>6783</v>
      </c>
      <c r="AJ21">
        <v>194168</v>
      </c>
      <c r="AL21" t="s">
        <v>6784</v>
      </c>
      <c r="AM21" t="s">
        <v>6785</v>
      </c>
      <c r="AN21" t="s">
        <v>6786</v>
      </c>
      <c r="AO21" t="s">
        <v>68</v>
      </c>
      <c r="AQ21" t="s">
        <v>6787</v>
      </c>
      <c r="AR21" t="s">
        <v>6788</v>
      </c>
      <c r="AS21" t="s">
        <v>6789</v>
      </c>
      <c r="AV21" s="14" t="s">
        <v>72</v>
      </c>
      <c r="AW21" s="14" t="s">
        <v>73</v>
      </c>
      <c r="AX21" s="14" t="s">
        <v>1723</v>
      </c>
    </row>
    <row r="22" spans="1:50" ht="15" customHeight="1" x14ac:dyDescent="0.4">
      <c r="A22" s="12">
        <v>3912</v>
      </c>
      <c r="B22" s="21" t="s">
        <v>6790</v>
      </c>
      <c r="C22" s="13" t="s">
        <v>6791</v>
      </c>
      <c r="D22" s="25" t="s">
        <v>6791</v>
      </c>
      <c r="E22" s="13"/>
      <c r="F22" s="41"/>
      <c r="G22" s="65" t="s">
        <v>8185</v>
      </c>
      <c r="H22" s="14" t="s">
        <v>1878</v>
      </c>
      <c r="I22" s="15">
        <v>44803</v>
      </c>
      <c r="J22" t="s">
        <v>2719</v>
      </c>
      <c r="K22" t="s">
        <v>51</v>
      </c>
      <c r="L22" t="s">
        <v>52</v>
      </c>
      <c r="M22" t="s">
        <v>53</v>
      </c>
      <c r="N22" t="s">
        <v>6554</v>
      </c>
      <c r="O22" t="s">
        <v>6555</v>
      </c>
      <c r="P22" t="s">
        <v>56</v>
      </c>
      <c r="Q22" t="s">
        <v>6556</v>
      </c>
      <c r="R22" s="21" t="s">
        <v>6557</v>
      </c>
      <c r="S22" t="s">
        <v>6792</v>
      </c>
      <c r="T22" t="s">
        <v>6793</v>
      </c>
      <c r="X22" t="s">
        <v>1881</v>
      </c>
      <c r="Z22" s="15"/>
      <c r="AB22">
        <v>34.809268000000003</v>
      </c>
      <c r="AC22">
        <v>-92.327698999999996</v>
      </c>
      <c r="AD22" t="s">
        <v>6678</v>
      </c>
      <c r="AG22" t="s">
        <v>1715</v>
      </c>
      <c r="AH22" t="s">
        <v>63</v>
      </c>
      <c r="AI22" t="s">
        <v>6794</v>
      </c>
      <c r="AJ22">
        <v>194169</v>
      </c>
      <c r="AL22" t="s">
        <v>6795</v>
      </c>
      <c r="AM22" t="s">
        <v>6796</v>
      </c>
      <c r="AN22" t="s">
        <v>6797</v>
      </c>
      <c r="AO22" t="s">
        <v>68</v>
      </c>
      <c r="AQ22" t="s">
        <v>6798</v>
      </c>
      <c r="AR22" t="s">
        <v>6799</v>
      </c>
      <c r="AS22" t="s">
        <v>6800</v>
      </c>
      <c r="AV22" s="14" t="s">
        <v>72</v>
      </c>
      <c r="AW22" s="14" t="s">
        <v>73</v>
      </c>
      <c r="AX22" s="14" t="s">
        <v>1723</v>
      </c>
    </row>
    <row r="23" spans="1:50" ht="15" customHeight="1" x14ac:dyDescent="0.4">
      <c r="A23" s="12">
        <v>3541</v>
      </c>
      <c r="B23" s="21" t="s">
        <v>2432</v>
      </c>
      <c r="C23" s="13" t="s">
        <v>2433</v>
      </c>
      <c r="D23" s="25" t="s">
        <v>2433</v>
      </c>
      <c r="E23" s="13"/>
      <c r="F23" s="41"/>
      <c r="G23" s="65" t="s">
        <v>8185</v>
      </c>
      <c r="H23" s="14" t="s">
        <v>49</v>
      </c>
      <c r="I23" s="15">
        <v>44720</v>
      </c>
      <c r="J23" t="s">
        <v>2434</v>
      </c>
      <c r="K23" t="s">
        <v>51</v>
      </c>
      <c r="L23" t="s">
        <v>52</v>
      </c>
      <c r="M23" t="s">
        <v>53</v>
      </c>
      <c r="N23" t="s">
        <v>2435</v>
      </c>
      <c r="O23" t="s">
        <v>2436</v>
      </c>
      <c r="P23" t="s">
        <v>56</v>
      </c>
      <c r="Q23" s="21" t="s">
        <v>2437</v>
      </c>
      <c r="R23" s="21"/>
      <c r="S23" t="s">
        <v>2438</v>
      </c>
      <c r="T23" t="s">
        <v>2439</v>
      </c>
      <c r="W23" t="s">
        <v>2440</v>
      </c>
      <c r="X23" t="s">
        <v>60</v>
      </c>
      <c r="Z23" s="15"/>
      <c r="AB23">
        <v>42.031072379999998</v>
      </c>
      <c r="AC23">
        <v>-93.630173009999993</v>
      </c>
      <c r="AG23" t="s">
        <v>1715</v>
      </c>
      <c r="AH23" t="s">
        <v>63</v>
      </c>
      <c r="AI23" t="s">
        <v>2441</v>
      </c>
      <c r="AJ23">
        <v>192666</v>
      </c>
      <c r="AL23" t="s">
        <v>2442</v>
      </c>
      <c r="AM23" t="s">
        <v>2443</v>
      </c>
      <c r="AN23" t="s">
        <v>2444</v>
      </c>
      <c r="AO23" t="s">
        <v>68</v>
      </c>
      <c r="AQ23" t="s">
        <v>2445</v>
      </c>
      <c r="AR23" t="s">
        <v>2446</v>
      </c>
      <c r="AS23" t="s">
        <v>2447</v>
      </c>
      <c r="AV23" s="14" t="s">
        <v>72</v>
      </c>
      <c r="AW23" s="14" t="s">
        <v>73</v>
      </c>
      <c r="AX23" s="14" t="s">
        <v>74</v>
      </c>
    </row>
    <row r="24" spans="1:50" ht="15" customHeight="1" x14ac:dyDescent="0.4">
      <c r="A24" s="12">
        <v>3542</v>
      </c>
      <c r="B24" s="21" t="s">
        <v>2448</v>
      </c>
      <c r="C24" s="13" t="s">
        <v>2449</v>
      </c>
      <c r="D24" s="25" t="s">
        <v>2449</v>
      </c>
      <c r="E24" s="13"/>
      <c r="F24" s="41"/>
      <c r="G24" s="65" t="s">
        <v>8185</v>
      </c>
      <c r="H24" s="14" t="s">
        <v>49</v>
      </c>
      <c r="I24" s="15">
        <v>44720</v>
      </c>
      <c r="J24" t="s">
        <v>2434</v>
      </c>
      <c r="K24" t="s">
        <v>51</v>
      </c>
      <c r="L24" t="s">
        <v>52</v>
      </c>
      <c r="M24" t="s">
        <v>53</v>
      </c>
      <c r="N24" t="s">
        <v>2435</v>
      </c>
      <c r="O24" t="s">
        <v>2436</v>
      </c>
      <c r="P24" t="s">
        <v>56</v>
      </c>
      <c r="Q24" s="21" t="s">
        <v>2437</v>
      </c>
      <c r="R24" s="21"/>
      <c r="S24" t="s">
        <v>2450</v>
      </c>
      <c r="T24" t="s">
        <v>2451</v>
      </c>
      <c r="W24" t="s">
        <v>2452</v>
      </c>
      <c r="X24" t="s">
        <v>60</v>
      </c>
      <c r="Z24" s="15"/>
      <c r="AB24">
        <v>42.03371379</v>
      </c>
      <c r="AC24">
        <v>-93.630409979999996</v>
      </c>
      <c r="AG24" t="s">
        <v>1715</v>
      </c>
      <c r="AH24" t="s">
        <v>63</v>
      </c>
      <c r="AI24" t="s">
        <v>2453</v>
      </c>
      <c r="AJ24">
        <v>192663</v>
      </c>
      <c r="AL24" t="s">
        <v>2454</v>
      </c>
      <c r="AM24" t="s">
        <v>2455</v>
      </c>
      <c r="AN24" t="s">
        <v>2456</v>
      </c>
      <c r="AO24" t="s">
        <v>68</v>
      </c>
      <c r="AQ24" t="s">
        <v>2457</v>
      </c>
      <c r="AR24" t="s">
        <v>2458</v>
      </c>
      <c r="AS24" t="s">
        <v>2459</v>
      </c>
      <c r="AV24" s="14" t="s">
        <v>72</v>
      </c>
      <c r="AW24" s="14" t="s">
        <v>73</v>
      </c>
      <c r="AX24" s="14" t="s">
        <v>74</v>
      </c>
    </row>
    <row r="25" spans="1:50" ht="15" customHeight="1" x14ac:dyDescent="0.4">
      <c r="A25" s="12">
        <v>3543</v>
      </c>
      <c r="B25" s="21" t="s">
        <v>2460</v>
      </c>
      <c r="C25" s="13" t="s">
        <v>2461</v>
      </c>
      <c r="D25" s="25" t="s">
        <v>2461</v>
      </c>
      <c r="E25" s="13"/>
      <c r="F25" s="41"/>
      <c r="G25" s="65" t="s">
        <v>8185</v>
      </c>
      <c r="H25" s="14" t="s">
        <v>49</v>
      </c>
      <c r="I25" s="15">
        <v>44720</v>
      </c>
      <c r="J25" t="s">
        <v>2434</v>
      </c>
      <c r="K25" t="s">
        <v>51</v>
      </c>
      <c r="L25" t="s">
        <v>52</v>
      </c>
      <c r="M25" t="s">
        <v>53</v>
      </c>
      <c r="N25" t="s">
        <v>2435</v>
      </c>
      <c r="O25" t="s">
        <v>2436</v>
      </c>
      <c r="P25" t="s">
        <v>56</v>
      </c>
      <c r="Q25" s="21" t="s">
        <v>2437</v>
      </c>
      <c r="R25" s="21"/>
      <c r="S25" t="s">
        <v>2462</v>
      </c>
      <c r="T25" t="s">
        <v>2463</v>
      </c>
      <c r="X25" t="s">
        <v>60</v>
      </c>
      <c r="Z25" s="15"/>
      <c r="AB25">
        <v>42.034319250000003</v>
      </c>
      <c r="AC25">
        <v>-93.630245009999996</v>
      </c>
      <c r="AG25" t="s">
        <v>1715</v>
      </c>
      <c r="AH25" t="s">
        <v>63</v>
      </c>
      <c r="AI25" t="s">
        <v>2464</v>
      </c>
      <c r="AJ25">
        <v>194191</v>
      </c>
      <c r="AL25" t="s">
        <v>2465</v>
      </c>
      <c r="AM25" t="s">
        <v>2466</v>
      </c>
      <c r="AN25" t="s">
        <v>2467</v>
      </c>
      <c r="AO25" t="s">
        <v>68</v>
      </c>
      <c r="AQ25" t="s">
        <v>2468</v>
      </c>
      <c r="AR25" t="s">
        <v>2469</v>
      </c>
      <c r="AS25" t="s">
        <v>2470</v>
      </c>
      <c r="AV25" s="14" t="s">
        <v>72</v>
      </c>
      <c r="AW25" s="14" t="s">
        <v>73</v>
      </c>
      <c r="AX25" s="14" t="s">
        <v>74</v>
      </c>
    </row>
    <row r="26" spans="1:50" ht="15" customHeight="1" x14ac:dyDescent="0.4">
      <c r="A26" s="12">
        <v>3544</v>
      </c>
      <c r="B26" s="21" t="s">
        <v>2471</v>
      </c>
      <c r="C26" s="13" t="s">
        <v>2472</v>
      </c>
      <c r="D26" s="25" t="s">
        <v>2472</v>
      </c>
      <c r="E26" s="13"/>
      <c r="F26" s="41"/>
      <c r="G26" s="65" t="s">
        <v>8185</v>
      </c>
      <c r="H26" s="14" t="s">
        <v>49</v>
      </c>
      <c r="I26" s="15">
        <v>44720</v>
      </c>
      <c r="J26" t="s">
        <v>2434</v>
      </c>
      <c r="K26" t="s">
        <v>51</v>
      </c>
      <c r="L26" t="s">
        <v>52</v>
      </c>
      <c r="M26" t="s">
        <v>53</v>
      </c>
      <c r="N26" t="s">
        <v>2435</v>
      </c>
      <c r="O26" t="s">
        <v>2436</v>
      </c>
      <c r="P26" t="s">
        <v>56</v>
      </c>
      <c r="Q26" s="21" t="s">
        <v>2437</v>
      </c>
      <c r="R26" s="21"/>
      <c r="S26" t="s">
        <v>2473</v>
      </c>
      <c r="T26" t="s">
        <v>2474</v>
      </c>
      <c r="X26" t="s">
        <v>60</v>
      </c>
      <c r="Z26" s="15"/>
      <c r="AB26">
        <v>42.029397359999997</v>
      </c>
      <c r="AC26">
        <v>-93.628202259999995</v>
      </c>
      <c r="AG26" t="s">
        <v>1715</v>
      </c>
      <c r="AH26" t="s">
        <v>63</v>
      </c>
      <c r="AI26" t="s">
        <v>2475</v>
      </c>
      <c r="AJ26">
        <v>194192</v>
      </c>
      <c r="AL26" t="s">
        <v>2476</v>
      </c>
      <c r="AM26" t="s">
        <v>2477</v>
      </c>
      <c r="AN26" t="s">
        <v>2478</v>
      </c>
      <c r="AO26" t="s">
        <v>68</v>
      </c>
      <c r="AQ26" t="s">
        <v>2479</v>
      </c>
      <c r="AR26" t="s">
        <v>2480</v>
      </c>
      <c r="AS26" t="s">
        <v>2481</v>
      </c>
      <c r="AV26" s="14" t="s">
        <v>72</v>
      </c>
      <c r="AW26" s="14" t="s">
        <v>73</v>
      </c>
      <c r="AX26" s="14" t="s">
        <v>74</v>
      </c>
    </row>
    <row r="27" spans="1:50" ht="15" customHeight="1" x14ac:dyDescent="0.4">
      <c r="A27" s="12">
        <v>3545</v>
      </c>
      <c r="B27" s="21" t="s">
        <v>2482</v>
      </c>
      <c r="C27" s="13" t="s">
        <v>2483</v>
      </c>
      <c r="D27" s="25" t="s">
        <v>2483</v>
      </c>
      <c r="E27" s="13"/>
      <c r="F27" s="41"/>
      <c r="G27" s="65" t="s">
        <v>8185</v>
      </c>
      <c r="H27" s="14" t="s">
        <v>49</v>
      </c>
      <c r="I27" s="15">
        <v>44720</v>
      </c>
      <c r="J27" t="s">
        <v>2434</v>
      </c>
      <c r="K27" t="s">
        <v>51</v>
      </c>
      <c r="L27" t="s">
        <v>52</v>
      </c>
      <c r="M27" t="s">
        <v>53</v>
      </c>
      <c r="N27" t="s">
        <v>2435</v>
      </c>
      <c r="O27" t="s">
        <v>2436</v>
      </c>
      <c r="P27" t="s">
        <v>56</v>
      </c>
      <c r="Q27" s="21" t="s">
        <v>2437</v>
      </c>
      <c r="R27" s="21"/>
      <c r="S27" t="s">
        <v>2438</v>
      </c>
      <c r="T27" t="s">
        <v>2484</v>
      </c>
      <c r="X27" t="s">
        <v>60</v>
      </c>
      <c r="Z27" s="15"/>
      <c r="AB27">
        <v>42.028730779999997</v>
      </c>
      <c r="AC27">
        <v>-93.628244769999995</v>
      </c>
      <c r="AG27" t="s">
        <v>1715</v>
      </c>
      <c r="AH27" t="s">
        <v>63</v>
      </c>
      <c r="AI27" t="s">
        <v>2485</v>
      </c>
      <c r="AJ27">
        <v>194193</v>
      </c>
      <c r="AL27" t="s">
        <v>2486</v>
      </c>
      <c r="AM27" t="s">
        <v>2487</v>
      </c>
      <c r="AN27" t="s">
        <v>2488</v>
      </c>
      <c r="AO27" t="s">
        <v>68</v>
      </c>
      <c r="AQ27" t="s">
        <v>2489</v>
      </c>
      <c r="AR27" t="s">
        <v>2490</v>
      </c>
      <c r="AS27" t="s">
        <v>2491</v>
      </c>
      <c r="AV27" s="14" t="s">
        <v>72</v>
      </c>
      <c r="AW27" s="14" t="s">
        <v>73</v>
      </c>
      <c r="AX27" s="14" t="s">
        <v>74</v>
      </c>
    </row>
    <row r="28" spans="1:50" ht="15" customHeight="1" x14ac:dyDescent="0.4">
      <c r="A28" s="12">
        <v>3561</v>
      </c>
      <c r="B28" s="21" t="s">
        <v>2660</v>
      </c>
      <c r="C28" s="13" t="s">
        <v>2661</v>
      </c>
      <c r="D28" s="25" t="s">
        <v>2661</v>
      </c>
      <c r="E28" s="13"/>
      <c r="F28" s="41"/>
      <c r="G28" s="65" t="s">
        <v>8185</v>
      </c>
      <c r="H28" s="14" t="s">
        <v>49</v>
      </c>
      <c r="I28" s="15">
        <v>44721</v>
      </c>
      <c r="J28" t="s">
        <v>2434</v>
      </c>
      <c r="K28" t="s">
        <v>51</v>
      </c>
      <c r="L28" t="s">
        <v>52</v>
      </c>
      <c r="M28" t="s">
        <v>53</v>
      </c>
      <c r="N28" t="s">
        <v>2435</v>
      </c>
      <c r="O28" t="s">
        <v>2662</v>
      </c>
      <c r="P28" t="s">
        <v>56</v>
      </c>
      <c r="Q28" s="21" t="s">
        <v>2663</v>
      </c>
      <c r="R28" s="21"/>
      <c r="S28" t="s">
        <v>2664</v>
      </c>
      <c r="T28" t="s">
        <v>2665</v>
      </c>
      <c r="W28" t="s">
        <v>2666</v>
      </c>
      <c r="X28" t="s">
        <v>60</v>
      </c>
      <c r="Z28" s="15"/>
      <c r="AB28">
        <v>41.9747171319</v>
      </c>
      <c r="AC28">
        <v>-91.721692700000006</v>
      </c>
      <c r="AG28" t="s">
        <v>1715</v>
      </c>
      <c r="AH28" t="s">
        <v>63</v>
      </c>
      <c r="AI28" t="s">
        <v>2667</v>
      </c>
      <c r="AJ28">
        <v>194196</v>
      </c>
      <c r="AL28" t="s">
        <v>2668</v>
      </c>
      <c r="AM28" t="s">
        <v>2669</v>
      </c>
      <c r="AN28" t="s">
        <v>2670</v>
      </c>
      <c r="AO28" t="s">
        <v>68</v>
      </c>
      <c r="AQ28" t="s">
        <v>2671</v>
      </c>
      <c r="AR28" t="s">
        <v>2672</v>
      </c>
      <c r="AS28" t="s">
        <v>2673</v>
      </c>
      <c r="AV28" s="14" t="s">
        <v>72</v>
      </c>
      <c r="AW28" s="14" t="s">
        <v>73</v>
      </c>
      <c r="AX28" s="14" t="s">
        <v>74</v>
      </c>
    </row>
    <row r="29" spans="1:50" ht="15" customHeight="1" x14ac:dyDescent="0.4">
      <c r="A29" s="12">
        <v>3562</v>
      </c>
      <c r="B29" s="21" t="s">
        <v>2674</v>
      </c>
      <c r="C29" s="13" t="s">
        <v>2675</v>
      </c>
      <c r="D29" s="25" t="s">
        <v>2675</v>
      </c>
      <c r="E29" s="13"/>
      <c r="F29" s="41"/>
      <c r="G29" s="65" t="s">
        <v>8185</v>
      </c>
      <c r="H29" s="14" t="s">
        <v>49</v>
      </c>
      <c r="I29" s="15">
        <v>44721</v>
      </c>
      <c r="J29" t="s">
        <v>2434</v>
      </c>
      <c r="K29" t="s">
        <v>51</v>
      </c>
      <c r="L29" t="s">
        <v>52</v>
      </c>
      <c r="M29" t="s">
        <v>53</v>
      </c>
      <c r="N29" t="s">
        <v>2435</v>
      </c>
      <c r="O29" t="s">
        <v>2662</v>
      </c>
      <c r="P29" t="s">
        <v>56</v>
      </c>
      <c r="Q29" s="21" t="s">
        <v>2663</v>
      </c>
      <c r="R29" s="21"/>
      <c r="S29" t="s">
        <v>2676</v>
      </c>
      <c r="T29" t="s">
        <v>2677</v>
      </c>
      <c r="W29" t="s">
        <v>2666</v>
      </c>
      <c r="X29" t="s">
        <v>60</v>
      </c>
      <c r="Z29" s="15"/>
      <c r="AB29">
        <v>41.973659062599999</v>
      </c>
      <c r="AC29">
        <v>-91.725383465099995</v>
      </c>
      <c r="AG29" t="s">
        <v>1715</v>
      </c>
      <c r="AH29" t="s">
        <v>63</v>
      </c>
      <c r="AI29" t="s">
        <v>2678</v>
      </c>
      <c r="AJ29">
        <v>194197</v>
      </c>
      <c r="AL29" t="s">
        <v>2679</v>
      </c>
      <c r="AM29" t="s">
        <v>2680</v>
      </c>
      <c r="AN29" t="s">
        <v>2681</v>
      </c>
      <c r="AO29" t="s">
        <v>68</v>
      </c>
      <c r="AQ29" t="s">
        <v>2682</v>
      </c>
      <c r="AR29" t="s">
        <v>2683</v>
      </c>
      <c r="AS29" t="s">
        <v>2684</v>
      </c>
      <c r="AV29" s="14" t="s">
        <v>72</v>
      </c>
      <c r="AW29" s="14" t="s">
        <v>73</v>
      </c>
      <c r="AX29" s="14" t="s">
        <v>74</v>
      </c>
    </row>
    <row r="30" spans="1:50" ht="15" customHeight="1" x14ac:dyDescent="0.4">
      <c r="A30" s="12">
        <v>3563</v>
      </c>
      <c r="B30" s="21" t="s">
        <v>2685</v>
      </c>
      <c r="C30" s="13" t="s">
        <v>2686</v>
      </c>
      <c r="D30" s="25" t="s">
        <v>2686</v>
      </c>
      <c r="E30" s="13"/>
      <c r="F30" s="41" t="s">
        <v>2222</v>
      </c>
      <c r="G30" s="65" t="s">
        <v>8183</v>
      </c>
      <c r="H30" s="14" t="s">
        <v>2222</v>
      </c>
      <c r="I30" s="15">
        <v>44721</v>
      </c>
      <c r="J30" t="s">
        <v>2434</v>
      </c>
      <c r="K30" t="s">
        <v>51</v>
      </c>
      <c r="L30" t="s">
        <v>52</v>
      </c>
      <c r="M30" t="s">
        <v>53</v>
      </c>
      <c r="N30" t="s">
        <v>2435</v>
      </c>
      <c r="O30" t="s">
        <v>2662</v>
      </c>
      <c r="P30" t="s">
        <v>56</v>
      </c>
      <c r="Q30" s="21" t="s">
        <v>2663</v>
      </c>
      <c r="R30" s="21"/>
      <c r="S30" t="s">
        <v>2676</v>
      </c>
      <c r="T30" t="s">
        <v>2687</v>
      </c>
      <c r="W30" t="s">
        <v>1758</v>
      </c>
      <c r="X30" t="s">
        <v>2225</v>
      </c>
      <c r="Z30" s="15"/>
      <c r="AB30">
        <v>41.973334453100001</v>
      </c>
      <c r="AC30">
        <v>-91.724763996999997</v>
      </c>
      <c r="AG30" t="s">
        <v>1715</v>
      </c>
      <c r="AH30" t="s">
        <v>63</v>
      </c>
      <c r="AI30" t="s">
        <v>2688</v>
      </c>
      <c r="AJ30">
        <v>192564</v>
      </c>
      <c r="AL30" t="s">
        <v>2689</v>
      </c>
      <c r="AM30" t="s">
        <v>2690</v>
      </c>
      <c r="AN30" t="s">
        <v>2691</v>
      </c>
      <c r="AO30" t="s">
        <v>68</v>
      </c>
      <c r="AQ30" t="s">
        <v>2692</v>
      </c>
      <c r="AR30" t="s">
        <v>2693</v>
      </c>
      <c r="AS30" t="s">
        <v>2694</v>
      </c>
      <c r="AV30" s="14" t="s">
        <v>72</v>
      </c>
      <c r="AW30" s="14" t="s">
        <v>73</v>
      </c>
      <c r="AX30" s="14" t="s">
        <v>74</v>
      </c>
    </row>
    <row r="31" spans="1:50" ht="15" customHeight="1" x14ac:dyDescent="0.4">
      <c r="A31" s="12">
        <v>3564</v>
      </c>
      <c r="B31" s="21" t="s">
        <v>2695</v>
      </c>
      <c r="C31" s="13" t="s">
        <v>2696</v>
      </c>
      <c r="D31" s="25" t="s">
        <v>2696</v>
      </c>
      <c r="E31" s="13"/>
      <c r="F31" s="41"/>
      <c r="G31" s="65" t="s">
        <v>8185</v>
      </c>
      <c r="H31" s="14" t="s">
        <v>49</v>
      </c>
      <c r="I31" s="15">
        <v>44721</v>
      </c>
      <c r="J31" t="s">
        <v>2434</v>
      </c>
      <c r="K31" t="s">
        <v>51</v>
      </c>
      <c r="L31" t="s">
        <v>52</v>
      </c>
      <c r="M31" t="s">
        <v>53</v>
      </c>
      <c r="N31" t="s">
        <v>2435</v>
      </c>
      <c r="O31" t="s">
        <v>2662</v>
      </c>
      <c r="P31" t="s">
        <v>56</v>
      </c>
      <c r="Q31" s="21" t="s">
        <v>2663</v>
      </c>
      <c r="R31" s="21"/>
      <c r="S31" t="s">
        <v>2697</v>
      </c>
      <c r="T31" t="s">
        <v>2698</v>
      </c>
      <c r="X31" t="s">
        <v>60</v>
      </c>
      <c r="Z31" s="15"/>
      <c r="AB31">
        <v>41.973905999999999</v>
      </c>
      <c r="AC31">
        <v>-91.722928999999993</v>
      </c>
      <c r="AD31" t="s">
        <v>1087</v>
      </c>
      <c r="AG31" t="s">
        <v>1715</v>
      </c>
      <c r="AH31" t="s">
        <v>63</v>
      </c>
      <c r="AI31" t="s">
        <v>2699</v>
      </c>
      <c r="AJ31">
        <v>194198</v>
      </c>
      <c r="AL31" t="s">
        <v>2700</v>
      </c>
      <c r="AM31" t="s">
        <v>2701</v>
      </c>
      <c r="AN31" t="s">
        <v>2702</v>
      </c>
      <c r="AO31" t="s">
        <v>68</v>
      </c>
      <c r="AQ31" t="s">
        <v>2703</v>
      </c>
      <c r="AR31" t="s">
        <v>2704</v>
      </c>
      <c r="AS31" t="s">
        <v>2705</v>
      </c>
      <c r="AV31" s="14" t="s">
        <v>72</v>
      </c>
      <c r="AW31" s="14" t="s">
        <v>73</v>
      </c>
      <c r="AX31" s="14" t="s">
        <v>74</v>
      </c>
    </row>
    <row r="32" spans="1:50" ht="15" customHeight="1" x14ac:dyDescent="0.4">
      <c r="A32" s="12">
        <v>3565</v>
      </c>
      <c r="B32" s="21" t="s">
        <v>2706</v>
      </c>
      <c r="C32" s="13" t="s">
        <v>2707</v>
      </c>
      <c r="D32" s="25" t="s">
        <v>2707</v>
      </c>
      <c r="E32" s="13"/>
      <c r="F32" s="41"/>
      <c r="G32" s="65" t="s">
        <v>8185</v>
      </c>
      <c r="H32" s="14" t="s">
        <v>49</v>
      </c>
      <c r="I32" s="15">
        <v>44721</v>
      </c>
      <c r="J32" t="s">
        <v>2434</v>
      </c>
      <c r="K32" t="s">
        <v>51</v>
      </c>
      <c r="L32" t="s">
        <v>52</v>
      </c>
      <c r="M32" t="s">
        <v>53</v>
      </c>
      <c r="N32" t="s">
        <v>2435</v>
      </c>
      <c r="O32" t="s">
        <v>2662</v>
      </c>
      <c r="P32" t="s">
        <v>56</v>
      </c>
      <c r="Q32" s="21" t="s">
        <v>2663</v>
      </c>
      <c r="R32" s="21"/>
      <c r="S32" t="s">
        <v>2697</v>
      </c>
      <c r="T32" t="s">
        <v>2708</v>
      </c>
      <c r="W32" t="s">
        <v>2321</v>
      </c>
      <c r="X32" t="s">
        <v>60</v>
      </c>
      <c r="Z32" s="15"/>
      <c r="AB32">
        <v>41.983480999999998</v>
      </c>
      <c r="AC32">
        <v>-91.797434999999993</v>
      </c>
      <c r="AD32" t="s">
        <v>2709</v>
      </c>
      <c r="AG32" t="s">
        <v>1715</v>
      </c>
      <c r="AH32" t="s">
        <v>63</v>
      </c>
      <c r="AI32" t="s">
        <v>2710</v>
      </c>
      <c r="AJ32">
        <v>194199</v>
      </c>
      <c r="AL32" t="s">
        <v>2711</v>
      </c>
      <c r="AM32" t="s">
        <v>2712</v>
      </c>
      <c r="AN32" t="s">
        <v>2713</v>
      </c>
      <c r="AO32" t="s">
        <v>68</v>
      </c>
      <c r="AQ32" t="s">
        <v>2714</v>
      </c>
      <c r="AR32" t="s">
        <v>2715</v>
      </c>
      <c r="AS32" t="s">
        <v>2716</v>
      </c>
      <c r="AV32" s="14" t="s">
        <v>72</v>
      </c>
      <c r="AW32" s="14" t="s">
        <v>73</v>
      </c>
      <c r="AX32" s="14" t="s">
        <v>74</v>
      </c>
    </row>
    <row r="33" spans="1:50" ht="15" customHeight="1" x14ac:dyDescent="0.4">
      <c r="A33" s="12">
        <v>3546</v>
      </c>
      <c r="B33" s="21" t="s">
        <v>2492</v>
      </c>
      <c r="C33" s="13" t="s">
        <v>2493</v>
      </c>
      <c r="D33" s="25" t="s">
        <v>2493</v>
      </c>
      <c r="E33" s="13"/>
      <c r="F33" s="41"/>
      <c r="G33" s="65" t="s">
        <v>8185</v>
      </c>
      <c r="H33" s="14" t="s">
        <v>1878</v>
      </c>
      <c r="I33" s="15">
        <v>44721</v>
      </c>
      <c r="J33" t="s">
        <v>2434</v>
      </c>
      <c r="K33" t="s">
        <v>51</v>
      </c>
      <c r="L33" t="s">
        <v>52</v>
      </c>
      <c r="M33" t="s">
        <v>53</v>
      </c>
      <c r="N33" t="s">
        <v>2435</v>
      </c>
      <c r="O33" t="s">
        <v>2494</v>
      </c>
      <c r="P33" t="s">
        <v>56</v>
      </c>
      <c r="Q33" s="21" t="s">
        <v>2495</v>
      </c>
      <c r="R33" s="21"/>
      <c r="S33" t="s">
        <v>2496</v>
      </c>
      <c r="T33">
        <v>0</v>
      </c>
      <c r="X33" t="s">
        <v>1881</v>
      </c>
      <c r="Z33" s="15"/>
      <c r="AB33">
        <v>40.710377000000001</v>
      </c>
      <c r="AC33">
        <v>-91.797389440000003</v>
      </c>
      <c r="AG33" t="s">
        <v>1715</v>
      </c>
      <c r="AH33" t="s">
        <v>63</v>
      </c>
      <c r="AI33" t="s">
        <v>2497</v>
      </c>
      <c r="AJ33">
        <v>193753</v>
      </c>
      <c r="AL33" t="s">
        <v>2498</v>
      </c>
      <c r="AM33" t="s">
        <v>2499</v>
      </c>
      <c r="AN33" t="s">
        <v>2500</v>
      </c>
      <c r="AO33" t="s">
        <v>68</v>
      </c>
      <c r="AQ33" t="s">
        <v>2501</v>
      </c>
      <c r="AR33" t="s">
        <v>2502</v>
      </c>
      <c r="AS33" t="s">
        <v>2503</v>
      </c>
      <c r="AV33" s="14" t="s">
        <v>72</v>
      </c>
      <c r="AW33" s="14" t="s">
        <v>73</v>
      </c>
      <c r="AX33" s="14" t="s">
        <v>1723</v>
      </c>
    </row>
    <row r="34" spans="1:50" ht="15" customHeight="1" x14ac:dyDescent="0.4">
      <c r="A34" s="12">
        <v>3547</v>
      </c>
      <c r="B34" s="21" t="s">
        <v>2504</v>
      </c>
      <c r="C34" s="13" t="s">
        <v>2505</v>
      </c>
      <c r="D34" s="25" t="s">
        <v>2505</v>
      </c>
      <c r="E34" s="13"/>
      <c r="F34" s="41"/>
      <c r="G34" s="65" t="s">
        <v>8185</v>
      </c>
      <c r="H34" s="14" t="s">
        <v>1878</v>
      </c>
      <c r="I34" s="15">
        <v>44721</v>
      </c>
      <c r="J34" t="s">
        <v>2434</v>
      </c>
      <c r="K34" t="s">
        <v>51</v>
      </c>
      <c r="L34" t="s">
        <v>52</v>
      </c>
      <c r="M34" t="s">
        <v>53</v>
      </c>
      <c r="N34" t="s">
        <v>2435</v>
      </c>
      <c r="O34" t="s">
        <v>2494</v>
      </c>
      <c r="P34" t="s">
        <v>56</v>
      </c>
      <c r="Q34" s="21" t="s">
        <v>2495</v>
      </c>
      <c r="R34" s="21"/>
      <c r="S34" t="s">
        <v>2506</v>
      </c>
      <c r="T34" t="s">
        <v>2507</v>
      </c>
      <c r="X34" t="s">
        <v>1881</v>
      </c>
      <c r="Z34" s="15"/>
      <c r="AB34">
        <v>40.709859000000002</v>
      </c>
      <c r="AC34">
        <v>-91.796244999999999</v>
      </c>
      <c r="AG34" t="s">
        <v>1715</v>
      </c>
      <c r="AH34" t="s">
        <v>63</v>
      </c>
      <c r="AI34" t="s">
        <v>2508</v>
      </c>
      <c r="AJ34">
        <v>193755</v>
      </c>
      <c r="AL34" t="s">
        <v>2509</v>
      </c>
      <c r="AM34" t="s">
        <v>2510</v>
      </c>
      <c r="AN34" t="s">
        <v>2511</v>
      </c>
      <c r="AO34" t="s">
        <v>68</v>
      </c>
      <c r="AQ34" t="s">
        <v>2512</v>
      </c>
      <c r="AR34" t="s">
        <v>2513</v>
      </c>
      <c r="AS34" t="s">
        <v>2514</v>
      </c>
      <c r="AV34" s="14" t="s">
        <v>72</v>
      </c>
      <c r="AW34" s="14" t="s">
        <v>73</v>
      </c>
      <c r="AX34" s="14" t="s">
        <v>1723</v>
      </c>
    </row>
    <row r="35" spans="1:50" ht="15" customHeight="1" x14ac:dyDescent="0.4">
      <c r="A35" s="12">
        <v>3548</v>
      </c>
      <c r="B35" s="21" t="s">
        <v>2515</v>
      </c>
      <c r="C35" s="13" t="s">
        <v>2516</v>
      </c>
      <c r="D35" s="25" t="s">
        <v>2516</v>
      </c>
      <c r="E35" s="13"/>
      <c r="F35" s="41"/>
      <c r="G35" s="65" t="s">
        <v>8185</v>
      </c>
      <c r="H35" s="14" t="s">
        <v>1878</v>
      </c>
      <c r="I35" s="15">
        <v>44721</v>
      </c>
      <c r="J35" t="s">
        <v>2434</v>
      </c>
      <c r="K35" t="s">
        <v>51</v>
      </c>
      <c r="L35" t="s">
        <v>52</v>
      </c>
      <c r="M35" t="s">
        <v>53</v>
      </c>
      <c r="N35" t="s">
        <v>2435</v>
      </c>
      <c r="O35" t="s">
        <v>2494</v>
      </c>
      <c r="P35" t="s">
        <v>56</v>
      </c>
      <c r="Q35" s="21" t="s">
        <v>2495</v>
      </c>
      <c r="R35" s="21"/>
      <c r="S35" t="s">
        <v>2517</v>
      </c>
      <c r="T35" t="s">
        <v>2518</v>
      </c>
      <c r="X35" t="s">
        <v>1881</v>
      </c>
      <c r="Z35" s="15"/>
      <c r="AB35">
        <v>40.710200999999998</v>
      </c>
      <c r="AC35">
        <v>-91.794681999999995</v>
      </c>
      <c r="AF35" s="61"/>
      <c r="AG35" t="s">
        <v>1715</v>
      </c>
      <c r="AH35" t="s">
        <v>63</v>
      </c>
      <c r="AI35" t="s">
        <v>2519</v>
      </c>
      <c r="AJ35">
        <v>192540</v>
      </c>
      <c r="AL35" t="s">
        <v>2520</v>
      </c>
      <c r="AM35" t="s">
        <v>2521</v>
      </c>
      <c r="AN35" t="s">
        <v>2522</v>
      </c>
      <c r="AO35" t="s">
        <v>68</v>
      </c>
      <c r="AQ35" t="s">
        <v>2523</v>
      </c>
      <c r="AR35" t="s">
        <v>2524</v>
      </c>
      <c r="AS35" t="s">
        <v>2525</v>
      </c>
      <c r="AV35" s="14" t="s">
        <v>72</v>
      </c>
      <c r="AW35" s="14" t="s">
        <v>73</v>
      </c>
      <c r="AX35" s="14" t="s">
        <v>1723</v>
      </c>
    </row>
    <row r="36" spans="1:50" ht="15" customHeight="1" x14ac:dyDescent="0.4">
      <c r="A36" s="12">
        <v>3549</v>
      </c>
      <c r="B36" s="21" t="s">
        <v>2526</v>
      </c>
      <c r="C36" s="13" t="s">
        <v>2527</v>
      </c>
      <c r="D36" s="25" t="s">
        <v>2527</v>
      </c>
      <c r="E36" s="13"/>
      <c r="F36" s="41"/>
      <c r="G36" s="65" t="s">
        <v>8185</v>
      </c>
      <c r="H36" s="14" t="s">
        <v>1878</v>
      </c>
      <c r="I36" s="15">
        <v>44721</v>
      </c>
      <c r="J36" t="s">
        <v>2434</v>
      </c>
      <c r="K36" t="s">
        <v>51</v>
      </c>
      <c r="L36" t="s">
        <v>52</v>
      </c>
      <c r="M36" t="s">
        <v>53</v>
      </c>
      <c r="N36" t="s">
        <v>2435</v>
      </c>
      <c r="O36" t="s">
        <v>2494</v>
      </c>
      <c r="P36" t="s">
        <v>56</v>
      </c>
      <c r="Q36" s="21" t="s">
        <v>2495</v>
      </c>
      <c r="R36" s="21"/>
      <c r="S36" t="s">
        <v>2528</v>
      </c>
      <c r="T36" t="s">
        <v>2529</v>
      </c>
      <c r="X36" t="s">
        <v>1881</v>
      </c>
      <c r="Z36" s="15"/>
      <c r="AB36">
        <v>40.710552999999997</v>
      </c>
      <c r="AC36">
        <v>-91.792546000000002</v>
      </c>
      <c r="AG36" t="s">
        <v>1715</v>
      </c>
      <c r="AH36" t="s">
        <v>63</v>
      </c>
      <c r="AI36" t="s">
        <v>2530</v>
      </c>
      <c r="AJ36">
        <v>193756</v>
      </c>
      <c r="AL36" t="s">
        <v>2531</v>
      </c>
      <c r="AM36" t="s">
        <v>2532</v>
      </c>
      <c r="AN36" t="s">
        <v>2533</v>
      </c>
      <c r="AO36" t="s">
        <v>68</v>
      </c>
      <c r="AQ36" t="s">
        <v>2534</v>
      </c>
      <c r="AR36" t="s">
        <v>2535</v>
      </c>
      <c r="AS36" t="s">
        <v>2536</v>
      </c>
      <c r="AV36" s="14" t="s">
        <v>72</v>
      </c>
      <c r="AW36" s="14" t="s">
        <v>73</v>
      </c>
      <c r="AX36" s="14" t="s">
        <v>1723</v>
      </c>
    </row>
    <row r="37" spans="1:50" ht="15" customHeight="1" x14ac:dyDescent="0.4">
      <c r="A37" s="12">
        <v>3550</v>
      </c>
      <c r="B37" s="21" t="s">
        <v>2537</v>
      </c>
      <c r="C37" s="13" t="s">
        <v>2538</v>
      </c>
      <c r="D37" s="25" t="s">
        <v>2538</v>
      </c>
      <c r="E37" s="13"/>
      <c r="F37" s="41"/>
      <c r="G37" s="65" t="s">
        <v>8178</v>
      </c>
      <c r="H37" s="14" t="s">
        <v>1829</v>
      </c>
      <c r="I37" s="15">
        <v>44721</v>
      </c>
      <c r="J37" t="s">
        <v>2434</v>
      </c>
      <c r="K37" t="s">
        <v>51</v>
      </c>
      <c r="L37" t="s">
        <v>52</v>
      </c>
      <c r="M37" t="s">
        <v>53</v>
      </c>
      <c r="N37" t="s">
        <v>2435</v>
      </c>
      <c r="O37" t="s">
        <v>2494</v>
      </c>
      <c r="P37" t="s">
        <v>56</v>
      </c>
      <c r="Q37" s="21" t="s">
        <v>2495</v>
      </c>
      <c r="R37" s="21"/>
      <c r="S37" t="s">
        <v>2539</v>
      </c>
      <c r="T37" t="s">
        <v>2540</v>
      </c>
      <c r="X37" t="s">
        <v>1832</v>
      </c>
      <c r="Z37" s="15"/>
      <c r="AB37">
        <v>40.708615999999999</v>
      </c>
      <c r="AC37">
        <v>-91.787231000000006</v>
      </c>
      <c r="AD37" t="s">
        <v>2541</v>
      </c>
      <c r="AG37" t="s">
        <v>1715</v>
      </c>
      <c r="AH37" t="s">
        <v>63</v>
      </c>
      <c r="AI37" t="s">
        <v>2542</v>
      </c>
      <c r="AJ37">
        <v>194513</v>
      </c>
      <c r="AL37" t="s">
        <v>2543</v>
      </c>
      <c r="AM37" t="s">
        <v>2544</v>
      </c>
      <c r="AN37" t="s">
        <v>2545</v>
      </c>
      <c r="AO37" t="s">
        <v>68</v>
      </c>
      <c r="AQ37" t="s">
        <v>2546</v>
      </c>
      <c r="AR37" t="s">
        <v>2547</v>
      </c>
      <c r="AS37" t="s">
        <v>2548</v>
      </c>
      <c r="AV37" s="14" t="s">
        <v>72</v>
      </c>
      <c r="AW37" s="14" t="s">
        <v>73</v>
      </c>
      <c r="AX37" s="14" t="s">
        <v>74</v>
      </c>
    </row>
    <row r="38" spans="1:50" ht="15" customHeight="1" x14ac:dyDescent="0.4">
      <c r="A38" s="12">
        <v>3551</v>
      </c>
      <c r="B38" s="21" t="s">
        <v>2549</v>
      </c>
      <c r="C38" s="13" t="s">
        <v>2550</v>
      </c>
      <c r="D38" s="25" t="s">
        <v>2550</v>
      </c>
      <c r="E38" s="13"/>
      <c r="F38" s="41"/>
      <c r="G38" s="65" t="s">
        <v>8185</v>
      </c>
      <c r="H38" s="14" t="s">
        <v>1829</v>
      </c>
      <c r="I38" s="15">
        <v>44721</v>
      </c>
      <c r="J38" t="s">
        <v>2434</v>
      </c>
      <c r="K38" t="s">
        <v>51</v>
      </c>
      <c r="L38" t="s">
        <v>52</v>
      </c>
      <c r="M38" t="s">
        <v>53</v>
      </c>
      <c r="N38" t="s">
        <v>2435</v>
      </c>
      <c r="O38" t="s">
        <v>2494</v>
      </c>
      <c r="P38" t="s">
        <v>56</v>
      </c>
      <c r="Q38" s="21" t="s">
        <v>2495</v>
      </c>
      <c r="R38" s="21"/>
      <c r="S38" t="s">
        <v>2551</v>
      </c>
      <c r="T38" t="s">
        <v>2552</v>
      </c>
      <c r="X38" t="s">
        <v>1832</v>
      </c>
      <c r="Z38" s="15"/>
      <c r="AB38">
        <v>40.707864999999998</v>
      </c>
      <c r="AC38">
        <v>-91.788325</v>
      </c>
      <c r="AD38" t="s">
        <v>1856</v>
      </c>
      <c r="AG38" t="s">
        <v>1715</v>
      </c>
      <c r="AH38" t="s">
        <v>63</v>
      </c>
      <c r="AI38" t="s">
        <v>2553</v>
      </c>
      <c r="AJ38">
        <v>194514</v>
      </c>
      <c r="AL38" t="s">
        <v>2554</v>
      </c>
      <c r="AM38" t="s">
        <v>2555</v>
      </c>
      <c r="AN38" t="s">
        <v>2556</v>
      </c>
      <c r="AO38" t="s">
        <v>68</v>
      </c>
      <c r="AQ38" t="s">
        <v>2557</v>
      </c>
      <c r="AR38" t="s">
        <v>2558</v>
      </c>
      <c r="AS38" t="s">
        <v>2559</v>
      </c>
      <c r="AV38" s="14" t="s">
        <v>72</v>
      </c>
      <c r="AW38" s="14" t="s">
        <v>73</v>
      </c>
      <c r="AX38" s="14" t="s">
        <v>74</v>
      </c>
    </row>
    <row r="39" spans="1:50" ht="15" customHeight="1" x14ac:dyDescent="0.4">
      <c r="A39" s="12">
        <v>3552</v>
      </c>
      <c r="B39" s="21" t="s">
        <v>2560</v>
      </c>
      <c r="C39" s="13" t="s">
        <v>2561</v>
      </c>
      <c r="D39" s="25" t="s">
        <v>2561</v>
      </c>
      <c r="E39" s="13"/>
      <c r="F39" s="41"/>
      <c r="G39" s="65" t="s">
        <v>8178</v>
      </c>
      <c r="H39" s="14" t="s">
        <v>1829</v>
      </c>
      <c r="I39" s="15">
        <v>44721</v>
      </c>
      <c r="J39" t="s">
        <v>2434</v>
      </c>
      <c r="K39" t="s">
        <v>51</v>
      </c>
      <c r="L39" t="s">
        <v>52</v>
      </c>
      <c r="M39" t="s">
        <v>53</v>
      </c>
      <c r="N39" t="s">
        <v>2435</v>
      </c>
      <c r="O39" t="s">
        <v>2494</v>
      </c>
      <c r="P39" t="s">
        <v>56</v>
      </c>
      <c r="Q39" s="21" t="s">
        <v>2495</v>
      </c>
      <c r="R39" s="21"/>
      <c r="S39" t="s">
        <v>2562</v>
      </c>
      <c r="T39" t="s">
        <v>2563</v>
      </c>
      <c r="X39" t="s">
        <v>1832</v>
      </c>
      <c r="Z39" s="15"/>
      <c r="AB39">
        <v>40.707006</v>
      </c>
      <c r="AC39">
        <v>-91.789440999999997</v>
      </c>
      <c r="AD39" t="s">
        <v>2564</v>
      </c>
      <c r="AG39" t="s">
        <v>1715</v>
      </c>
      <c r="AH39" t="s">
        <v>63</v>
      </c>
      <c r="AI39" t="s">
        <v>2565</v>
      </c>
      <c r="AJ39">
        <v>194515</v>
      </c>
      <c r="AL39" t="s">
        <v>2566</v>
      </c>
      <c r="AM39" t="s">
        <v>2567</v>
      </c>
      <c r="AN39" t="s">
        <v>2568</v>
      </c>
      <c r="AO39" t="s">
        <v>68</v>
      </c>
      <c r="AQ39" t="s">
        <v>2569</v>
      </c>
      <c r="AR39" t="s">
        <v>2570</v>
      </c>
      <c r="AS39" t="s">
        <v>2571</v>
      </c>
      <c r="AV39" s="14" t="s">
        <v>72</v>
      </c>
      <c r="AW39" s="14" t="s">
        <v>73</v>
      </c>
      <c r="AX39" s="14" t="s">
        <v>74</v>
      </c>
    </row>
    <row r="40" spans="1:50" ht="15" customHeight="1" x14ac:dyDescent="0.4">
      <c r="A40" s="12">
        <v>3553</v>
      </c>
      <c r="B40" s="21" t="s">
        <v>2572</v>
      </c>
      <c r="C40" s="13" t="s">
        <v>2573</v>
      </c>
      <c r="D40" s="25" t="s">
        <v>2573</v>
      </c>
      <c r="E40" s="13"/>
      <c r="F40" s="41"/>
      <c r="G40" s="65" t="s">
        <v>8185</v>
      </c>
      <c r="H40" s="14" t="s">
        <v>1829</v>
      </c>
      <c r="I40" s="15">
        <v>44721</v>
      </c>
      <c r="J40" t="s">
        <v>2434</v>
      </c>
      <c r="K40" t="s">
        <v>51</v>
      </c>
      <c r="L40" t="s">
        <v>52</v>
      </c>
      <c r="M40" t="s">
        <v>53</v>
      </c>
      <c r="N40" t="s">
        <v>2435</v>
      </c>
      <c r="O40" t="s">
        <v>2494</v>
      </c>
      <c r="P40" t="s">
        <v>56</v>
      </c>
      <c r="Q40" s="21" t="s">
        <v>2495</v>
      </c>
      <c r="R40" s="21"/>
      <c r="S40" t="s">
        <v>2574</v>
      </c>
      <c r="T40" t="s">
        <v>2575</v>
      </c>
      <c r="X40" t="s">
        <v>1832</v>
      </c>
      <c r="Z40" s="15"/>
      <c r="AB40">
        <v>40.706792</v>
      </c>
      <c r="AC40">
        <v>-91.790750000000003</v>
      </c>
      <c r="AD40" t="s">
        <v>2576</v>
      </c>
      <c r="AG40" t="s">
        <v>1715</v>
      </c>
      <c r="AH40" t="s">
        <v>63</v>
      </c>
      <c r="AI40" t="s">
        <v>2577</v>
      </c>
      <c r="AJ40">
        <v>194516</v>
      </c>
      <c r="AL40" t="s">
        <v>2578</v>
      </c>
      <c r="AM40" t="s">
        <v>2579</v>
      </c>
      <c r="AN40" t="s">
        <v>2580</v>
      </c>
      <c r="AO40" t="s">
        <v>68</v>
      </c>
      <c r="AQ40" t="s">
        <v>2581</v>
      </c>
      <c r="AR40" t="s">
        <v>2582</v>
      </c>
      <c r="AS40" t="s">
        <v>2583</v>
      </c>
      <c r="AV40" s="14" t="s">
        <v>72</v>
      </c>
      <c r="AW40" s="14" t="s">
        <v>73</v>
      </c>
      <c r="AX40" s="14" t="s">
        <v>74</v>
      </c>
    </row>
    <row r="41" spans="1:50" ht="15" customHeight="1" x14ac:dyDescent="0.4">
      <c r="A41" s="12">
        <v>3554</v>
      </c>
      <c r="B41" s="21" t="s">
        <v>2584</v>
      </c>
      <c r="C41" s="13" t="s">
        <v>2585</v>
      </c>
      <c r="D41" s="25" t="s">
        <v>2585</v>
      </c>
      <c r="E41" s="13"/>
      <c r="F41" s="41"/>
      <c r="G41" s="65" t="s">
        <v>8185</v>
      </c>
      <c r="H41" s="14" t="s">
        <v>49</v>
      </c>
      <c r="I41" s="15">
        <v>44721</v>
      </c>
      <c r="J41" t="s">
        <v>2434</v>
      </c>
      <c r="K41" t="s">
        <v>51</v>
      </c>
      <c r="L41" t="s">
        <v>52</v>
      </c>
      <c r="M41" t="s">
        <v>53</v>
      </c>
      <c r="N41" t="s">
        <v>2435</v>
      </c>
      <c r="O41" t="s">
        <v>2494</v>
      </c>
      <c r="P41" t="s">
        <v>56</v>
      </c>
      <c r="Q41" s="21" t="s">
        <v>2495</v>
      </c>
      <c r="R41" s="21"/>
      <c r="S41" t="s">
        <v>2586</v>
      </c>
      <c r="T41" t="s">
        <v>2587</v>
      </c>
      <c r="X41" t="s">
        <v>60</v>
      </c>
      <c r="Z41" s="15"/>
      <c r="AB41">
        <v>40.707563999999998</v>
      </c>
      <c r="AC41">
        <v>-91.792401999999996</v>
      </c>
      <c r="AD41" t="s">
        <v>2541</v>
      </c>
      <c r="AG41" t="s">
        <v>1715</v>
      </c>
      <c r="AH41" t="s">
        <v>63</v>
      </c>
      <c r="AI41" t="s">
        <v>2588</v>
      </c>
      <c r="AJ41">
        <v>194194</v>
      </c>
      <c r="AL41" t="s">
        <v>2589</v>
      </c>
      <c r="AM41" t="s">
        <v>2590</v>
      </c>
      <c r="AN41" t="s">
        <v>2591</v>
      </c>
      <c r="AO41" t="s">
        <v>68</v>
      </c>
      <c r="AQ41" t="s">
        <v>2592</v>
      </c>
      <c r="AR41" t="s">
        <v>2593</v>
      </c>
      <c r="AS41" t="s">
        <v>2594</v>
      </c>
      <c r="AV41" s="14" t="s">
        <v>72</v>
      </c>
      <c r="AW41" s="14" t="s">
        <v>73</v>
      </c>
      <c r="AX41" s="14" t="s">
        <v>74</v>
      </c>
    </row>
    <row r="42" spans="1:50" ht="15" customHeight="1" x14ac:dyDescent="0.4">
      <c r="A42" s="12">
        <v>3555</v>
      </c>
      <c r="B42" s="21" t="s">
        <v>2595</v>
      </c>
      <c r="C42" s="13" t="s">
        <v>2596</v>
      </c>
      <c r="D42" s="25" t="s">
        <v>2596</v>
      </c>
      <c r="E42" s="13"/>
      <c r="F42" s="41"/>
      <c r="G42" s="65" t="s">
        <v>8185</v>
      </c>
      <c r="H42" s="14" t="s">
        <v>49</v>
      </c>
      <c r="I42" s="15">
        <v>44721</v>
      </c>
      <c r="J42" t="s">
        <v>2434</v>
      </c>
      <c r="K42" t="s">
        <v>51</v>
      </c>
      <c r="L42" t="s">
        <v>52</v>
      </c>
      <c r="M42" t="s">
        <v>53</v>
      </c>
      <c r="N42" t="s">
        <v>2435</v>
      </c>
      <c r="O42" t="s">
        <v>2494</v>
      </c>
      <c r="P42" t="s">
        <v>56</v>
      </c>
      <c r="Q42" s="21" t="s">
        <v>2495</v>
      </c>
      <c r="R42" s="21"/>
      <c r="S42" t="s">
        <v>2597</v>
      </c>
      <c r="T42" t="s">
        <v>2598</v>
      </c>
      <c r="X42" t="s">
        <v>60</v>
      </c>
      <c r="Z42" s="15"/>
      <c r="AB42">
        <v>40.707349999999998</v>
      </c>
      <c r="AC42">
        <v>-91.793153000000004</v>
      </c>
      <c r="AD42" t="s">
        <v>1856</v>
      </c>
      <c r="AG42" t="s">
        <v>1715</v>
      </c>
      <c r="AH42" t="s">
        <v>63</v>
      </c>
      <c r="AI42" t="s">
        <v>2599</v>
      </c>
      <c r="AJ42">
        <v>194195</v>
      </c>
      <c r="AL42" t="s">
        <v>2600</v>
      </c>
      <c r="AM42" t="s">
        <v>2601</v>
      </c>
      <c r="AN42" t="s">
        <v>2602</v>
      </c>
      <c r="AO42" t="s">
        <v>68</v>
      </c>
      <c r="AQ42" t="s">
        <v>2603</v>
      </c>
      <c r="AR42" t="s">
        <v>2604</v>
      </c>
      <c r="AS42" t="s">
        <v>2605</v>
      </c>
      <c r="AV42" s="14" t="s">
        <v>72</v>
      </c>
      <c r="AW42" s="14" t="s">
        <v>73</v>
      </c>
      <c r="AX42" s="14" t="s">
        <v>74</v>
      </c>
    </row>
    <row r="43" spans="1:50" ht="15" customHeight="1" x14ac:dyDescent="0.4">
      <c r="A43" s="12">
        <v>3556</v>
      </c>
      <c r="B43" s="21" t="s">
        <v>2606</v>
      </c>
      <c r="C43" s="13" t="s">
        <v>2607</v>
      </c>
      <c r="D43" s="25" t="s">
        <v>2607</v>
      </c>
      <c r="E43" s="13"/>
      <c r="F43" s="41"/>
      <c r="G43" s="65" t="s">
        <v>8185</v>
      </c>
      <c r="H43" s="14" t="s">
        <v>1878</v>
      </c>
      <c r="I43" s="15">
        <v>44721</v>
      </c>
      <c r="J43" t="s">
        <v>2434</v>
      </c>
      <c r="K43" t="s">
        <v>51</v>
      </c>
      <c r="L43" t="s">
        <v>52</v>
      </c>
      <c r="M43" t="s">
        <v>53</v>
      </c>
      <c r="N43" t="s">
        <v>2435</v>
      </c>
      <c r="O43" t="s">
        <v>2494</v>
      </c>
      <c r="P43" t="s">
        <v>56</v>
      </c>
      <c r="Q43" s="21" t="s">
        <v>2495</v>
      </c>
      <c r="R43" s="21"/>
      <c r="S43" t="s">
        <v>2608</v>
      </c>
      <c r="T43" t="s">
        <v>2609</v>
      </c>
      <c r="X43" t="s">
        <v>1881</v>
      </c>
      <c r="Z43" s="15"/>
      <c r="AB43">
        <v>40.706727999999998</v>
      </c>
      <c r="AC43">
        <v>-91.793217999999996</v>
      </c>
      <c r="AD43" t="s">
        <v>2564</v>
      </c>
      <c r="AG43" t="s">
        <v>1715</v>
      </c>
      <c r="AH43" t="s">
        <v>63</v>
      </c>
      <c r="AI43" t="s">
        <v>2610</v>
      </c>
      <c r="AJ43">
        <v>193757</v>
      </c>
      <c r="AL43" t="s">
        <v>2611</v>
      </c>
      <c r="AM43" t="s">
        <v>2612</v>
      </c>
      <c r="AN43" t="s">
        <v>2613</v>
      </c>
      <c r="AO43" t="s">
        <v>68</v>
      </c>
      <c r="AQ43" t="s">
        <v>2614</v>
      </c>
      <c r="AR43" t="s">
        <v>2615</v>
      </c>
      <c r="AS43" t="s">
        <v>2616</v>
      </c>
      <c r="AV43" s="14" t="s">
        <v>72</v>
      </c>
      <c r="AW43" s="14" t="s">
        <v>73</v>
      </c>
      <c r="AX43" s="14" t="s">
        <v>1723</v>
      </c>
    </row>
    <row r="44" spans="1:50" ht="15" customHeight="1" x14ac:dyDescent="0.4">
      <c r="A44" s="12">
        <v>3557</v>
      </c>
      <c r="B44" s="21" t="s">
        <v>2617</v>
      </c>
      <c r="C44" s="13" t="s">
        <v>2618</v>
      </c>
      <c r="D44" s="25" t="s">
        <v>2618</v>
      </c>
      <c r="E44" s="13"/>
      <c r="F44" s="41"/>
      <c r="G44" s="65" t="s">
        <v>8185</v>
      </c>
      <c r="H44" s="14" t="s">
        <v>1829</v>
      </c>
      <c r="I44" s="15">
        <v>44721</v>
      </c>
      <c r="J44" t="s">
        <v>2434</v>
      </c>
      <c r="K44" t="s">
        <v>51</v>
      </c>
      <c r="L44" t="s">
        <v>52</v>
      </c>
      <c r="M44" t="s">
        <v>53</v>
      </c>
      <c r="N44" t="s">
        <v>2435</v>
      </c>
      <c r="O44" t="s">
        <v>2494</v>
      </c>
      <c r="P44" t="s">
        <v>56</v>
      </c>
      <c r="Q44" s="21" t="s">
        <v>2495</v>
      </c>
      <c r="R44" s="21"/>
      <c r="S44" t="s">
        <v>2619</v>
      </c>
      <c r="T44" t="s">
        <v>2620</v>
      </c>
      <c r="X44" t="s">
        <v>1832</v>
      </c>
      <c r="Z44" s="15"/>
      <c r="AB44">
        <v>40.706856000000002</v>
      </c>
      <c r="AC44">
        <v>-91.793689999999998</v>
      </c>
      <c r="AD44" t="s">
        <v>2541</v>
      </c>
      <c r="AG44" t="s">
        <v>1715</v>
      </c>
      <c r="AH44" t="s">
        <v>63</v>
      </c>
      <c r="AI44" t="s">
        <v>2621</v>
      </c>
      <c r="AJ44">
        <v>194517</v>
      </c>
      <c r="AL44" t="s">
        <v>2622</v>
      </c>
      <c r="AM44" t="s">
        <v>2623</v>
      </c>
      <c r="AN44" t="s">
        <v>2624</v>
      </c>
      <c r="AO44" t="s">
        <v>68</v>
      </c>
      <c r="AQ44" t="s">
        <v>2625</v>
      </c>
      <c r="AR44" t="s">
        <v>2626</v>
      </c>
      <c r="AS44" t="s">
        <v>2627</v>
      </c>
      <c r="AV44" s="14" t="s">
        <v>72</v>
      </c>
      <c r="AW44" s="14" t="s">
        <v>73</v>
      </c>
      <c r="AX44" s="14" t="s">
        <v>74</v>
      </c>
    </row>
    <row r="45" spans="1:50" ht="15" customHeight="1" x14ac:dyDescent="0.4">
      <c r="A45" s="12">
        <v>3558</v>
      </c>
      <c r="B45" s="21" t="s">
        <v>2628</v>
      </c>
      <c r="C45" s="13" t="s">
        <v>2629</v>
      </c>
      <c r="D45" s="25" t="s">
        <v>2629</v>
      </c>
      <c r="E45" s="13"/>
      <c r="F45" s="41" t="s">
        <v>1829</v>
      </c>
      <c r="G45" s="65" t="s">
        <v>8185</v>
      </c>
      <c r="H45" s="14" t="s">
        <v>2222</v>
      </c>
      <c r="I45" s="15">
        <v>44721</v>
      </c>
      <c r="J45" t="s">
        <v>2434</v>
      </c>
      <c r="K45" t="s">
        <v>51</v>
      </c>
      <c r="L45" t="s">
        <v>52</v>
      </c>
      <c r="M45" t="s">
        <v>53</v>
      </c>
      <c r="N45" t="s">
        <v>2435</v>
      </c>
      <c r="O45" t="s">
        <v>2494</v>
      </c>
      <c r="P45" t="s">
        <v>56</v>
      </c>
      <c r="Q45" s="21" t="s">
        <v>2495</v>
      </c>
      <c r="R45" s="21"/>
      <c r="S45" t="s">
        <v>2619</v>
      </c>
      <c r="T45" t="s">
        <v>2630</v>
      </c>
      <c r="X45" t="s">
        <v>2225</v>
      </c>
      <c r="Z45" s="15"/>
      <c r="AB45">
        <v>40.704425000000001</v>
      </c>
      <c r="AC45">
        <v>-91.796592000000004</v>
      </c>
      <c r="AD45" t="s">
        <v>2631</v>
      </c>
      <c r="AG45" t="s">
        <v>1715</v>
      </c>
      <c r="AH45" t="s">
        <v>63</v>
      </c>
      <c r="AI45" t="s">
        <v>2632</v>
      </c>
      <c r="AJ45">
        <v>192674</v>
      </c>
      <c r="AL45" t="s">
        <v>2633</v>
      </c>
      <c r="AM45" t="s">
        <v>2634</v>
      </c>
      <c r="AN45" t="s">
        <v>2635</v>
      </c>
      <c r="AO45" t="s">
        <v>68</v>
      </c>
      <c r="AQ45" t="s">
        <v>2636</v>
      </c>
      <c r="AR45" t="s">
        <v>2637</v>
      </c>
      <c r="AS45" t="s">
        <v>2638</v>
      </c>
      <c r="AV45" s="14" t="s">
        <v>72</v>
      </c>
      <c r="AW45" s="14" t="s">
        <v>73</v>
      </c>
      <c r="AX45" s="14" t="s">
        <v>74</v>
      </c>
    </row>
    <row r="46" spans="1:50" ht="15" customHeight="1" x14ac:dyDescent="0.4">
      <c r="A46" s="12">
        <v>3559</v>
      </c>
      <c r="B46" s="21" t="s">
        <v>2639</v>
      </c>
      <c r="C46" s="13" t="s">
        <v>2640</v>
      </c>
      <c r="D46" s="25" t="s">
        <v>2640</v>
      </c>
      <c r="E46" s="13"/>
      <c r="F46" s="41"/>
      <c r="G46" s="65" t="s">
        <v>8185</v>
      </c>
      <c r="H46" s="14" t="s">
        <v>2222</v>
      </c>
      <c r="I46" s="15">
        <v>44721</v>
      </c>
      <c r="J46" t="s">
        <v>2434</v>
      </c>
      <c r="K46" t="s">
        <v>51</v>
      </c>
      <c r="L46" t="s">
        <v>52</v>
      </c>
      <c r="M46" t="s">
        <v>53</v>
      </c>
      <c r="N46" t="s">
        <v>2435</v>
      </c>
      <c r="O46" t="s">
        <v>2494</v>
      </c>
      <c r="P46" t="s">
        <v>56</v>
      </c>
      <c r="Q46" s="21" t="s">
        <v>2495</v>
      </c>
      <c r="R46" s="21"/>
      <c r="S46" t="s">
        <v>2619</v>
      </c>
      <c r="T46" t="s">
        <v>2641</v>
      </c>
      <c r="X46" t="s">
        <v>2225</v>
      </c>
      <c r="Z46" s="15"/>
      <c r="AB46">
        <v>40.703988000000003</v>
      </c>
      <c r="AC46">
        <v>-91.796583999999996</v>
      </c>
      <c r="AD46" t="s">
        <v>2576</v>
      </c>
      <c r="AG46" t="s">
        <v>1715</v>
      </c>
      <c r="AH46" t="s">
        <v>63</v>
      </c>
      <c r="AI46" t="s">
        <v>2642</v>
      </c>
      <c r="AJ46">
        <v>192662</v>
      </c>
      <c r="AL46" t="s">
        <v>2643</v>
      </c>
      <c r="AM46" t="s">
        <v>2644</v>
      </c>
      <c r="AN46" t="s">
        <v>2645</v>
      </c>
      <c r="AO46" t="s">
        <v>68</v>
      </c>
      <c r="AQ46" t="s">
        <v>2646</v>
      </c>
      <c r="AR46" t="s">
        <v>2647</v>
      </c>
      <c r="AS46" t="s">
        <v>2648</v>
      </c>
      <c r="AV46" s="14" t="s">
        <v>72</v>
      </c>
      <c r="AW46" s="14" t="s">
        <v>73</v>
      </c>
      <c r="AX46" s="14" t="s">
        <v>74</v>
      </c>
    </row>
    <row r="47" spans="1:50" ht="15" customHeight="1" x14ac:dyDescent="0.4">
      <c r="A47" s="12">
        <v>3560</v>
      </c>
      <c r="B47" s="21" t="s">
        <v>2649</v>
      </c>
      <c r="C47" s="13" t="s">
        <v>2650</v>
      </c>
      <c r="D47" s="25" t="s">
        <v>2650</v>
      </c>
      <c r="E47" s="13"/>
      <c r="F47" s="41"/>
      <c r="G47" s="65" t="s">
        <v>8185</v>
      </c>
      <c r="H47" s="14" t="s">
        <v>2222</v>
      </c>
      <c r="I47" s="15">
        <v>44721</v>
      </c>
      <c r="J47" t="s">
        <v>2434</v>
      </c>
      <c r="K47" t="s">
        <v>51</v>
      </c>
      <c r="L47" t="s">
        <v>52</v>
      </c>
      <c r="M47" t="s">
        <v>53</v>
      </c>
      <c r="N47" t="s">
        <v>2435</v>
      </c>
      <c r="O47" t="s">
        <v>2494</v>
      </c>
      <c r="P47" t="s">
        <v>56</v>
      </c>
      <c r="Q47" s="21" t="s">
        <v>2495</v>
      </c>
      <c r="R47" s="21"/>
      <c r="S47" t="s">
        <v>2651</v>
      </c>
      <c r="T47" t="s">
        <v>2652</v>
      </c>
      <c r="W47" t="s">
        <v>1758</v>
      </c>
      <c r="X47" t="s">
        <v>2225</v>
      </c>
      <c r="Z47" s="15"/>
      <c r="AB47">
        <v>40.703502</v>
      </c>
      <c r="AC47">
        <v>-91.796851000000004</v>
      </c>
      <c r="AD47" t="s">
        <v>2576</v>
      </c>
      <c r="AG47" t="s">
        <v>1715</v>
      </c>
      <c r="AH47" t="s">
        <v>63</v>
      </c>
      <c r="AI47" t="s">
        <v>2653</v>
      </c>
      <c r="AJ47">
        <v>192655</v>
      </c>
      <c r="AL47" t="s">
        <v>2654</v>
      </c>
      <c r="AM47" t="s">
        <v>2655</v>
      </c>
      <c r="AN47" t="s">
        <v>2656</v>
      </c>
      <c r="AO47" t="s">
        <v>68</v>
      </c>
      <c r="AQ47" t="s">
        <v>2657</v>
      </c>
      <c r="AR47" t="s">
        <v>2658</v>
      </c>
      <c r="AS47" t="s">
        <v>2659</v>
      </c>
      <c r="AV47" s="14" t="s">
        <v>72</v>
      </c>
      <c r="AW47" s="14" t="s">
        <v>73</v>
      </c>
      <c r="AX47" s="14" t="s">
        <v>74</v>
      </c>
    </row>
    <row r="48" spans="1:50" ht="15" customHeight="1" x14ac:dyDescent="0.4">
      <c r="A48" s="12">
        <v>4004</v>
      </c>
      <c r="B48" s="21" t="s">
        <v>7859</v>
      </c>
      <c r="C48" s="13" t="s">
        <v>7860</v>
      </c>
      <c r="D48" s="25" t="s">
        <v>7860</v>
      </c>
      <c r="E48" s="13"/>
      <c r="F48" s="41"/>
      <c r="G48" s="65" t="s">
        <v>8185</v>
      </c>
      <c r="H48" s="14" t="s">
        <v>49</v>
      </c>
      <c r="I48" s="15">
        <v>44840</v>
      </c>
      <c r="J48" t="s">
        <v>7861</v>
      </c>
      <c r="K48" t="s">
        <v>51</v>
      </c>
      <c r="L48" t="s">
        <v>52</v>
      </c>
      <c r="M48" t="s">
        <v>53</v>
      </c>
      <c r="N48" t="s">
        <v>1707</v>
      </c>
      <c r="O48" t="s">
        <v>7862</v>
      </c>
      <c r="P48" t="s">
        <v>56</v>
      </c>
      <c r="Q48" s="21" t="s">
        <v>7863</v>
      </c>
      <c r="R48" s="21"/>
      <c r="S48" t="s">
        <v>6387</v>
      </c>
      <c r="T48" t="s">
        <v>7864</v>
      </c>
      <c r="W48" t="s">
        <v>2440</v>
      </c>
      <c r="X48" t="s">
        <v>60</v>
      </c>
      <c r="Z48" s="15"/>
      <c r="AB48">
        <v>39.839267</v>
      </c>
      <c r="AC48">
        <v>-88.367813999999996</v>
      </c>
      <c r="AD48" t="s">
        <v>7700</v>
      </c>
      <c r="AG48" t="s">
        <v>1715</v>
      </c>
      <c r="AH48" t="s">
        <v>63</v>
      </c>
      <c r="AI48" t="s">
        <v>7865</v>
      </c>
      <c r="AJ48">
        <v>194616</v>
      </c>
      <c r="AL48" t="s">
        <v>7866</v>
      </c>
      <c r="AM48" t="s">
        <v>7867</v>
      </c>
      <c r="AN48" t="s">
        <v>7868</v>
      </c>
      <c r="AO48" t="s">
        <v>68</v>
      </c>
      <c r="AQ48" t="s">
        <v>7869</v>
      </c>
      <c r="AR48" t="s">
        <v>7870</v>
      </c>
      <c r="AS48" t="s">
        <v>7871</v>
      </c>
      <c r="AV48" s="14" t="s">
        <v>72</v>
      </c>
      <c r="AW48" s="14" t="s">
        <v>73</v>
      </c>
      <c r="AX48" s="14" t="s">
        <v>74</v>
      </c>
    </row>
    <row r="49" spans="1:50" ht="15" customHeight="1" x14ac:dyDescent="0.4">
      <c r="A49" s="12">
        <v>4005</v>
      </c>
      <c r="B49" s="21" t="s">
        <v>7872</v>
      </c>
      <c r="C49" s="13" t="s">
        <v>7873</v>
      </c>
      <c r="D49" s="25" t="s">
        <v>7873</v>
      </c>
      <c r="E49" s="13"/>
      <c r="F49" s="41"/>
      <c r="G49" s="65" t="s">
        <v>8185</v>
      </c>
      <c r="H49" s="14" t="s">
        <v>49</v>
      </c>
      <c r="I49" s="15">
        <v>44840</v>
      </c>
      <c r="J49" t="s">
        <v>7861</v>
      </c>
      <c r="K49" t="s">
        <v>51</v>
      </c>
      <c r="L49" t="s">
        <v>52</v>
      </c>
      <c r="M49" t="s">
        <v>53</v>
      </c>
      <c r="N49" t="s">
        <v>1707</v>
      </c>
      <c r="O49" t="s">
        <v>7862</v>
      </c>
      <c r="P49" t="s">
        <v>56</v>
      </c>
      <c r="Q49" s="21" t="s">
        <v>7863</v>
      </c>
      <c r="R49" s="21"/>
      <c r="S49" t="s">
        <v>6387</v>
      </c>
      <c r="T49" t="s">
        <v>7874</v>
      </c>
      <c r="W49" t="s">
        <v>2440</v>
      </c>
      <c r="X49" t="s">
        <v>60</v>
      </c>
      <c r="Z49" s="15"/>
      <c r="AB49">
        <v>39.839402999999997</v>
      </c>
      <c r="AC49">
        <v>-88.367953999999997</v>
      </c>
      <c r="AD49" t="s">
        <v>7418</v>
      </c>
      <c r="AG49" t="s">
        <v>1715</v>
      </c>
      <c r="AH49" t="s">
        <v>63</v>
      </c>
      <c r="AI49" t="s">
        <v>7875</v>
      </c>
      <c r="AJ49">
        <v>194617</v>
      </c>
      <c r="AL49" t="s">
        <v>7876</v>
      </c>
      <c r="AM49" t="s">
        <v>7877</v>
      </c>
      <c r="AN49" t="s">
        <v>7878</v>
      </c>
      <c r="AO49" t="s">
        <v>68</v>
      </c>
      <c r="AQ49" t="s">
        <v>7879</v>
      </c>
      <c r="AR49" t="s">
        <v>7880</v>
      </c>
      <c r="AS49" t="s">
        <v>7881</v>
      </c>
      <c r="AV49" s="14" t="s">
        <v>72</v>
      </c>
      <c r="AW49" s="14" t="s">
        <v>73</v>
      </c>
      <c r="AX49" s="14" t="s">
        <v>74</v>
      </c>
    </row>
    <row r="50" spans="1:50" ht="15" customHeight="1" x14ac:dyDescent="0.4">
      <c r="A50" s="12">
        <v>4006</v>
      </c>
      <c r="B50" s="21" t="s">
        <v>7882</v>
      </c>
      <c r="C50" s="13" t="s">
        <v>7883</v>
      </c>
      <c r="D50" s="25" t="s">
        <v>7883</v>
      </c>
      <c r="E50" s="13"/>
      <c r="F50" s="41"/>
      <c r="G50" s="65" t="s">
        <v>8185</v>
      </c>
      <c r="H50" s="14" t="s">
        <v>49</v>
      </c>
      <c r="I50" s="15">
        <v>44840</v>
      </c>
      <c r="J50" t="s">
        <v>7861</v>
      </c>
      <c r="K50" t="s">
        <v>51</v>
      </c>
      <c r="L50" t="s">
        <v>52</v>
      </c>
      <c r="M50" t="s">
        <v>53</v>
      </c>
      <c r="N50" t="s">
        <v>1707</v>
      </c>
      <c r="O50" t="s">
        <v>7862</v>
      </c>
      <c r="P50" t="s">
        <v>56</v>
      </c>
      <c r="Q50" s="21" t="s">
        <v>7863</v>
      </c>
      <c r="R50" s="21"/>
      <c r="S50" t="s">
        <v>7884</v>
      </c>
      <c r="T50" t="s">
        <v>7885</v>
      </c>
      <c r="W50" t="s">
        <v>7886</v>
      </c>
      <c r="X50" t="s">
        <v>60</v>
      </c>
      <c r="Z50" s="15"/>
      <c r="AB50">
        <v>39.839036999999998</v>
      </c>
      <c r="AC50">
        <v>-88.368015999999997</v>
      </c>
      <c r="AD50" t="s">
        <v>1760</v>
      </c>
      <c r="AG50" t="s">
        <v>1715</v>
      </c>
      <c r="AH50" t="s">
        <v>63</v>
      </c>
      <c r="AI50" t="s">
        <v>7887</v>
      </c>
      <c r="AJ50">
        <v>194618</v>
      </c>
      <c r="AL50" t="s">
        <v>7888</v>
      </c>
      <c r="AM50" t="s">
        <v>7889</v>
      </c>
      <c r="AN50" t="s">
        <v>7890</v>
      </c>
      <c r="AO50" t="s">
        <v>68</v>
      </c>
      <c r="AQ50" t="s">
        <v>7891</v>
      </c>
      <c r="AR50" t="s">
        <v>7892</v>
      </c>
      <c r="AS50" t="s">
        <v>7893</v>
      </c>
      <c r="AV50" s="14" t="s">
        <v>72</v>
      </c>
      <c r="AW50" s="14" t="s">
        <v>73</v>
      </c>
      <c r="AX50" s="14" t="s">
        <v>74</v>
      </c>
    </row>
    <row r="51" spans="1:50" ht="15" customHeight="1" x14ac:dyDescent="0.4">
      <c r="A51" s="12">
        <v>4007</v>
      </c>
      <c r="B51" s="21" t="s">
        <v>7894</v>
      </c>
      <c r="C51" s="13" t="s">
        <v>7895</v>
      </c>
      <c r="D51" s="25" t="s">
        <v>7895</v>
      </c>
      <c r="E51" s="13"/>
      <c r="F51" s="41"/>
      <c r="G51" s="65" t="s">
        <v>8185</v>
      </c>
      <c r="H51" s="14" t="s">
        <v>1878</v>
      </c>
      <c r="I51" s="15">
        <v>44840</v>
      </c>
      <c r="J51" t="s">
        <v>7861</v>
      </c>
      <c r="K51" t="s">
        <v>51</v>
      </c>
      <c r="L51" t="s">
        <v>52</v>
      </c>
      <c r="M51" t="s">
        <v>53</v>
      </c>
      <c r="N51" t="s">
        <v>1707</v>
      </c>
      <c r="O51" t="s">
        <v>7862</v>
      </c>
      <c r="P51" t="s">
        <v>56</v>
      </c>
      <c r="Q51" s="21" t="s">
        <v>7863</v>
      </c>
      <c r="R51" s="21"/>
      <c r="S51" t="s">
        <v>7896</v>
      </c>
      <c r="T51" t="s">
        <v>1878</v>
      </c>
      <c r="W51" t="s">
        <v>7897</v>
      </c>
      <c r="X51" t="s">
        <v>1881</v>
      </c>
      <c r="Z51" s="15"/>
      <c r="AB51">
        <v>39.839322000000003</v>
      </c>
      <c r="AC51">
        <v>-88.368375999999998</v>
      </c>
      <c r="AD51" t="s">
        <v>2808</v>
      </c>
      <c r="AG51" t="s">
        <v>1715</v>
      </c>
      <c r="AH51" t="s">
        <v>63</v>
      </c>
      <c r="AI51" t="s">
        <v>7898</v>
      </c>
      <c r="AJ51">
        <v>194142</v>
      </c>
      <c r="AL51" t="s">
        <v>7899</v>
      </c>
      <c r="AM51" t="s">
        <v>7900</v>
      </c>
      <c r="AN51" t="s">
        <v>7901</v>
      </c>
      <c r="AO51" t="s">
        <v>68</v>
      </c>
      <c r="AQ51" t="s">
        <v>7902</v>
      </c>
      <c r="AR51" t="s">
        <v>7903</v>
      </c>
      <c r="AS51" t="s">
        <v>7904</v>
      </c>
      <c r="AV51" s="14" t="s">
        <v>72</v>
      </c>
      <c r="AW51" s="14" t="s">
        <v>73</v>
      </c>
      <c r="AX51" s="14" t="s">
        <v>1723</v>
      </c>
    </row>
    <row r="52" spans="1:50" ht="15" customHeight="1" x14ac:dyDescent="0.4">
      <c r="A52" s="12">
        <v>4008</v>
      </c>
      <c r="B52" s="21" t="s">
        <v>7905</v>
      </c>
      <c r="C52" s="13" t="s">
        <v>7906</v>
      </c>
      <c r="D52" s="25" t="s">
        <v>7906</v>
      </c>
      <c r="E52" s="13"/>
      <c r="F52" s="41"/>
      <c r="G52" s="65" t="s">
        <v>8185</v>
      </c>
      <c r="H52" s="14" t="s">
        <v>1878</v>
      </c>
      <c r="I52" s="15">
        <v>44840</v>
      </c>
      <c r="J52" t="s">
        <v>7861</v>
      </c>
      <c r="K52" t="s">
        <v>51</v>
      </c>
      <c r="L52" t="s">
        <v>52</v>
      </c>
      <c r="M52" t="s">
        <v>53</v>
      </c>
      <c r="N52" t="s">
        <v>1707</v>
      </c>
      <c r="O52" t="s">
        <v>7862</v>
      </c>
      <c r="P52" t="s">
        <v>56</v>
      </c>
      <c r="Q52" s="21" t="s">
        <v>7863</v>
      </c>
      <c r="R52" s="21"/>
      <c r="S52" t="s">
        <v>7884</v>
      </c>
      <c r="T52" t="s">
        <v>7907</v>
      </c>
      <c r="W52" t="s">
        <v>7897</v>
      </c>
      <c r="X52" t="s">
        <v>1881</v>
      </c>
      <c r="Z52" s="15"/>
      <c r="AB52">
        <v>39.839317999999999</v>
      </c>
      <c r="AC52">
        <v>-88.368629999999996</v>
      </c>
      <c r="AD52" t="s">
        <v>7291</v>
      </c>
      <c r="AG52" t="s">
        <v>1715</v>
      </c>
      <c r="AH52" t="s">
        <v>63</v>
      </c>
      <c r="AI52" t="s">
        <v>7908</v>
      </c>
      <c r="AJ52">
        <v>194137</v>
      </c>
      <c r="AL52" t="s">
        <v>7909</v>
      </c>
      <c r="AM52" t="s">
        <v>7910</v>
      </c>
      <c r="AN52" t="s">
        <v>7911</v>
      </c>
      <c r="AO52" t="s">
        <v>68</v>
      </c>
      <c r="AQ52" t="s">
        <v>7912</v>
      </c>
      <c r="AR52" t="s">
        <v>7913</v>
      </c>
      <c r="AS52" t="s">
        <v>7914</v>
      </c>
      <c r="AV52" s="14" t="s">
        <v>72</v>
      </c>
      <c r="AW52" s="14" t="s">
        <v>73</v>
      </c>
      <c r="AX52" s="14" t="s">
        <v>1723</v>
      </c>
    </row>
    <row r="53" spans="1:50" ht="15" customHeight="1" x14ac:dyDescent="0.4">
      <c r="A53" s="12">
        <v>4009</v>
      </c>
      <c r="B53" s="21" t="s">
        <v>7915</v>
      </c>
      <c r="C53" s="13" t="s">
        <v>7916</v>
      </c>
      <c r="D53" s="25" t="s">
        <v>7916</v>
      </c>
      <c r="E53" s="13"/>
      <c r="F53" s="41"/>
      <c r="G53" s="65" t="s">
        <v>8185</v>
      </c>
      <c r="H53" s="14" t="s">
        <v>49</v>
      </c>
      <c r="I53" s="15">
        <v>44840</v>
      </c>
      <c r="J53" t="s">
        <v>7861</v>
      </c>
      <c r="K53" t="s">
        <v>51</v>
      </c>
      <c r="L53" t="s">
        <v>52</v>
      </c>
      <c r="M53" t="s">
        <v>53</v>
      </c>
      <c r="N53" t="s">
        <v>1707</v>
      </c>
      <c r="O53" t="s">
        <v>7862</v>
      </c>
      <c r="P53" t="s">
        <v>56</v>
      </c>
      <c r="Q53" s="21" t="s">
        <v>7863</v>
      </c>
      <c r="R53" s="21"/>
      <c r="S53" t="s">
        <v>7884</v>
      </c>
      <c r="T53" t="s">
        <v>7917</v>
      </c>
      <c r="W53" t="s">
        <v>7918</v>
      </c>
      <c r="X53" t="s">
        <v>60</v>
      </c>
      <c r="Z53" s="15"/>
      <c r="AB53">
        <v>39.839492</v>
      </c>
      <c r="AC53">
        <v>-88.368621000000005</v>
      </c>
      <c r="AD53" t="s">
        <v>7919</v>
      </c>
      <c r="AG53" t="s">
        <v>1715</v>
      </c>
      <c r="AH53" t="s">
        <v>63</v>
      </c>
      <c r="AI53" t="s">
        <v>7920</v>
      </c>
      <c r="AJ53">
        <v>194619</v>
      </c>
      <c r="AL53" t="s">
        <v>7921</v>
      </c>
      <c r="AM53" t="s">
        <v>7922</v>
      </c>
      <c r="AN53" t="s">
        <v>7923</v>
      </c>
      <c r="AO53" t="s">
        <v>68</v>
      </c>
      <c r="AQ53" t="s">
        <v>7924</v>
      </c>
      <c r="AR53" t="s">
        <v>7925</v>
      </c>
      <c r="AS53" t="s">
        <v>7926</v>
      </c>
      <c r="AV53" s="14" t="s">
        <v>72</v>
      </c>
      <c r="AW53" s="14" t="s">
        <v>73</v>
      </c>
      <c r="AX53" s="14" t="s">
        <v>74</v>
      </c>
    </row>
    <row r="54" spans="1:50" ht="15" customHeight="1" x14ac:dyDescent="0.4">
      <c r="A54" s="12">
        <v>4010</v>
      </c>
      <c r="B54" s="21" t="s">
        <v>7927</v>
      </c>
      <c r="C54" s="13" t="s">
        <v>7928</v>
      </c>
      <c r="D54" s="25" t="s">
        <v>7928</v>
      </c>
      <c r="E54" s="13"/>
      <c r="F54" s="41"/>
      <c r="G54" s="65" t="s">
        <v>8185</v>
      </c>
      <c r="H54" s="14" t="s">
        <v>49</v>
      </c>
      <c r="I54" s="15">
        <v>44840</v>
      </c>
      <c r="J54" t="s">
        <v>7861</v>
      </c>
      <c r="K54" t="s">
        <v>51</v>
      </c>
      <c r="L54" t="s">
        <v>52</v>
      </c>
      <c r="M54" t="s">
        <v>53</v>
      </c>
      <c r="N54" t="s">
        <v>1707</v>
      </c>
      <c r="O54" t="s">
        <v>7862</v>
      </c>
      <c r="P54" t="s">
        <v>56</v>
      </c>
      <c r="Q54" s="21" t="s">
        <v>7863</v>
      </c>
      <c r="R54" s="21"/>
      <c r="S54" t="s">
        <v>7929</v>
      </c>
      <c r="T54" t="s">
        <v>7917</v>
      </c>
      <c r="W54" t="s">
        <v>7918</v>
      </c>
      <c r="X54" t="s">
        <v>60</v>
      </c>
      <c r="Z54" s="15"/>
      <c r="AB54">
        <v>39.839765</v>
      </c>
      <c r="AC54">
        <v>-88.369113999999996</v>
      </c>
      <c r="AD54" t="s">
        <v>793</v>
      </c>
      <c r="AG54" t="s">
        <v>1715</v>
      </c>
      <c r="AH54" t="s">
        <v>63</v>
      </c>
      <c r="AI54" t="s">
        <v>7930</v>
      </c>
      <c r="AJ54">
        <v>194620</v>
      </c>
      <c r="AL54" t="s">
        <v>7931</v>
      </c>
      <c r="AM54" t="s">
        <v>7932</v>
      </c>
      <c r="AN54" t="s">
        <v>7933</v>
      </c>
      <c r="AO54" t="s">
        <v>68</v>
      </c>
      <c r="AQ54" t="s">
        <v>7934</v>
      </c>
      <c r="AR54" t="s">
        <v>7935</v>
      </c>
      <c r="AS54" t="s">
        <v>7936</v>
      </c>
      <c r="AV54" s="14" t="s">
        <v>72</v>
      </c>
      <c r="AW54" s="14" t="s">
        <v>73</v>
      </c>
      <c r="AX54" s="14" t="s">
        <v>74</v>
      </c>
    </row>
    <row r="55" spans="1:50" ht="15" customHeight="1" x14ac:dyDescent="0.4">
      <c r="A55" s="12">
        <v>4011</v>
      </c>
      <c r="B55" s="21" t="s">
        <v>7937</v>
      </c>
      <c r="C55" s="13" t="s">
        <v>7938</v>
      </c>
      <c r="D55" s="25" t="s">
        <v>7938</v>
      </c>
      <c r="E55" s="13"/>
      <c r="F55" s="41"/>
      <c r="G55" s="65" t="s">
        <v>8185</v>
      </c>
      <c r="H55" s="14" t="s">
        <v>1878</v>
      </c>
      <c r="I55" s="15">
        <v>44840</v>
      </c>
      <c r="J55" t="s">
        <v>7861</v>
      </c>
      <c r="K55" t="s">
        <v>51</v>
      </c>
      <c r="L55" t="s">
        <v>52</v>
      </c>
      <c r="M55" t="s">
        <v>53</v>
      </c>
      <c r="N55" t="s">
        <v>1707</v>
      </c>
      <c r="O55" t="s">
        <v>7862</v>
      </c>
      <c r="P55" t="s">
        <v>56</v>
      </c>
      <c r="Q55" s="21" t="s">
        <v>7863</v>
      </c>
      <c r="R55" s="21"/>
      <c r="S55" t="s">
        <v>7939</v>
      </c>
      <c r="T55" t="s">
        <v>7917</v>
      </c>
      <c r="W55" t="s">
        <v>7918</v>
      </c>
      <c r="X55" t="s">
        <v>1881</v>
      </c>
      <c r="Z55" s="15"/>
      <c r="AB55">
        <v>39.839716000000003</v>
      </c>
      <c r="AC55">
        <v>-88.369110000000006</v>
      </c>
      <c r="AD55" t="s">
        <v>7940</v>
      </c>
      <c r="AG55" t="s">
        <v>1715</v>
      </c>
      <c r="AH55" t="s">
        <v>63</v>
      </c>
      <c r="AI55" t="s">
        <v>7941</v>
      </c>
      <c r="AJ55">
        <v>194139</v>
      </c>
      <c r="AL55" t="s">
        <v>7942</v>
      </c>
      <c r="AM55" t="s">
        <v>7943</v>
      </c>
      <c r="AN55" t="s">
        <v>7944</v>
      </c>
      <c r="AO55" t="s">
        <v>68</v>
      </c>
      <c r="AQ55" t="s">
        <v>7945</v>
      </c>
      <c r="AR55" t="s">
        <v>7946</v>
      </c>
      <c r="AS55" t="s">
        <v>7947</v>
      </c>
      <c r="AV55" s="14" t="s">
        <v>72</v>
      </c>
      <c r="AW55" s="14" t="s">
        <v>73</v>
      </c>
      <c r="AX55" s="14" t="s">
        <v>1723</v>
      </c>
    </row>
    <row r="56" spans="1:50" ht="15" customHeight="1" x14ac:dyDescent="0.4">
      <c r="A56" s="12">
        <v>4012</v>
      </c>
      <c r="B56" s="21" t="s">
        <v>7948</v>
      </c>
      <c r="C56" s="13" t="s">
        <v>7949</v>
      </c>
      <c r="D56" s="25" t="s">
        <v>7949</v>
      </c>
      <c r="E56" s="13"/>
      <c r="F56" s="41"/>
      <c r="G56" s="65" t="s">
        <v>8185</v>
      </c>
      <c r="H56" s="14" t="s">
        <v>1878</v>
      </c>
      <c r="I56" s="15">
        <v>44840</v>
      </c>
      <c r="J56" t="s">
        <v>7861</v>
      </c>
      <c r="K56" t="s">
        <v>51</v>
      </c>
      <c r="L56" t="s">
        <v>52</v>
      </c>
      <c r="M56" t="s">
        <v>53</v>
      </c>
      <c r="N56" t="s">
        <v>1707</v>
      </c>
      <c r="O56" t="s">
        <v>7862</v>
      </c>
      <c r="P56" t="s">
        <v>56</v>
      </c>
      <c r="Q56" s="21" t="s">
        <v>7863</v>
      </c>
      <c r="R56" s="21"/>
      <c r="S56" t="s">
        <v>7950</v>
      </c>
      <c r="T56" t="s">
        <v>49</v>
      </c>
      <c r="W56" t="s">
        <v>7918</v>
      </c>
      <c r="X56" t="s">
        <v>1881</v>
      </c>
      <c r="Z56" s="15"/>
      <c r="AB56">
        <v>39.839182999999998</v>
      </c>
      <c r="AC56">
        <v>-88.369715999999997</v>
      </c>
      <c r="AD56" t="s">
        <v>7951</v>
      </c>
      <c r="AG56" t="s">
        <v>1715</v>
      </c>
      <c r="AH56" t="s">
        <v>63</v>
      </c>
      <c r="AI56" t="s">
        <v>7952</v>
      </c>
      <c r="AJ56">
        <v>194138</v>
      </c>
      <c r="AL56" t="s">
        <v>7953</v>
      </c>
      <c r="AM56" t="s">
        <v>7954</v>
      </c>
      <c r="AN56" t="s">
        <v>7955</v>
      </c>
      <c r="AO56" t="s">
        <v>68</v>
      </c>
      <c r="AQ56" t="s">
        <v>7956</v>
      </c>
      <c r="AR56" t="s">
        <v>7957</v>
      </c>
      <c r="AS56" t="s">
        <v>7958</v>
      </c>
      <c r="AV56" s="14" t="s">
        <v>72</v>
      </c>
      <c r="AW56" s="14" t="s">
        <v>73</v>
      </c>
      <c r="AX56" s="14" t="s">
        <v>1723</v>
      </c>
    </row>
    <row r="57" spans="1:50" ht="15" customHeight="1" x14ac:dyDescent="0.4">
      <c r="A57" s="12">
        <v>4013</v>
      </c>
      <c r="B57" s="21" t="s">
        <v>7959</v>
      </c>
      <c r="C57" s="13" t="s">
        <v>7960</v>
      </c>
      <c r="D57" s="25" t="s">
        <v>7960</v>
      </c>
      <c r="E57" s="13"/>
      <c r="F57" s="41"/>
      <c r="G57" s="65" t="s">
        <v>8185</v>
      </c>
      <c r="H57" s="14" t="s">
        <v>1878</v>
      </c>
      <c r="I57" s="15">
        <v>44840</v>
      </c>
      <c r="J57" t="s">
        <v>7861</v>
      </c>
      <c r="K57" t="s">
        <v>51</v>
      </c>
      <c r="L57" t="s">
        <v>52</v>
      </c>
      <c r="M57" t="s">
        <v>53</v>
      </c>
      <c r="N57" t="s">
        <v>1707</v>
      </c>
      <c r="O57" t="s">
        <v>7862</v>
      </c>
      <c r="P57" t="s">
        <v>56</v>
      </c>
      <c r="Q57" s="21" t="s">
        <v>7863</v>
      </c>
      <c r="R57" s="21"/>
      <c r="S57" t="s">
        <v>7929</v>
      </c>
      <c r="T57" t="s">
        <v>7961</v>
      </c>
      <c r="W57" t="s">
        <v>7918</v>
      </c>
      <c r="X57" t="s">
        <v>1881</v>
      </c>
      <c r="Z57" s="15"/>
      <c r="AB57">
        <v>39.839106999999998</v>
      </c>
      <c r="AC57">
        <v>-88.369207000000003</v>
      </c>
      <c r="AD57" t="s">
        <v>7951</v>
      </c>
      <c r="AG57" t="s">
        <v>1715</v>
      </c>
      <c r="AH57" t="s">
        <v>63</v>
      </c>
      <c r="AI57" t="s">
        <v>7962</v>
      </c>
      <c r="AJ57">
        <v>194140</v>
      </c>
      <c r="AL57" t="s">
        <v>7963</v>
      </c>
      <c r="AM57" t="s">
        <v>7964</v>
      </c>
      <c r="AN57" t="s">
        <v>7965</v>
      </c>
      <c r="AO57" t="s">
        <v>68</v>
      </c>
      <c r="AQ57" t="s">
        <v>7966</v>
      </c>
      <c r="AR57" t="s">
        <v>7967</v>
      </c>
      <c r="AS57" t="s">
        <v>7968</v>
      </c>
      <c r="AV57" s="14" t="s">
        <v>72</v>
      </c>
      <c r="AW57" s="14" t="s">
        <v>73</v>
      </c>
      <c r="AX57" s="14" t="s">
        <v>1723</v>
      </c>
    </row>
    <row r="58" spans="1:50" ht="15" customHeight="1" x14ac:dyDescent="0.4">
      <c r="A58" s="12">
        <v>3287</v>
      </c>
      <c r="B58" s="21" t="s">
        <v>1700</v>
      </c>
      <c r="C58" s="13" t="s">
        <v>1701</v>
      </c>
      <c r="D58" s="25" t="s">
        <v>1701</v>
      </c>
      <c r="E58" s="13" t="s">
        <v>1702</v>
      </c>
      <c r="F58" s="41"/>
      <c r="G58" s="65" t="s">
        <v>8185</v>
      </c>
      <c r="H58" s="14" t="s">
        <v>1703</v>
      </c>
      <c r="I58" s="15">
        <v>44715</v>
      </c>
      <c r="J58" t="s">
        <v>1704</v>
      </c>
      <c r="K58" t="s">
        <v>1705</v>
      </c>
      <c r="L58" t="s">
        <v>1706</v>
      </c>
      <c r="M58" t="s">
        <v>53</v>
      </c>
      <c r="N58" t="s">
        <v>1707</v>
      </c>
      <c r="O58" t="s">
        <v>1708</v>
      </c>
      <c r="P58" t="s">
        <v>56</v>
      </c>
      <c r="Q58" t="s">
        <v>1709</v>
      </c>
      <c r="R58" s="21" t="s">
        <v>1710</v>
      </c>
      <c r="S58" t="s">
        <v>1711</v>
      </c>
      <c r="T58" t="s">
        <v>1712</v>
      </c>
      <c r="X58" t="s">
        <v>1713</v>
      </c>
      <c r="Z58" s="15"/>
      <c r="AB58">
        <v>37.359717000000003</v>
      </c>
      <c r="AC58">
        <v>-88.917519999999996</v>
      </c>
      <c r="AD58" t="s">
        <v>1714</v>
      </c>
      <c r="AG58" t="s">
        <v>1715</v>
      </c>
      <c r="AH58" t="s">
        <v>63</v>
      </c>
      <c r="AI58" t="s">
        <v>1716</v>
      </c>
      <c r="AJ58">
        <v>193760</v>
      </c>
      <c r="AL58" t="s">
        <v>1717</v>
      </c>
      <c r="AM58" t="s">
        <v>1718</v>
      </c>
      <c r="AN58" t="s">
        <v>1719</v>
      </c>
      <c r="AO58" t="s">
        <v>68</v>
      </c>
      <c r="AQ58" t="s">
        <v>1720</v>
      </c>
      <c r="AR58" t="s">
        <v>1721</v>
      </c>
      <c r="AS58" t="s">
        <v>1722</v>
      </c>
      <c r="AV58" s="14" t="s">
        <v>72</v>
      </c>
      <c r="AW58" s="14" t="s">
        <v>73</v>
      </c>
      <c r="AX58" s="14" t="s">
        <v>1723</v>
      </c>
    </row>
    <row r="59" spans="1:50" ht="15" customHeight="1" x14ac:dyDescent="0.4">
      <c r="A59" s="12">
        <v>3288</v>
      </c>
      <c r="B59" s="21" t="s">
        <v>1724</v>
      </c>
      <c r="C59" s="13" t="s">
        <v>1725</v>
      </c>
      <c r="D59" s="25" t="s">
        <v>1725</v>
      </c>
      <c r="E59" s="13" t="s">
        <v>1726</v>
      </c>
      <c r="F59" s="41"/>
      <c r="G59" s="65" t="s">
        <v>8185</v>
      </c>
      <c r="H59" s="14" t="s">
        <v>1703</v>
      </c>
      <c r="I59" s="15">
        <v>44715</v>
      </c>
      <c r="J59" t="s">
        <v>1704</v>
      </c>
      <c r="K59" t="s">
        <v>1705</v>
      </c>
      <c r="L59" t="s">
        <v>1706</v>
      </c>
      <c r="M59" t="s">
        <v>53</v>
      </c>
      <c r="N59" t="s">
        <v>1707</v>
      </c>
      <c r="O59" t="s">
        <v>1708</v>
      </c>
      <c r="P59" t="s">
        <v>56</v>
      </c>
      <c r="Q59" t="s">
        <v>1709</v>
      </c>
      <c r="R59" s="21" t="s">
        <v>1710</v>
      </c>
      <c r="S59" t="s">
        <v>1727</v>
      </c>
      <c r="T59" t="s">
        <v>1728</v>
      </c>
      <c r="X59" t="s">
        <v>1713</v>
      </c>
      <c r="Z59" s="15"/>
      <c r="AB59">
        <v>37.358862000000002</v>
      </c>
      <c r="AC59">
        <v>-88.917535000000001</v>
      </c>
      <c r="AD59" t="s">
        <v>1729</v>
      </c>
      <c r="AG59" t="s">
        <v>1715</v>
      </c>
      <c r="AH59" t="s">
        <v>63</v>
      </c>
      <c r="AI59" t="s">
        <v>1730</v>
      </c>
      <c r="AJ59">
        <v>193761</v>
      </c>
      <c r="AL59" t="s">
        <v>1731</v>
      </c>
      <c r="AM59" t="s">
        <v>1732</v>
      </c>
      <c r="AN59" t="s">
        <v>1733</v>
      </c>
      <c r="AO59" t="s">
        <v>68</v>
      </c>
      <c r="AQ59" t="s">
        <v>1734</v>
      </c>
      <c r="AR59" t="s">
        <v>1735</v>
      </c>
      <c r="AS59" t="s">
        <v>1736</v>
      </c>
      <c r="AV59" s="14" t="s">
        <v>72</v>
      </c>
      <c r="AW59" s="14" t="s">
        <v>73</v>
      </c>
      <c r="AX59" s="14" t="s">
        <v>1723</v>
      </c>
    </row>
    <row r="60" spans="1:50" ht="15" customHeight="1" x14ac:dyDescent="0.4">
      <c r="A60" s="12">
        <v>3289</v>
      </c>
      <c r="B60" s="21" t="s">
        <v>1737</v>
      </c>
      <c r="C60" s="13" t="s">
        <v>1738</v>
      </c>
      <c r="D60" s="25" t="s">
        <v>1738</v>
      </c>
      <c r="E60" s="13" t="s">
        <v>1739</v>
      </c>
      <c r="F60" s="41"/>
      <c r="G60" s="65" t="s">
        <v>8185</v>
      </c>
      <c r="H60" s="14" t="s">
        <v>1703</v>
      </c>
      <c r="I60" s="15">
        <v>44715</v>
      </c>
      <c r="J60" t="s">
        <v>1704</v>
      </c>
      <c r="K60" t="s">
        <v>1705</v>
      </c>
      <c r="L60" t="s">
        <v>1706</v>
      </c>
      <c r="M60" t="s">
        <v>53</v>
      </c>
      <c r="N60" t="s">
        <v>1707</v>
      </c>
      <c r="O60" t="s">
        <v>1708</v>
      </c>
      <c r="P60" t="s">
        <v>56</v>
      </c>
      <c r="Q60" t="s">
        <v>1709</v>
      </c>
      <c r="R60" s="21" t="s">
        <v>1710</v>
      </c>
      <c r="S60" t="s">
        <v>1740</v>
      </c>
      <c r="T60" t="s">
        <v>1741</v>
      </c>
      <c r="X60" t="s">
        <v>1713</v>
      </c>
      <c r="Z60" s="15"/>
      <c r="AB60">
        <v>37.357104999999997</v>
      </c>
      <c r="AC60">
        <v>-88.916939999999997</v>
      </c>
      <c r="AD60" t="s">
        <v>1742</v>
      </c>
      <c r="AG60" t="s">
        <v>1715</v>
      </c>
      <c r="AH60" t="s">
        <v>63</v>
      </c>
      <c r="AI60" t="s">
        <v>1743</v>
      </c>
      <c r="AJ60">
        <v>193762</v>
      </c>
      <c r="AL60" t="s">
        <v>1744</v>
      </c>
      <c r="AM60" t="s">
        <v>1745</v>
      </c>
      <c r="AN60" t="s">
        <v>1746</v>
      </c>
      <c r="AO60" t="s">
        <v>68</v>
      </c>
      <c r="AQ60" t="s">
        <v>1747</v>
      </c>
      <c r="AR60" t="s">
        <v>1748</v>
      </c>
      <c r="AS60" t="s">
        <v>1749</v>
      </c>
      <c r="AV60" s="14" t="s">
        <v>72</v>
      </c>
      <c r="AW60" s="14" t="s">
        <v>73</v>
      </c>
      <c r="AX60" s="14" t="s">
        <v>1723</v>
      </c>
    </row>
    <row r="61" spans="1:50" ht="15" customHeight="1" x14ac:dyDescent="0.4">
      <c r="A61" s="12">
        <v>3528</v>
      </c>
      <c r="B61" s="21" t="s">
        <v>2265</v>
      </c>
      <c r="C61" s="13" t="s">
        <v>2266</v>
      </c>
      <c r="D61" s="25" t="s">
        <v>2266</v>
      </c>
      <c r="E61" s="13" t="s">
        <v>2267</v>
      </c>
      <c r="F61" s="41"/>
      <c r="G61" s="65" t="s">
        <v>8185</v>
      </c>
      <c r="H61" s="14" t="s">
        <v>49</v>
      </c>
      <c r="I61" s="15">
        <v>44705</v>
      </c>
      <c r="J61" t="s">
        <v>2268</v>
      </c>
      <c r="K61" t="s">
        <v>51</v>
      </c>
      <c r="L61" t="s">
        <v>52</v>
      </c>
      <c r="M61" t="s">
        <v>53</v>
      </c>
      <c r="N61" t="s">
        <v>1707</v>
      </c>
      <c r="O61" t="s">
        <v>2269</v>
      </c>
      <c r="P61" t="s">
        <v>56</v>
      </c>
      <c r="Q61" s="21" t="s">
        <v>2270</v>
      </c>
      <c r="R61" s="21"/>
      <c r="S61" t="s">
        <v>2271</v>
      </c>
      <c r="T61" t="s">
        <v>2272</v>
      </c>
      <c r="W61" t="s">
        <v>1758</v>
      </c>
      <c r="X61" t="s">
        <v>60</v>
      </c>
      <c r="Z61" s="15"/>
      <c r="AB61">
        <v>41.813830000000003</v>
      </c>
      <c r="AC61">
        <v>-88.062933000000001</v>
      </c>
      <c r="AD61" t="s">
        <v>2273</v>
      </c>
      <c r="AG61" t="s">
        <v>1715</v>
      </c>
      <c r="AH61" t="s">
        <v>63</v>
      </c>
      <c r="AI61" t="s">
        <v>2274</v>
      </c>
      <c r="AJ61">
        <v>194200</v>
      </c>
      <c r="AL61" t="s">
        <v>2275</v>
      </c>
      <c r="AM61" t="s">
        <v>2276</v>
      </c>
      <c r="AN61" t="s">
        <v>2277</v>
      </c>
      <c r="AO61" t="s">
        <v>68</v>
      </c>
      <c r="AQ61" t="s">
        <v>2278</v>
      </c>
      <c r="AR61" t="s">
        <v>2279</v>
      </c>
      <c r="AS61" t="s">
        <v>2280</v>
      </c>
      <c r="AV61" s="14" t="s">
        <v>72</v>
      </c>
      <c r="AW61" s="14" t="s">
        <v>73</v>
      </c>
      <c r="AX61" s="14" t="s">
        <v>74</v>
      </c>
    </row>
    <row r="62" spans="1:50" ht="15" customHeight="1" x14ac:dyDescent="0.4">
      <c r="A62" s="12">
        <v>3531</v>
      </c>
      <c r="B62" s="21" t="s">
        <v>2305</v>
      </c>
      <c r="C62" s="13" t="s">
        <v>2306</v>
      </c>
      <c r="D62" s="25" t="s">
        <v>2306</v>
      </c>
      <c r="E62" s="13" t="s">
        <v>2307</v>
      </c>
      <c r="F62" s="41"/>
      <c r="G62" s="65" t="s">
        <v>8185</v>
      </c>
      <c r="H62" s="14" t="s">
        <v>1878</v>
      </c>
      <c r="I62" s="15">
        <v>44705</v>
      </c>
      <c r="J62" t="s">
        <v>2268</v>
      </c>
      <c r="K62" t="s">
        <v>51</v>
      </c>
      <c r="L62" t="s">
        <v>52</v>
      </c>
      <c r="M62" t="s">
        <v>53</v>
      </c>
      <c r="N62" t="s">
        <v>1707</v>
      </c>
      <c r="O62" t="s">
        <v>2269</v>
      </c>
      <c r="P62" t="s">
        <v>56</v>
      </c>
      <c r="Q62" s="21" t="s">
        <v>2270</v>
      </c>
      <c r="R62" s="21"/>
      <c r="S62" t="s">
        <v>2271</v>
      </c>
      <c r="T62" t="s">
        <v>2308</v>
      </c>
      <c r="X62" t="s">
        <v>1881</v>
      </c>
      <c r="Z62" s="15"/>
      <c r="AB62">
        <v>41.813845999999998</v>
      </c>
      <c r="AC62">
        <v>-88.063775000000007</v>
      </c>
      <c r="AD62" t="s">
        <v>225</v>
      </c>
      <c r="AG62" t="s">
        <v>1715</v>
      </c>
      <c r="AH62" t="s">
        <v>63</v>
      </c>
      <c r="AI62" t="s">
        <v>2309</v>
      </c>
      <c r="AJ62">
        <v>193918</v>
      </c>
      <c r="AL62" t="s">
        <v>2310</v>
      </c>
      <c r="AM62" t="s">
        <v>2311</v>
      </c>
      <c r="AN62" t="s">
        <v>2312</v>
      </c>
      <c r="AO62" t="s">
        <v>68</v>
      </c>
      <c r="AQ62" t="s">
        <v>2313</v>
      </c>
      <c r="AR62" t="s">
        <v>2314</v>
      </c>
      <c r="AS62" t="s">
        <v>2315</v>
      </c>
      <c r="AV62" s="14" t="s">
        <v>72</v>
      </c>
      <c r="AW62" s="14" t="s">
        <v>73</v>
      </c>
      <c r="AX62" s="14" t="s">
        <v>1723</v>
      </c>
    </row>
    <row r="63" spans="1:50" ht="15" customHeight="1" x14ac:dyDescent="0.4">
      <c r="A63" s="12">
        <v>3530</v>
      </c>
      <c r="B63" s="21" t="s">
        <v>2293</v>
      </c>
      <c r="C63" s="13" t="s">
        <v>2294</v>
      </c>
      <c r="D63" s="25" t="s">
        <v>2294</v>
      </c>
      <c r="E63" s="13" t="s">
        <v>2295</v>
      </c>
      <c r="F63" s="41"/>
      <c r="G63" s="65" t="s">
        <v>8185</v>
      </c>
      <c r="H63" s="14" t="s">
        <v>49</v>
      </c>
      <c r="I63" s="15">
        <v>44705</v>
      </c>
      <c r="J63" t="s">
        <v>2268</v>
      </c>
      <c r="K63" t="s">
        <v>51</v>
      </c>
      <c r="L63" t="s">
        <v>52</v>
      </c>
      <c r="M63" t="s">
        <v>53</v>
      </c>
      <c r="N63" t="s">
        <v>1707</v>
      </c>
      <c r="O63" t="s">
        <v>2269</v>
      </c>
      <c r="P63" t="s">
        <v>56</v>
      </c>
      <c r="Q63" s="21" t="s">
        <v>2270</v>
      </c>
      <c r="R63" s="21"/>
      <c r="S63" t="s">
        <v>2271</v>
      </c>
      <c r="T63" t="s">
        <v>2296</v>
      </c>
      <c r="X63" t="s">
        <v>60</v>
      </c>
      <c r="Z63" s="15"/>
      <c r="AB63">
        <v>41.813960999999999</v>
      </c>
      <c r="AC63">
        <v>-88.063804000000005</v>
      </c>
      <c r="AD63" t="s">
        <v>2297</v>
      </c>
      <c r="AG63" t="s">
        <v>1715</v>
      </c>
      <c r="AH63" t="s">
        <v>63</v>
      </c>
      <c r="AI63" t="s">
        <v>2298</v>
      </c>
      <c r="AJ63">
        <v>194203</v>
      </c>
      <c r="AL63" t="s">
        <v>2299</v>
      </c>
      <c r="AM63" t="s">
        <v>2300</v>
      </c>
      <c r="AN63" t="s">
        <v>2301</v>
      </c>
      <c r="AO63" t="s">
        <v>68</v>
      </c>
      <c r="AQ63" t="s">
        <v>2302</v>
      </c>
      <c r="AR63" t="s">
        <v>2303</v>
      </c>
      <c r="AS63" t="s">
        <v>2304</v>
      </c>
      <c r="AV63" s="14" t="s">
        <v>72</v>
      </c>
      <c r="AW63" s="14" t="s">
        <v>73</v>
      </c>
      <c r="AX63" s="14" t="s">
        <v>74</v>
      </c>
    </row>
    <row r="64" spans="1:50" s="34" customFormat="1" ht="15" customHeight="1" x14ac:dyDescent="0.4">
      <c r="A64" s="12">
        <v>3529</v>
      </c>
      <c r="B64" s="21" t="s">
        <v>2281</v>
      </c>
      <c r="C64" s="13" t="s">
        <v>2282</v>
      </c>
      <c r="D64" s="25" t="s">
        <v>2282</v>
      </c>
      <c r="E64" s="13" t="s">
        <v>2283</v>
      </c>
      <c r="F64" s="41"/>
      <c r="G64" s="65" t="s">
        <v>8185</v>
      </c>
      <c r="H64" s="14" t="s">
        <v>1878</v>
      </c>
      <c r="I64" s="15">
        <v>44705</v>
      </c>
      <c r="J64" t="s">
        <v>2268</v>
      </c>
      <c r="K64" t="s">
        <v>51</v>
      </c>
      <c r="L64" t="s">
        <v>52</v>
      </c>
      <c r="M64" t="s">
        <v>53</v>
      </c>
      <c r="N64" t="s">
        <v>1707</v>
      </c>
      <c r="O64" t="s">
        <v>2269</v>
      </c>
      <c r="P64" t="s">
        <v>56</v>
      </c>
      <c r="Q64" s="21" t="s">
        <v>2270</v>
      </c>
      <c r="R64" s="21"/>
      <c r="S64" t="s">
        <v>2271</v>
      </c>
      <c r="T64" t="s">
        <v>2284</v>
      </c>
      <c r="U64"/>
      <c r="V64"/>
      <c r="W64"/>
      <c r="X64" t="s">
        <v>1881</v>
      </c>
      <c r="Y64"/>
      <c r="Z64" s="15"/>
      <c r="AA64"/>
      <c r="AB64">
        <v>41.813921999999998</v>
      </c>
      <c r="AC64">
        <v>-88.062901999999994</v>
      </c>
      <c r="AD64" t="s">
        <v>2285</v>
      </c>
      <c r="AE64"/>
      <c r="AF64"/>
      <c r="AG64" t="s">
        <v>1715</v>
      </c>
      <c r="AH64" t="s">
        <v>63</v>
      </c>
      <c r="AI64" t="s">
        <v>2286</v>
      </c>
      <c r="AJ64">
        <v>192541</v>
      </c>
      <c r="AK64"/>
      <c r="AL64" t="s">
        <v>2287</v>
      </c>
      <c r="AM64" t="s">
        <v>2288</v>
      </c>
      <c r="AN64" t="s">
        <v>2289</v>
      </c>
      <c r="AO64" t="s">
        <v>68</v>
      </c>
      <c r="AP64"/>
      <c r="AQ64" t="s">
        <v>2290</v>
      </c>
      <c r="AR64" t="s">
        <v>2291</v>
      </c>
      <c r="AS64" t="s">
        <v>2292</v>
      </c>
      <c r="AT64" s="31"/>
      <c r="AU64" s="31"/>
      <c r="AV64" s="14" t="s">
        <v>72</v>
      </c>
      <c r="AW64" s="14" t="s">
        <v>73</v>
      </c>
      <c r="AX64" s="14" t="s">
        <v>1723</v>
      </c>
    </row>
    <row r="65" spans="1:50" s="34" customFormat="1" ht="15" customHeight="1" x14ac:dyDescent="0.4">
      <c r="A65" s="12">
        <v>3532</v>
      </c>
      <c r="B65" s="21" t="s">
        <v>2316</v>
      </c>
      <c r="C65" s="13" t="s">
        <v>2317</v>
      </c>
      <c r="D65" s="25" t="s">
        <v>2317</v>
      </c>
      <c r="E65" s="13" t="s">
        <v>2318</v>
      </c>
      <c r="F65" s="41" t="s">
        <v>2222</v>
      </c>
      <c r="G65" s="65" t="s">
        <v>8185</v>
      </c>
      <c r="H65" s="14" t="s">
        <v>2319</v>
      </c>
      <c r="I65" s="15">
        <v>44705</v>
      </c>
      <c r="J65" t="s">
        <v>2268</v>
      </c>
      <c r="K65" t="s">
        <v>51</v>
      </c>
      <c r="L65" t="s">
        <v>52</v>
      </c>
      <c r="M65" t="s">
        <v>53</v>
      </c>
      <c r="N65" t="s">
        <v>1707</v>
      </c>
      <c r="O65" t="s">
        <v>2269</v>
      </c>
      <c r="P65" t="s">
        <v>56</v>
      </c>
      <c r="Q65" s="21" t="s">
        <v>2270</v>
      </c>
      <c r="R65" s="21"/>
      <c r="S65" t="s">
        <v>2271</v>
      </c>
      <c r="T65" t="s">
        <v>2320</v>
      </c>
      <c r="U65"/>
      <c r="V65"/>
      <c r="W65" t="s">
        <v>2321</v>
      </c>
      <c r="X65" t="s">
        <v>2322</v>
      </c>
      <c r="Y65"/>
      <c r="Z65" s="15"/>
      <c r="AA65"/>
      <c r="AB65">
        <v>41.815708999999998</v>
      </c>
      <c r="AC65">
        <v>-88.061440000000005</v>
      </c>
      <c r="AD65" t="s">
        <v>2323</v>
      </c>
      <c r="AE65"/>
      <c r="AF65"/>
      <c r="AG65" t="s">
        <v>1715</v>
      </c>
      <c r="AH65" t="s">
        <v>63</v>
      </c>
      <c r="AI65" t="s">
        <v>2324</v>
      </c>
      <c r="AJ65">
        <v>192568</v>
      </c>
      <c r="AK65"/>
      <c r="AL65" t="s">
        <v>2325</v>
      </c>
      <c r="AM65" t="s">
        <v>2326</v>
      </c>
      <c r="AN65" t="s">
        <v>2327</v>
      </c>
      <c r="AO65" t="s">
        <v>68</v>
      </c>
      <c r="AP65"/>
      <c r="AQ65" t="s">
        <v>2328</v>
      </c>
      <c r="AR65" t="s">
        <v>2329</v>
      </c>
      <c r="AS65" t="s">
        <v>2330</v>
      </c>
      <c r="AT65" s="31"/>
      <c r="AU65" s="31"/>
      <c r="AV65" s="14" t="e">
        <v>#N/A</v>
      </c>
      <c r="AW65" s="14" t="e">
        <v>#N/A</v>
      </c>
      <c r="AX65" s="14" t="e">
        <v>#N/A</v>
      </c>
    </row>
    <row r="66" spans="1:50" s="34" customFormat="1" ht="15" customHeight="1" x14ac:dyDescent="0.4">
      <c r="A66" s="12">
        <v>3533</v>
      </c>
      <c r="B66" s="21" t="s">
        <v>2331</v>
      </c>
      <c r="C66" s="13" t="s">
        <v>2332</v>
      </c>
      <c r="D66" s="25" t="s">
        <v>2332</v>
      </c>
      <c r="E66" s="13" t="s">
        <v>2333</v>
      </c>
      <c r="F66" s="41"/>
      <c r="G66" s="65" t="s">
        <v>8185</v>
      </c>
      <c r="H66" s="14" t="s">
        <v>1878</v>
      </c>
      <c r="I66" s="15">
        <v>44705</v>
      </c>
      <c r="J66" t="s">
        <v>2268</v>
      </c>
      <c r="K66" t="s">
        <v>51</v>
      </c>
      <c r="L66" t="s">
        <v>52</v>
      </c>
      <c r="M66" t="s">
        <v>53</v>
      </c>
      <c r="N66" t="s">
        <v>1707</v>
      </c>
      <c r="O66" t="s">
        <v>2269</v>
      </c>
      <c r="P66" t="s">
        <v>56</v>
      </c>
      <c r="Q66" s="21" t="s">
        <v>2270</v>
      </c>
      <c r="R66" s="21"/>
      <c r="S66" t="s">
        <v>2334</v>
      </c>
      <c r="T66" t="s">
        <v>2335</v>
      </c>
      <c r="U66"/>
      <c r="V66"/>
      <c r="W66" t="s">
        <v>2336</v>
      </c>
      <c r="X66" t="s">
        <v>1881</v>
      </c>
      <c r="Y66"/>
      <c r="Z66" s="15"/>
      <c r="AA66"/>
      <c r="AB66">
        <v>41.815707000000003</v>
      </c>
      <c r="AC66">
        <v>-88.061199999999999</v>
      </c>
      <c r="AD66" t="s">
        <v>2337</v>
      </c>
      <c r="AE66"/>
      <c r="AF66"/>
      <c r="AG66" t="s">
        <v>1715</v>
      </c>
      <c r="AH66" t="s">
        <v>63</v>
      </c>
      <c r="AI66" t="s">
        <v>2338</v>
      </c>
      <c r="AJ66">
        <v>193919</v>
      </c>
      <c r="AK66"/>
      <c r="AL66" t="s">
        <v>2339</v>
      </c>
      <c r="AM66" t="s">
        <v>2340</v>
      </c>
      <c r="AN66" t="s">
        <v>2341</v>
      </c>
      <c r="AO66" t="s">
        <v>68</v>
      </c>
      <c r="AP66"/>
      <c r="AQ66" t="s">
        <v>2342</v>
      </c>
      <c r="AR66" t="s">
        <v>2343</v>
      </c>
      <c r="AS66" t="s">
        <v>2344</v>
      </c>
      <c r="AT66" s="31"/>
      <c r="AU66" s="31"/>
      <c r="AV66" s="14" t="s">
        <v>72</v>
      </c>
      <c r="AW66" s="14" t="s">
        <v>73</v>
      </c>
      <c r="AX66" s="14" t="s">
        <v>1723</v>
      </c>
    </row>
    <row r="67" spans="1:50" s="34" customFormat="1" ht="15" customHeight="1" x14ac:dyDescent="0.4">
      <c r="A67" s="12">
        <v>3535</v>
      </c>
      <c r="B67" s="21" t="s">
        <v>2358</v>
      </c>
      <c r="C67" s="13" t="s">
        <v>2359</v>
      </c>
      <c r="D67" s="25" t="s">
        <v>2359</v>
      </c>
      <c r="E67" s="13" t="s">
        <v>2360</v>
      </c>
      <c r="F67" s="41"/>
      <c r="G67" s="65" t="s">
        <v>8185</v>
      </c>
      <c r="H67" s="14" t="s">
        <v>1878</v>
      </c>
      <c r="I67" s="15">
        <v>44705</v>
      </c>
      <c r="J67" t="s">
        <v>2268</v>
      </c>
      <c r="K67" t="s">
        <v>51</v>
      </c>
      <c r="L67" t="s">
        <v>52</v>
      </c>
      <c r="M67" t="s">
        <v>53</v>
      </c>
      <c r="N67" t="s">
        <v>1707</v>
      </c>
      <c r="O67" t="s">
        <v>2269</v>
      </c>
      <c r="P67" t="s">
        <v>56</v>
      </c>
      <c r="Q67" s="21" t="s">
        <v>2270</v>
      </c>
      <c r="R67" s="21"/>
      <c r="S67" t="s">
        <v>2348</v>
      </c>
      <c r="T67" t="s">
        <v>2361</v>
      </c>
      <c r="U67"/>
      <c r="V67"/>
      <c r="W67" t="s">
        <v>2336</v>
      </c>
      <c r="X67" t="s">
        <v>1881</v>
      </c>
      <c r="Y67"/>
      <c r="Z67" s="15"/>
      <c r="AA67"/>
      <c r="AB67">
        <v>41.815891999999998</v>
      </c>
      <c r="AC67">
        <v>-88.060242000000002</v>
      </c>
      <c r="AD67" t="s">
        <v>2350</v>
      </c>
      <c r="AE67"/>
      <c r="AF67"/>
      <c r="AG67" t="s">
        <v>1715</v>
      </c>
      <c r="AH67" t="s">
        <v>63</v>
      </c>
      <c r="AI67" t="s">
        <v>2362</v>
      </c>
      <c r="AJ67">
        <v>193920</v>
      </c>
      <c r="AK67"/>
      <c r="AL67" t="s">
        <v>2363</v>
      </c>
      <c r="AM67" t="s">
        <v>2364</v>
      </c>
      <c r="AN67" t="s">
        <v>2365</v>
      </c>
      <c r="AO67" t="s">
        <v>68</v>
      </c>
      <c r="AP67"/>
      <c r="AQ67" t="s">
        <v>2366</v>
      </c>
      <c r="AR67" t="s">
        <v>2367</v>
      </c>
      <c r="AS67" t="s">
        <v>2368</v>
      </c>
      <c r="AT67" s="31"/>
      <c r="AU67" s="31"/>
      <c r="AV67" s="14" t="s">
        <v>72</v>
      </c>
      <c r="AW67" s="14" t="s">
        <v>73</v>
      </c>
      <c r="AX67" s="14" t="s">
        <v>1723</v>
      </c>
    </row>
    <row r="68" spans="1:50" s="34" customFormat="1" ht="15" customHeight="1" x14ac:dyDescent="0.4">
      <c r="A68" s="12">
        <v>3534</v>
      </c>
      <c r="B68" s="21" t="s">
        <v>2345</v>
      </c>
      <c r="C68" s="13" t="s">
        <v>2346</v>
      </c>
      <c r="D68" s="25" t="s">
        <v>2346</v>
      </c>
      <c r="E68" s="13" t="s">
        <v>2347</v>
      </c>
      <c r="F68" s="41"/>
      <c r="G68" s="65" t="s">
        <v>8185</v>
      </c>
      <c r="H68" s="14" t="s">
        <v>49</v>
      </c>
      <c r="I68" s="15">
        <v>44705</v>
      </c>
      <c r="J68" t="s">
        <v>2268</v>
      </c>
      <c r="K68" t="s">
        <v>51</v>
      </c>
      <c r="L68" t="s">
        <v>52</v>
      </c>
      <c r="M68" t="s">
        <v>53</v>
      </c>
      <c r="N68" t="s">
        <v>1707</v>
      </c>
      <c r="O68" t="s">
        <v>2269</v>
      </c>
      <c r="P68" t="s">
        <v>56</v>
      </c>
      <c r="Q68" s="21" t="s">
        <v>2270</v>
      </c>
      <c r="R68" s="21"/>
      <c r="S68" t="s">
        <v>2348</v>
      </c>
      <c r="T68" t="s">
        <v>2349</v>
      </c>
      <c r="U68"/>
      <c r="V68"/>
      <c r="W68"/>
      <c r="X68" t="s">
        <v>60</v>
      </c>
      <c r="Y68"/>
      <c r="Z68" s="15"/>
      <c r="AA68"/>
      <c r="AB68">
        <v>41.815863</v>
      </c>
      <c r="AC68">
        <v>-88.060169999999999</v>
      </c>
      <c r="AD68" t="s">
        <v>2350</v>
      </c>
      <c r="AE68"/>
      <c r="AF68"/>
      <c r="AG68" t="s">
        <v>1715</v>
      </c>
      <c r="AH68" t="s">
        <v>63</v>
      </c>
      <c r="AI68" t="s">
        <v>2351</v>
      </c>
      <c r="AJ68">
        <v>194204</v>
      </c>
      <c r="AK68"/>
      <c r="AL68" t="s">
        <v>2352</v>
      </c>
      <c r="AM68" t="s">
        <v>2353</v>
      </c>
      <c r="AN68" t="s">
        <v>2354</v>
      </c>
      <c r="AO68" t="s">
        <v>68</v>
      </c>
      <c r="AP68"/>
      <c r="AQ68" t="s">
        <v>2355</v>
      </c>
      <c r="AR68" t="s">
        <v>2356</v>
      </c>
      <c r="AS68" t="s">
        <v>2357</v>
      </c>
      <c r="AT68" s="31"/>
      <c r="AU68" s="31"/>
      <c r="AV68" s="14" t="s">
        <v>72</v>
      </c>
      <c r="AW68" s="14" t="s">
        <v>73</v>
      </c>
      <c r="AX68" s="14" t="s">
        <v>74</v>
      </c>
    </row>
    <row r="69" spans="1:50" s="34" customFormat="1" ht="15" customHeight="1" x14ac:dyDescent="0.4">
      <c r="A69" s="12">
        <v>3536</v>
      </c>
      <c r="B69" s="21" t="s">
        <v>2369</v>
      </c>
      <c r="C69" s="13" t="s">
        <v>2370</v>
      </c>
      <c r="D69" s="25" t="s">
        <v>2370</v>
      </c>
      <c r="E69" s="13" t="s">
        <v>2371</v>
      </c>
      <c r="F69" s="41"/>
      <c r="G69" s="65" t="s">
        <v>8185</v>
      </c>
      <c r="H69" s="14" t="s">
        <v>49</v>
      </c>
      <c r="I69" s="15">
        <v>44705</v>
      </c>
      <c r="J69" t="s">
        <v>2268</v>
      </c>
      <c r="K69" t="s">
        <v>51</v>
      </c>
      <c r="L69" t="s">
        <v>52</v>
      </c>
      <c r="M69" t="s">
        <v>53</v>
      </c>
      <c r="N69" t="s">
        <v>1707</v>
      </c>
      <c r="O69" t="s">
        <v>2269</v>
      </c>
      <c r="P69" t="s">
        <v>56</v>
      </c>
      <c r="Q69" s="21" t="s">
        <v>2270</v>
      </c>
      <c r="R69" s="21"/>
      <c r="S69" t="s">
        <v>2372</v>
      </c>
      <c r="T69" t="s">
        <v>2373</v>
      </c>
      <c r="U69"/>
      <c r="V69"/>
      <c r="W69" t="s">
        <v>1758</v>
      </c>
      <c r="X69" t="s">
        <v>60</v>
      </c>
      <c r="Y69"/>
      <c r="Z69" s="15"/>
      <c r="AA69"/>
      <c r="AB69">
        <v>41.814978000000004</v>
      </c>
      <c r="AC69">
        <v>-88.061147000000005</v>
      </c>
      <c r="AD69" t="s">
        <v>2337</v>
      </c>
      <c r="AE69"/>
      <c r="AF69"/>
      <c r="AG69" t="s">
        <v>1715</v>
      </c>
      <c r="AH69" t="s">
        <v>63</v>
      </c>
      <c r="AI69" t="s">
        <v>2374</v>
      </c>
      <c r="AJ69">
        <v>194205</v>
      </c>
      <c r="AK69"/>
      <c r="AL69" t="s">
        <v>2375</v>
      </c>
      <c r="AM69" t="s">
        <v>2376</v>
      </c>
      <c r="AN69" t="s">
        <v>2377</v>
      </c>
      <c r="AO69" t="s">
        <v>68</v>
      </c>
      <c r="AP69"/>
      <c r="AQ69" t="s">
        <v>2378</v>
      </c>
      <c r="AR69" t="s">
        <v>2379</v>
      </c>
      <c r="AS69" t="s">
        <v>2380</v>
      </c>
      <c r="AT69" s="31"/>
      <c r="AU69" s="31"/>
      <c r="AV69" s="14" t="s">
        <v>72</v>
      </c>
      <c r="AW69" s="14" t="s">
        <v>73</v>
      </c>
      <c r="AX69" s="14" t="s">
        <v>74</v>
      </c>
    </row>
    <row r="70" spans="1:50" ht="15" customHeight="1" x14ac:dyDescent="0.4">
      <c r="A70" s="12">
        <v>3538</v>
      </c>
      <c r="B70" s="21" t="s">
        <v>2394</v>
      </c>
      <c r="C70" s="13" t="s">
        <v>2395</v>
      </c>
      <c r="D70" s="25" t="s">
        <v>2395</v>
      </c>
      <c r="E70" s="13" t="s">
        <v>2396</v>
      </c>
      <c r="F70" s="41"/>
      <c r="G70" s="65" t="s">
        <v>8185</v>
      </c>
      <c r="H70" s="14" t="s">
        <v>1878</v>
      </c>
      <c r="I70" s="15">
        <v>44705</v>
      </c>
      <c r="J70" t="s">
        <v>2268</v>
      </c>
      <c r="K70" t="s">
        <v>51</v>
      </c>
      <c r="L70" t="s">
        <v>52</v>
      </c>
      <c r="M70" t="s">
        <v>53</v>
      </c>
      <c r="N70" t="s">
        <v>1707</v>
      </c>
      <c r="O70" t="s">
        <v>2269</v>
      </c>
      <c r="P70" t="s">
        <v>56</v>
      </c>
      <c r="Q70" s="21" t="s">
        <v>2270</v>
      </c>
      <c r="R70" s="21"/>
      <c r="S70" t="s">
        <v>2397</v>
      </c>
      <c r="T70" t="s">
        <v>2398</v>
      </c>
      <c r="X70" t="s">
        <v>1881</v>
      </c>
      <c r="Z70" s="15"/>
      <c r="AB70">
        <v>41.819198</v>
      </c>
      <c r="AC70">
        <v>-88.051045999999999</v>
      </c>
      <c r="AD70" t="s">
        <v>2399</v>
      </c>
      <c r="AG70" t="s">
        <v>1715</v>
      </c>
      <c r="AH70" t="s">
        <v>63</v>
      </c>
      <c r="AI70" t="s">
        <v>2400</v>
      </c>
      <c r="AJ70">
        <v>193921</v>
      </c>
      <c r="AL70" t="s">
        <v>2401</v>
      </c>
      <c r="AM70" t="s">
        <v>2402</v>
      </c>
      <c r="AN70" t="s">
        <v>2403</v>
      </c>
      <c r="AO70" t="s">
        <v>68</v>
      </c>
      <c r="AQ70" t="s">
        <v>2404</v>
      </c>
      <c r="AR70" t="s">
        <v>2405</v>
      </c>
      <c r="AS70" t="s">
        <v>2406</v>
      </c>
      <c r="AV70" s="14" t="s">
        <v>72</v>
      </c>
      <c r="AW70" s="14" t="s">
        <v>73</v>
      </c>
      <c r="AX70" s="14" t="s">
        <v>1723</v>
      </c>
    </row>
    <row r="71" spans="1:50" ht="15" customHeight="1" x14ac:dyDescent="0.4">
      <c r="A71" s="12">
        <v>3537</v>
      </c>
      <c r="B71" s="21" t="s">
        <v>2381</v>
      </c>
      <c r="C71" s="13" t="s">
        <v>2382</v>
      </c>
      <c r="D71" s="25" t="s">
        <v>2382</v>
      </c>
      <c r="E71" s="13" t="s">
        <v>2383</v>
      </c>
      <c r="F71" s="41"/>
      <c r="G71" s="65" t="s">
        <v>8185</v>
      </c>
      <c r="H71" s="14" t="s">
        <v>49</v>
      </c>
      <c r="I71" s="15">
        <v>44705</v>
      </c>
      <c r="J71" t="s">
        <v>2268</v>
      </c>
      <c r="K71" t="s">
        <v>51</v>
      </c>
      <c r="L71" t="s">
        <v>52</v>
      </c>
      <c r="M71" t="s">
        <v>53</v>
      </c>
      <c r="N71" t="s">
        <v>1707</v>
      </c>
      <c r="O71" t="s">
        <v>2269</v>
      </c>
      <c r="P71" t="s">
        <v>56</v>
      </c>
      <c r="Q71" s="21" t="s">
        <v>2270</v>
      </c>
      <c r="R71" s="21"/>
      <c r="S71" t="s">
        <v>2384</v>
      </c>
      <c r="T71" t="s">
        <v>2385</v>
      </c>
      <c r="X71" t="s">
        <v>60</v>
      </c>
      <c r="Z71" s="15"/>
      <c r="AB71">
        <v>41.819274999999998</v>
      </c>
      <c r="AC71">
        <v>-88.050901999999994</v>
      </c>
      <c r="AD71" t="s">
        <v>2386</v>
      </c>
      <c r="AG71" t="s">
        <v>1715</v>
      </c>
      <c r="AH71" t="s">
        <v>63</v>
      </c>
      <c r="AI71" t="s">
        <v>2387</v>
      </c>
      <c r="AJ71">
        <v>194206</v>
      </c>
      <c r="AL71" t="s">
        <v>2388</v>
      </c>
      <c r="AM71" t="s">
        <v>2389</v>
      </c>
      <c r="AN71" t="s">
        <v>2390</v>
      </c>
      <c r="AO71" t="s">
        <v>68</v>
      </c>
      <c r="AQ71" t="s">
        <v>2391</v>
      </c>
      <c r="AR71" t="s">
        <v>2392</v>
      </c>
      <c r="AS71" t="s">
        <v>2393</v>
      </c>
      <c r="AV71" s="14" t="s">
        <v>72</v>
      </c>
      <c r="AW71" s="14" t="s">
        <v>73</v>
      </c>
      <c r="AX71" s="14" t="s">
        <v>74</v>
      </c>
    </row>
    <row r="72" spans="1:50" ht="15" customHeight="1" x14ac:dyDescent="0.4">
      <c r="A72" s="12">
        <v>3539</v>
      </c>
      <c r="B72" s="21" t="s">
        <v>2407</v>
      </c>
      <c r="C72" s="13" t="s">
        <v>2408</v>
      </c>
      <c r="D72" s="25" t="s">
        <v>2408</v>
      </c>
      <c r="E72" s="13" t="s">
        <v>2409</v>
      </c>
      <c r="F72" s="41"/>
      <c r="G72" s="65" t="s">
        <v>8185</v>
      </c>
      <c r="H72" s="14" t="s">
        <v>49</v>
      </c>
      <c r="I72" s="15">
        <v>44705</v>
      </c>
      <c r="J72" t="s">
        <v>2268</v>
      </c>
      <c r="K72" t="s">
        <v>51</v>
      </c>
      <c r="L72" t="s">
        <v>52</v>
      </c>
      <c r="M72" t="s">
        <v>53</v>
      </c>
      <c r="N72" t="s">
        <v>1707</v>
      </c>
      <c r="O72" t="s">
        <v>2269</v>
      </c>
      <c r="P72" t="s">
        <v>56</v>
      </c>
      <c r="Q72" s="21" t="s">
        <v>2270</v>
      </c>
      <c r="R72" s="21"/>
      <c r="S72" t="s">
        <v>2410</v>
      </c>
      <c r="T72" t="s">
        <v>2411</v>
      </c>
      <c r="X72" t="s">
        <v>60</v>
      </c>
      <c r="Z72" s="15"/>
      <c r="AB72">
        <v>41.820968000000001</v>
      </c>
      <c r="AC72">
        <v>-88.052361000000005</v>
      </c>
      <c r="AD72" t="s">
        <v>2412</v>
      </c>
      <c r="AG72" t="s">
        <v>1715</v>
      </c>
      <c r="AH72" t="s">
        <v>63</v>
      </c>
      <c r="AI72" t="s">
        <v>2413</v>
      </c>
      <c r="AJ72">
        <v>194415</v>
      </c>
      <c r="AL72" t="s">
        <v>2414</v>
      </c>
      <c r="AM72" t="s">
        <v>2415</v>
      </c>
      <c r="AN72" t="s">
        <v>2416</v>
      </c>
      <c r="AO72" t="s">
        <v>68</v>
      </c>
      <c r="AQ72" t="s">
        <v>2417</v>
      </c>
      <c r="AR72" t="s">
        <v>2418</v>
      </c>
      <c r="AS72" t="s">
        <v>2419</v>
      </c>
      <c r="AV72" s="14" t="s">
        <v>72</v>
      </c>
      <c r="AW72" s="14" t="s">
        <v>73</v>
      </c>
      <c r="AX72" s="14" t="s">
        <v>74</v>
      </c>
    </row>
    <row r="73" spans="1:50" ht="15" customHeight="1" x14ac:dyDescent="0.4">
      <c r="A73" s="12">
        <v>3540</v>
      </c>
      <c r="B73" s="21" t="s">
        <v>2420</v>
      </c>
      <c r="C73" s="13" t="s">
        <v>2421</v>
      </c>
      <c r="D73" s="25" t="s">
        <v>2421</v>
      </c>
      <c r="E73" s="13" t="s">
        <v>2422</v>
      </c>
      <c r="F73" s="41"/>
      <c r="G73" s="65" t="s">
        <v>8185</v>
      </c>
      <c r="H73" s="14" t="s">
        <v>1878</v>
      </c>
      <c r="I73" s="15">
        <v>44705</v>
      </c>
      <c r="J73" t="s">
        <v>2268</v>
      </c>
      <c r="K73" t="s">
        <v>51</v>
      </c>
      <c r="L73" t="s">
        <v>52</v>
      </c>
      <c r="M73" t="s">
        <v>53</v>
      </c>
      <c r="N73" t="s">
        <v>1707</v>
      </c>
      <c r="O73" t="s">
        <v>2269</v>
      </c>
      <c r="P73" t="s">
        <v>56</v>
      </c>
      <c r="Q73" s="21" t="s">
        <v>2270</v>
      </c>
      <c r="R73" s="21"/>
      <c r="S73" t="s">
        <v>2410</v>
      </c>
      <c r="T73" t="s">
        <v>2423</v>
      </c>
      <c r="W73" t="s">
        <v>2336</v>
      </c>
      <c r="X73" t="s">
        <v>1881</v>
      </c>
      <c r="Z73" s="15"/>
      <c r="AB73">
        <v>41.820900999999999</v>
      </c>
      <c r="AC73">
        <v>-88.052706999999998</v>
      </c>
      <c r="AD73" t="s">
        <v>2424</v>
      </c>
      <c r="AG73" t="s">
        <v>1715</v>
      </c>
      <c r="AH73" t="s">
        <v>63</v>
      </c>
      <c r="AI73" t="s">
        <v>2425</v>
      </c>
      <c r="AJ73">
        <v>193922</v>
      </c>
      <c r="AL73" t="s">
        <v>2426</v>
      </c>
      <c r="AM73" t="s">
        <v>2427</v>
      </c>
      <c r="AN73" t="s">
        <v>2428</v>
      </c>
      <c r="AO73" t="s">
        <v>68</v>
      </c>
      <c r="AQ73" t="s">
        <v>2429</v>
      </c>
      <c r="AR73" t="s">
        <v>2430</v>
      </c>
      <c r="AS73" t="s">
        <v>2431</v>
      </c>
      <c r="AV73" s="14" t="s">
        <v>72</v>
      </c>
      <c r="AW73" s="14" t="s">
        <v>73</v>
      </c>
      <c r="AX73" s="14" t="s">
        <v>1723</v>
      </c>
    </row>
    <row r="74" spans="1:50" ht="15" customHeight="1" x14ac:dyDescent="0.4">
      <c r="A74" s="12">
        <v>3310</v>
      </c>
      <c r="B74" s="21" t="s">
        <v>1990</v>
      </c>
      <c r="C74" s="13" t="s">
        <v>1991</v>
      </c>
      <c r="D74" s="25" t="s">
        <v>1991</v>
      </c>
      <c r="E74" s="13"/>
      <c r="F74" s="41"/>
      <c r="G74" s="65" t="s">
        <v>8185</v>
      </c>
      <c r="H74" s="14" t="s">
        <v>49</v>
      </c>
      <c r="I74" s="15">
        <v>44714</v>
      </c>
      <c r="J74" s="15" t="s">
        <v>1992</v>
      </c>
      <c r="K74" t="s">
        <v>1705</v>
      </c>
      <c r="L74" t="s">
        <v>1706</v>
      </c>
      <c r="M74" t="s">
        <v>53</v>
      </c>
      <c r="N74" t="s">
        <v>1707</v>
      </c>
      <c r="O74" t="s">
        <v>1993</v>
      </c>
      <c r="P74" s="21" t="s">
        <v>56</v>
      </c>
      <c r="Q74" t="s">
        <v>1994</v>
      </c>
      <c r="R74" s="21"/>
      <c r="S74" t="s">
        <v>1995</v>
      </c>
      <c r="T74" t="s">
        <v>1996</v>
      </c>
      <c r="X74" t="s">
        <v>60</v>
      </c>
      <c r="Z74" s="15"/>
      <c r="AG74" t="s">
        <v>1715</v>
      </c>
      <c r="AH74" t="s">
        <v>63</v>
      </c>
      <c r="AI74" t="s">
        <v>1997</v>
      </c>
      <c r="AJ74">
        <v>192558</v>
      </c>
      <c r="AL74" t="s">
        <v>1998</v>
      </c>
      <c r="AM74" t="s">
        <v>1999</v>
      </c>
      <c r="AN74" t="s">
        <v>2000</v>
      </c>
      <c r="AO74" t="s">
        <v>68</v>
      </c>
      <c r="AQ74" t="s">
        <v>2001</v>
      </c>
      <c r="AR74" t="s">
        <v>2002</v>
      </c>
      <c r="AS74" t="s">
        <v>2003</v>
      </c>
      <c r="AV74" s="14" t="s">
        <v>72</v>
      </c>
      <c r="AW74" s="14" t="s">
        <v>73</v>
      </c>
      <c r="AX74" s="14" t="s">
        <v>74</v>
      </c>
    </row>
    <row r="75" spans="1:50" ht="15" customHeight="1" x14ac:dyDescent="0.4">
      <c r="A75" s="12">
        <v>3311</v>
      </c>
      <c r="B75" s="19" t="s">
        <v>2004</v>
      </c>
      <c r="C75" s="13" t="s">
        <v>2005</v>
      </c>
      <c r="D75" s="27" t="s">
        <v>2005</v>
      </c>
      <c r="E75" s="13"/>
      <c r="F75" s="54" t="s">
        <v>2006</v>
      </c>
      <c r="G75" s="65" t="s">
        <v>8174</v>
      </c>
      <c r="H75" s="14" t="s">
        <v>2006</v>
      </c>
      <c r="I75" s="15">
        <v>44714</v>
      </c>
      <c r="J75" s="15" t="s">
        <v>1992</v>
      </c>
      <c r="K75" t="s">
        <v>1705</v>
      </c>
      <c r="L75" t="s">
        <v>1706</v>
      </c>
      <c r="M75" t="s">
        <v>53</v>
      </c>
      <c r="N75" t="s">
        <v>1707</v>
      </c>
      <c r="O75" t="s">
        <v>1993</v>
      </c>
      <c r="P75" s="21" t="s">
        <v>56</v>
      </c>
      <c r="Q75" t="s">
        <v>1994</v>
      </c>
      <c r="R75" s="21"/>
      <c r="S75" t="s">
        <v>2007</v>
      </c>
      <c r="T75" t="s">
        <v>2008</v>
      </c>
      <c r="X75" t="s">
        <v>2009</v>
      </c>
      <c r="Z75" s="15"/>
      <c r="AF75" s="18" t="s">
        <v>2010</v>
      </c>
      <c r="AG75" t="s">
        <v>1715</v>
      </c>
      <c r="AH75" t="s">
        <v>63</v>
      </c>
      <c r="AI75" t="s">
        <v>2011</v>
      </c>
      <c r="AJ75">
        <v>194223</v>
      </c>
      <c r="AL75" t="s">
        <v>2012</v>
      </c>
      <c r="AM75" t="s">
        <v>2013</v>
      </c>
      <c r="AN75" t="s">
        <v>2014</v>
      </c>
      <c r="AO75" t="s">
        <v>68</v>
      </c>
      <c r="AQ75" t="s">
        <v>2015</v>
      </c>
      <c r="AR75" t="s">
        <v>2016</v>
      </c>
      <c r="AS75" t="s">
        <v>2017</v>
      </c>
      <c r="AV75" s="14" t="s">
        <v>72</v>
      </c>
      <c r="AW75" s="14" t="s">
        <v>73</v>
      </c>
      <c r="AX75" s="14" t="s">
        <v>74</v>
      </c>
    </row>
    <row r="76" spans="1:50" ht="15" customHeight="1" x14ac:dyDescent="0.4">
      <c r="A76" s="12">
        <v>3523</v>
      </c>
      <c r="B76" s="19" t="s">
        <v>2255</v>
      </c>
      <c r="C76" s="13" t="s">
        <v>2256</v>
      </c>
      <c r="D76" s="18" t="s">
        <v>2256</v>
      </c>
      <c r="E76" s="13"/>
      <c r="F76" s="43" t="s">
        <v>49</v>
      </c>
      <c r="G76" s="65" t="s">
        <v>8185</v>
      </c>
      <c r="H76" s="14" t="s">
        <v>49</v>
      </c>
      <c r="I76" s="15">
        <v>44714</v>
      </c>
      <c r="J76" s="28" t="s">
        <v>1992</v>
      </c>
      <c r="K76" t="s">
        <v>1705</v>
      </c>
      <c r="L76" t="s">
        <v>1706</v>
      </c>
      <c r="M76" t="s">
        <v>53</v>
      </c>
      <c r="N76" t="s">
        <v>1707</v>
      </c>
      <c r="O76" t="s">
        <v>1993</v>
      </c>
      <c r="P76" t="s">
        <v>56</v>
      </c>
      <c r="Q76" s="21" t="s">
        <v>1994</v>
      </c>
      <c r="R76" s="21"/>
      <c r="S76" t="s">
        <v>2075</v>
      </c>
      <c r="T76" t="s">
        <v>2257</v>
      </c>
      <c r="X76" t="s">
        <v>49</v>
      </c>
      <c r="Z76" s="15"/>
      <c r="AB76">
        <v>37.676003501399997</v>
      </c>
      <c r="AC76">
        <v>-89.4129653209</v>
      </c>
      <c r="AF76" s="59" t="s">
        <v>2010</v>
      </c>
      <c r="AG76" t="s">
        <v>1715</v>
      </c>
      <c r="AH76" t="s">
        <v>63</v>
      </c>
      <c r="AI76" t="s">
        <v>2258</v>
      </c>
      <c r="AJ76">
        <v>192550</v>
      </c>
      <c r="AL76" t="s">
        <v>2259</v>
      </c>
      <c r="AM76" t="s">
        <v>2260</v>
      </c>
      <c r="AN76" t="s">
        <v>2261</v>
      </c>
      <c r="AO76" t="s">
        <v>68</v>
      </c>
      <c r="AQ76" t="s">
        <v>2262</v>
      </c>
      <c r="AR76" t="s">
        <v>2263</v>
      </c>
      <c r="AS76" t="s">
        <v>2264</v>
      </c>
      <c r="AV76" s="14" t="s">
        <v>72</v>
      </c>
      <c r="AW76" s="14" t="s">
        <v>73</v>
      </c>
      <c r="AX76" s="14" t="s">
        <v>74</v>
      </c>
    </row>
    <row r="77" spans="1:50" ht="15" customHeight="1" x14ac:dyDescent="0.4">
      <c r="A77" s="12">
        <v>3312</v>
      </c>
      <c r="B77" s="21" t="s">
        <v>2018</v>
      </c>
      <c r="C77" s="13" t="s">
        <v>2019</v>
      </c>
      <c r="D77" s="25" t="s">
        <v>2019</v>
      </c>
      <c r="E77" s="13"/>
      <c r="F77" s="41"/>
      <c r="G77" s="65" t="s">
        <v>8185</v>
      </c>
      <c r="H77" s="14" t="s">
        <v>2006</v>
      </c>
      <c r="I77" s="15">
        <v>44714</v>
      </c>
      <c r="J77" s="15" t="s">
        <v>1992</v>
      </c>
      <c r="K77" t="s">
        <v>1705</v>
      </c>
      <c r="L77" t="s">
        <v>1706</v>
      </c>
      <c r="M77" t="s">
        <v>53</v>
      </c>
      <c r="N77" t="s">
        <v>1707</v>
      </c>
      <c r="O77" t="s">
        <v>1993</v>
      </c>
      <c r="P77" s="21" t="s">
        <v>56</v>
      </c>
      <c r="Q77" t="s">
        <v>1994</v>
      </c>
      <c r="R77" s="21"/>
      <c r="S77" t="s">
        <v>2020</v>
      </c>
      <c r="T77" t="s">
        <v>2021</v>
      </c>
      <c r="X77" t="s">
        <v>2009</v>
      </c>
      <c r="Z77" s="15"/>
      <c r="AG77" t="s">
        <v>1715</v>
      </c>
      <c r="AH77" t="s">
        <v>63</v>
      </c>
      <c r="AI77" t="s">
        <v>2022</v>
      </c>
      <c r="AJ77">
        <v>194224</v>
      </c>
      <c r="AL77" t="s">
        <v>2023</v>
      </c>
      <c r="AM77" t="s">
        <v>2024</v>
      </c>
      <c r="AN77" t="s">
        <v>2025</v>
      </c>
      <c r="AO77" t="s">
        <v>68</v>
      </c>
      <c r="AQ77" t="s">
        <v>2026</v>
      </c>
      <c r="AR77" t="s">
        <v>2027</v>
      </c>
      <c r="AS77" t="s">
        <v>2028</v>
      </c>
      <c r="AV77" s="14" t="s">
        <v>72</v>
      </c>
      <c r="AW77" s="14" t="s">
        <v>73</v>
      </c>
      <c r="AX77" s="14" t="s">
        <v>74</v>
      </c>
    </row>
    <row r="78" spans="1:50" ht="15" customHeight="1" x14ac:dyDescent="0.4">
      <c r="A78" s="12">
        <v>3313</v>
      </c>
      <c r="B78" s="21" t="s">
        <v>2029</v>
      </c>
      <c r="C78" s="13" t="s">
        <v>2030</v>
      </c>
      <c r="D78" s="25" t="s">
        <v>2030</v>
      </c>
      <c r="E78" s="13"/>
      <c r="F78" s="54" t="s">
        <v>2006</v>
      </c>
      <c r="G78" s="65" t="s">
        <v>8174</v>
      </c>
      <c r="H78" s="14" t="s">
        <v>2006</v>
      </c>
      <c r="I78" s="15">
        <v>44714</v>
      </c>
      <c r="J78" s="15" t="s">
        <v>1992</v>
      </c>
      <c r="K78" t="s">
        <v>1705</v>
      </c>
      <c r="L78" t="s">
        <v>1706</v>
      </c>
      <c r="M78" t="s">
        <v>53</v>
      </c>
      <c r="N78" t="s">
        <v>1707</v>
      </c>
      <c r="O78" t="s">
        <v>1993</v>
      </c>
      <c r="P78" s="21" t="s">
        <v>56</v>
      </c>
      <c r="Q78" t="s">
        <v>1994</v>
      </c>
      <c r="R78" s="21"/>
      <c r="S78" t="s">
        <v>2031</v>
      </c>
      <c r="T78" t="s">
        <v>2032</v>
      </c>
      <c r="X78" t="s">
        <v>2009</v>
      </c>
      <c r="Z78" s="15"/>
      <c r="AG78" t="s">
        <v>1715</v>
      </c>
      <c r="AH78" t="s">
        <v>63</v>
      </c>
      <c r="AI78" t="s">
        <v>2033</v>
      </c>
      <c r="AJ78">
        <v>194225</v>
      </c>
      <c r="AL78" t="s">
        <v>2034</v>
      </c>
      <c r="AM78" t="s">
        <v>2035</v>
      </c>
      <c r="AN78" t="s">
        <v>2036</v>
      </c>
      <c r="AO78" t="s">
        <v>68</v>
      </c>
      <c r="AQ78" t="s">
        <v>2037</v>
      </c>
      <c r="AR78" t="s">
        <v>2038</v>
      </c>
      <c r="AS78" t="s">
        <v>2039</v>
      </c>
      <c r="AV78" s="14" t="s">
        <v>72</v>
      </c>
      <c r="AW78" s="14" t="s">
        <v>73</v>
      </c>
      <c r="AX78" s="14" t="s">
        <v>74</v>
      </c>
    </row>
    <row r="79" spans="1:50" ht="15" customHeight="1" x14ac:dyDescent="0.4">
      <c r="A79" s="12">
        <v>3314</v>
      </c>
      <c r="B79" s="21" t="s">
        <v>2040</v>
      </c>
      <c r="C79" s="13" t="s">
        <v>2041</v>
      </c>
      <c r="D79" s="25" t="s">
        <v>2041</v>
      </c>
      <c r="E79" s="13"/>
      <c r="F79" s="41"/>
      <c r="G79" s="65" t="s">
        <v>8185</v>
      </c>
      <c r="H79" s="14" t="s">
        <v>49</v>
      </c>
      <c r="I79" s="15">
        <v>44714</v>
      </c>
      <c r="J79" s="15" t="s">
        <v>1992</v>
      </c>
      <c r="K79" t="s">
        <v>1705</v>
      </c>
      <c r="L79" t="s">
        <v>1706</v>
      </c>
      <c r="M79" t="s">
        <v>53</v>
      </c>
      <c r="N79" t="s">
        <v>1707</v>
      </c>
      <c r="O79" t="s">
        <v>1993</v>
      </c>
      <c r="P79" s="21" t="s">
        <v>56</v>
      </c>
      <c r="Q79" t="s">
        <v>1994</v>
      </c>
      <c r="R79" s="21"/>
      <c r="S79" t="s">
        <v>2042</v>
      </c>
      <c r="T79" t="s">
        <v>2043</v>
      </c>
      <c r="X79" t="s">
        <v>60</v>
      </c>
      <c r="Z79" s="15"/>
      <c r="AG79" t="s">
        <v>1715</v>
      </c>
      <c r="AH79" t="s">
        <v>63</v>
      </c>
      <c r="AI79" t="s">
        <v>2044</v>
      </c>
      <c r="AJ79">
        <v>192551</v>
      </c>
      <c r="AL79" t="s">
        <v>2045</v>
      </c>
      <c r="AM79" t="s">
        <v>2046</v>
      </c>
      <c r="AN79" t="s">
        <v>2047</v>
      </c>
      <c r="AO79" t="s">
        <v>68</v>
      </c>
      <c r="AQ79" t="s">
        <v>2048</v>
      </c>
      <c r="AR79" t="s">
        <v>2049</v>
      </c>
      <c r="AS79" t="s">
        <v>2050</v>
      </c>
      <c r="AV79" s="14" t="s">
        <v>72</v>
      </c>
      <c r="AW79" s="14" t="s">
        <v>73</v>
      </c>
      <c r="AX79" s="14" t="s">
        <v>74</v>
      </c>
    </row>
    <row r="80" spans="1:50" ht="15" customHeight="1" x14ac:dyDescent="0.4">
      <c r="A80" s="12">
        <v>3315</v>
      </c>
      <c r="B80" s="21" t="s">
        <v>2051</v>
      </c>
      <c r="C80" s="13" t="s">
        <v>2052</v>
      </c>
      <c r="D80" s="25" t="s">
        <v>2052</v>
      </c>
      <c r="E80" s="13"/>
      <c r="F80" s="41"/>
      <c r="G80" s="65" t="s">
        <v>8185</v>
      </c>
      <c r="H80" s="14" t="s">
        <v>49</v>
      </c>
      <c r="I80" s="15">
        <v>44714</v>
      </c>
      <c r="J80" s="15" t="s">
        <v>1992</v>
      </c>
      <c r="K80" t="s">
        <v>1705</v>
      </c>
      <c r="L80" t="s">
        <v>1706</v>
      </c>
      <c r="M80" t="s">
        <v>53</v>
      </c>
      <c r="N80" t="s">
        <v>1707</v>
      </c>
      <c r="O80" t="s">
        <v>1993</v>
      </c>
      <c r="P80" s="21" t="s">
        <v>56</v>
      </c>
      <c r="Q80" t="s">
        <v>1994</v>
      </c>
      <c r="R80" s="21"/>
      <c r="S80" t="s">
        <v>2053</v>
      </c>
      <c r="T80" t="s">
        <v>2054</v>
      </c>
      <c r="X80" t="s">
        <v>60</v>
      </c>
      <c r="Z80" s="15"/>
      <c r="AG80" t="s">
        <v>1715</v>
      </c>
      <c r="AH80" t="s">
        <v>63</v>
      </c>
      <c r="AI80" t="s">
        <v>2055</v>
      </c>
      <c r="AJ80">
        <v>192557</v>
      </c>
      <c r="AL80" t="s">
        <v>2056</v>
      </c>
      <c r="AM80" t="s">
        <v>2057</v>
      </c>
      <c r="AN80" t="s">
        <v>2058</v>
      </c>
      <c r="AO80" t="s">
        <v>68</v>
      </c>
      <c r="AQ80" t="s">
        <v>2059</v>
      </c>
      <c r="AR80" t="s">
        <v>2060</v>
      </c>
      <c r="AS80" t="s">
        <v>2061</v>
      </c>
      <c r="AV80" s="14" t="s">
        <v>72</v>
      </c>
      <c r="AW80" s="14" t="s">
        <v>73</v>
      </c>
      <c r="AX80" s="14" t="s">
        <v>74</v>
      </c>
    </row>
    <row r="81" spans="1:50" ht="15" customHeight="1" x14ac:dyDescent="0.4">
      <c r="A81" s="12">
        <v>3316</v>
      </c>
      <c r="B81" s="21" t="s">
        <v>2062</v>
      </c>
      <c r="C81" s="13" t="s">
        <v>2063</v>
      </c>
      <c r="D81" s="25" t="s">
        <v>2063</v>
      </c>
      <c r="E81" s="13"/>
      <c r="F81" s="54" t="s">
        <v>2006</v>
      </c>
      <c r="G81" s="65" t="s">
        <v>8174</v>
      </c>
      <c r="H81" s="14" t="s">
        <v>2006</v>
      </c>
      <c r="I81" s="15">
        <v>44714</v>
      </c>
      <c r="J81" s="15" t="s">
        <v>1992</v>
      </c>
      <c r="K81" t="s">
        <v>1705</v>
      </c>
      <c r="L81" t="s">
        <v>1706</v>
      </c>
      <c r="M81" t="s">
        <v>53</v>
      </c>
      <c r="N81" t="s">
        <v>1707</v>
      </c>
      <c r="O81" t="s">
        <v>1993</v>
      </c>
      <c r="P81" s="21" t="s">
        <v>56</v>
      </c>
      <c r="Q81" t="s">
        <v>1994</v>
      </c>
      <c r="R81" s="21"/>
      <c r="S81" t="s">
        <v>2064</v>
      </c>
      <c r="T81" t="s">
        <v>2065</v>
      </c>
      <c r="X81" t="s">
        <v>2009</v>
      </c>
      <c r="Z81" s="15"/>
      <c r="AG81" t="s">
        <v>1715</v>
      </c>
      <c r="AH81" t="s">
        <v>63</v>
      </c>
      <c r="AI81" t="s">
        <v>2066</v>
      </c>
      <c r="AJ81">
        <v>194226</v>
      </c>
      <c r="AL81" t="s">
        <v>2067</v>
      </c>
      <c r="AM81" t="s">
        <v>2068</v>
      </c>
      <c r="AN81" t="s">
        <v>2069</v>
      </c>
      <c r="AO81" t="s">
        <v>68</v>
      </c>
      <c r="AQ81" t="s">
        <v>2070</v>
      </c>
      <c r="AR81" t="s">
        <v>2071</v>
      </c>
      <c r="AS81" t="s">
        <v>2072</v>
      </c>
      <c r="AV81" s="14" t="s">
        <v>72</v>
      </c>
      <c r="AW81" s="14" t="s">
        <v>73</v>
      </c>
      <c r="AX81" s="14" t="s">
        <v>74</v>
      </c>
    </row>
    <row r="82" spans="1:50" ht="15" customHeight="1" x14ac:dyDescent="0.4">
      <c r="A82" s="12">
        <v>3317</v>
      </c>
      <c r="B82" s="21" t="s">
        <v>2073</v>
      </c>
      <c r="C82" s="13" t="s">
        <v>2074</v>
      </c>
      <c r="D82" s="25" t="s">
        <v>2074</v>
      </c>
      <c r="E82" s="13"/>
      <c r="F82" s="41"/>
      <c r="G82" s="65" t="s">
        <v>8185</v>
      </c>
      <c r="H82" s="14" t="s">
        <v>49</v>
      </c>
      <c r="I82" s="15">
        <v>44714</v>
      </c>
      <c r="J82" s="15" t="s">
        <v>1992</v>
      </c>
      <c r="K82" t="s">
        <v>1705</v>
      </c>
      <c r="L82" t="s">
        <v>1706</v>
      </c>
      <c r="M82" t="s">
        <v>53</v>
      </c>
      <c r="N82" t="s">
        <v>1707</v>
      </c>
      <c r="O82" t="s">
        <v>1993</v>
      </c>
      <c r="P82" s="21" t="s">
        <v>56</v>
      </c>
      <c r="Q82" t="s">
        <v>1994</v>
      </c>
      <c r="R82" s="21"/>
      <c r="S82" t="s">
        <v>2075</v>
      </c>
      <c r="T82" t="s">
        <v>2076</v>
      </c>
      <c r="X82" t="s">
        <v>60</v>
      </c>
      <c r="Z82" s="15"/>
      <c r="AG82" t="s">
        <v>1715</v>
      </c>
      <c r="AH82" t="s">
        <v>63</v>
      </c>
      <c r="AI82" t="s">
        <v>2077</v>
      </c>
      <c r="AJ82">
        <v>192559</v>
      </c>
      <c r="AL82" t="s">
        <v>2078</v>
      </c>
      <c r="AM82" t="s">
        <v>2079</v>
      </c>
      <c r="AN82" t="s">
        <v>2080</v>
      </c>
      <c r="AO82" t="s">
        <v>68</v>
      </c>
      <c r="AQ82" t="s">
        <v>2081</v>
      </c>
      <c r="AR82" t="s">
        <v>2082</v>
      </c>
      <c r="AS82" t="s">
        <v>2083</v>
      </c>
      <c r="AV82" s="14" t="s">
        <v>72</v>
      </c>
      <c r="AW82" s="14" t="s">
        <v>73</v>
      </c>
      <c r="AX82" s="14" t="s">
        <v>74</v>
      </c>
    </row>
    <row r="83" spans="1:50" ht="15" customHeight="1" x14ac:dyDescent="0.4">
      <c r="A83" s="12">
        <v>3318</v>
      </c>
      <c r="B83" s="21" t="s">
        <v>2084</v>
      </c>
      <c r="C83" s="13" t="s">
        <v>2085</v>
      </c>
      <c r="D83" s="25" t="s">
        <v>2085</v>
      </c>
      <c r="E83" s="13"/>
      <c r="F83" s="41" t="s">
        <v>8138</v>
      </c>
      <c r="G83" s="65" t="s">
        <v>8185</v>
      </c>
      <c r="H83" s="14" t="s">
        <v>2086</v>
      </c>
      <c r="I83" s="15">
        <v>44714</v>
      </c>
      <c r="J83" s="15" t="s">
        <v>1992</v>
      </c>
      <c r="K83" t="s">
        <v>1705</v>
      </c>
      <c r="L83" t="s">
        <v>1706</v>
      </c>
      <c r="M83" t="s">
        <v>53</v>
      </c>
      <c r="N83" t="s">
        <v>1707</v>
      </c>
      <c r="O83" t="s">
        <v>1993</v>
      </c>
      <c r="P83" s="21" t="s">
        <v>56</v>
      </c>
      <c r="Q83" t="s">
        <v>1994</v>
      </c>
      <c r="R83" s="21"/>
      <c r="S83" t="s">
        <v>2087</v>
      </c>
      <c r="T83" t="s">
        <v>2088</v>
      </c>
      <c r="X83" t="s">
        <v>2089</v>
      </c>
      <c r="Z83" s="15"/>
      <c r="AG83" t="s">
        <v>1715</v>
      </c>
      <c r="AH83" t="s">
        <v>63</v>
      </c>
      <c r="AI83" t="s">
        <v>2090</v>
      </c>
      <c r="AJ83">
        <v>192573</v>
      </c>
      <c r="AL83" t="s">
        <v>2091</v>
      </c>
      <c r="AM83" t="s">
        <v>2092</v>
      </c>
      <c r="AN83" t="s">
        <v>2093</v>
      </c>
      <c r="AO83" t="s">
        <v>68</v>
      </c>
      <c r="AQ83" t="s">
        <v>2094</v>
      </c>
      <c r="AR83" t="s">
        <v>2095</v>
      </c>
      <c r="AS83" t="s">
        <v>2096</v>
      </c>
      <c r="AV83" s="14" t="e">
        <v>#N/A</v>
      </c>
      <c r="AW83" s="14" t="e">
        <v>#N/A</v>
      </c>
      <c r="AX83" s="14" t="e">
        <v>#N/A</v>
      </c>
    </row>
    <row r="84" spans="1:50" ht="15" customHeight="1" x14ac:dyDescent="0.4">
      <c r="A84" s="12">
        <v>3943</v>
      </c>
      <c r="B84" s="21" t="s">
        <v>7162</v>
      </c>
      <c r="C84" s="13" t="s">
        <v>7163</v>
      </c>
      <c r="D84" s="25" t="s">
        <v>7163</v>
      </c>
      <c r="E84" s="13"/>
      <c r="F84" s="41"/>
      <c r="G84" s="65" t="s">
        <v>8185</v>
      </c>
      <c r="H84" s="14" t="s">
        <v>1878</v>
      </c>
      <c r="I84" s="15">
        <v>44812</v>
      </c>
      <c r="J84" t="s">
        <v>2719</v>
      </c>
      <c r="K84" t="s">
        <v>51</v>
      </c>
      <c r="L84" t="s">
        <v>52</v>
      </c>
      <c r="M84" t="s">
        <v>53</v>
      </c>
      <c r="N84" t="s">
        <v>1707</v>
      </c>
      <c r="O84" t="s">
        <v>756</v>
      </c>
      <c r="P84" t="s">
        <v>56</v>
      </c>
      <c r="Q84" s="21" t="s">
        <v>7164</v>
      </c>
      <c r="R84" s="21"/>
      <c r="S84" t="s">
        <v>7165</v>
      </c>
      <c r="T84" t="s">
        <v>7166</v>
      </c>
      <c r="X84" t="s">
        <v>1881</v>
      </c>
      <c r="Z84" s="15"/>
      <c r="AB84">
        <v>42.182388000000003</v>
      </c>
      <c r="AC84">
        <v>-87.911775000000006</v>
      </c>
      <c r="AD84" t="s">
        <v>7167</v>
      </c>
      <c r="AG84" t="s">
        <v>1715</v>
      </c>
      <c r="AH84" t="s">
        <v>63</v>
      </c>
      <c r="AI84" t="s">
        <v>7168</v>
      </c>
      <c r="AJ84">
        <v>194158</v>
      </c>
      <c r="AL84" t="s">
        <v>7169</v>
      </c>
      <c r="AM84" t="s">
        <v>7170</v>
      </c>
      <c r="AN84" t="s">
        <v>7171</v>
      </c>
      <c r="AO84" t="s">
        <v>68</v>
      </c>
      <c r="AQ84" t="s">
        <v>7172</v>
      </c>
      <c r="AR84" t="s">
        <v>7173</v>
      </c>
      <c r="AS84" t="s">
        <v>7174</v>
      </c>
      <c r="AV84" s="14" t="s">
        <v>72</v>
      </c>
      <c r="AW84" s="14" t="s">
        <v>73</v>
      </c>
      <c r="AX84" s="14" t="s">
        <v>1723</v>
      </c>
    </row>
    <row r="85" spans="1:50" ht="15" customHeight="1" x14ac:dyDescent="0.4">
      <c r="A85" s="12">
        <v>3944</v>
      </c>
      <c r="B85" s="21" t="s">
        <v>7175</v>
      </c>
      <c r="C85" s="13" t="s">
        <v>7176</v>
      </c>
      <c r="D85" s="25" t="s">
        <v>7176</v>
      </c>
      <c r="E85" s="13"/>
      <c r="F85" s="41"/>
      <c r="G85" s="65" t="s">
        <v>8185</v>
      </c>
      <c r="H85" s="14" t="s">
        <v>49</v>
      </c>
      <c r="I85" s="15">
        <v>44812</v>
      </c>
      <c r="J85" t="s">
        <v>2719</v>
      </c>
      <c r="K85" t="s">
        <v>51</v>
      </c>
      <c r="L85" t="s">
        <v>52</v>
      </c>
      <c r="M85" t="s">
        <v>53</v>
      </c>
      <c r="N85" t="s">
        <v>1707</v>
      </c>
      <c r="O85" t="s">
        <v>756</v>
      </c>
      <c r="P85" t="s">
        <v>56</v>
      </c>
      <c r="Q85" s="21" t="s">
        <v>7164</v>
      </c>
      <c r="R85" s="21"/>
      <c r="S85" t="s">
        <v>7177</v>
      </c>
      <c r="T85" t="s">
        <v>7178</v>
      </c>
      <c r="X85" t="s">
        <v>60</v>
      </c>
      <c r="Z85" s="15"/>
      <c r="AB85">
        <v>42.182006999999999</v>
      </c>
      <c r="AC85">
        <v>-87.911913999999996</v>
      </c>
      <c r="AD85" t="s">
        <v>7179</v>
      </c>
      <c r="AG85" t="s">
        <v>1715</v>
      </c>
      <c r="AH85" t="s">
        <v>63</v>
      </c>
      <c r="AI85" t="s">
        <v>7180</v>
      </c>
      <c r="AJ85">
        <v>192647</v>
      </c>
      <c r="AL85" t="s">
        <v>7181</v>
      </c>
      <c r="AM85" t="s">
        <v>7182</v>
      </c>
      <c r="AN85" t="s">
        <v>7183</v>
      </c>
      <c r="AO85" t="s">
        <v>68</v>
      </c>
      <c r="AQ85" t="s">
        <v>7184</v>
      </c>
      <c r="AR85" t="s">
        <v>7185</v>
      </c>
      <c r="AS85" t="s">
        <v>7186</v>
      </c>
      <c r="AV85" s="14" t="s">
        <v>72</v>
      </c>
      <c r="AW85" s="14" t="s">
        <v>73</v>
      </c>
      <c r="AX85" s="14" t="s">
        <v>74</v>
      </c>
    </row>
    <row r="86" spans="1:50" ht="15" customHeight="1" x14ac:dyDescent="0.4">
      <c r="A86" s="12">
        <v>3945</v>
      </c>
      <c r="B86" s="21" t="s">
        <v>7187</v>
      </c>
      <c r="C86" s="13" t="s">
        <v>7188</v>
      </c>
      <c r="D86" s="25" t="s">
        <v>7188</v>
      </c>
      <c r="E86" s="13"/>
      <c r="F86" s="41"/>
      <c r="G86" s="65" t="s">
        <v>8185</v>
      </c>
      <c r="H86" s="14" t="s">
        <v>2222</v>
      </c>
      <c r="I86" s="15">
        <v>44812</v>
      </c>
      <c r="J86" t="s">
        <v>2719</v>
      </c>
      <c r="K86" t="s">
        <v>51</v>
      </c>
      <c r="L86" t="s">
        <v>52</v>
      </c>
      <c r="M86" t="s">
        <v>53</v>
      </c>
      <c r="N86" t="s">
        <v>1707</v>
      </c>
      <c r="O86" t="s">
        <v>756</v>
      </c>
      <c r="P86" t="s">
        <v>56</v>
      </c>
      <c r="Q86" s="21" t="s">
        <v>7164</v>
      </c>
      <c r="R86" s="21"/>
      <c r="S86" t="s">
        <v>7177</v>
      </c>
      <c r="T86" t="s">
        <v>7189</v>
      </c>
      <c r="X86" t="s">
        <v>2225</v>
      </c>
      <c r="Z86" s="15"/>
      <c r="AB86">
        <v>42.182293000000001</v>
      </c>
      <c r="AC86">
        <v>-87.911027000000004</v>
      </c>
      <c r="AD86" t="s">
        <v>1947</v>
      </c>
      <c r="AG86" t="s">
        <v>1715</v>
      </c>
      <c r="AH86" t="s">
        <v>63</v>
      </c>
      <c r="AI86" t="s">
        <v>7190</v>
      </c>
      <c r="AJ86">
        <v>192597</v>
      </c>
      <c r="AL86" t="s">
        <v>7191</v>
      </c>
      <c r="AM86" t="s">
        <v>7192</v>
      </c>
      <c r="AN86" t="s">
        <v>7193</v>
      </c>
      <c r="AO86" t="s">
        <v>68</v>
      </c>
      <c r="AQ86" t="s">
        <v>7194</v>
      </c>
      <c r="AR86" t="s">
        <v>7195</v>
      </c>
      <c r="AS86" t="s">
        <v>7196</v>
      </c>
      <c r="AV86" s="14" t="s">
        <v>72</v>
      </c>
      <c r="AW86" s="14" t="s">
        <v>73</v>
      </c>
      <c r="AX86" s="14" t="s">
        <v>74</v>
      </c>
    </row>
    <row r="87" spans="1:50" ht="15" customHeight="1" x14ac:dyDescent="0.4">
      <c r="A87" s="12">
        <v>3946</v>
      </c>
      <c r="B87" s="21" t="s">
        <v>7197</v>
      </c>
      <c r="C87" s="13" t="s">
        <v>7198</v>
      </c>
      <c r="D87" s="25" t="s">
        <v>7198</v>
      </c>
      <c r="E87" s="13"/>
      <c r="F87" s="41"/>
      <c r="G87" s="65" t="s">
        <v>8185</v>
      </c>
      <c r="H87" s="14" t="s">
        <v>49</v>
      </c>
      <c r="I87" s="15">
        <v>44812</v>
      </c>
      <c r="J87" t="s">
        <v>2719</v>
      </c>
      <c r="K87" t="s">
        <v>51</v>
      </c>
      <c r="L87" t="s">
        <v>52</v>
      </c>
      <c r="M87" t="s">
        <v>53</v>
      </c>
      <c r="N87" t="s">
        <v>1707</v>
      </c>
      <c r="O87" t="s">
        <v>756</v>
      </c>
      <c r="P87" t="s">
        <v>56</v>
      </c>
      <c r="Q87" s="21" t="s">
        <v>7164</v>
      </c>
      <c r="R87" s="21"/>
      <c r="S87" t="s">
        <v>7165</v>
      </c>
      <c r="T87" t="s">
        <v>7199</v>
      </c>
      <c r="X87" t="s">
        <v>60</v>
      </c>
      <c r="Z87" s="15"/>
      <c r="AB87">
        <v>42.181899999999999</v>
      </c>
      <c r="AC87">
        <v>-87.910275999999996</v>
      </c>
      <c r="AD87" t="s">
        <v>7200</v>
      </c>
      <c r="AG87" t="s">
        <v>1715</v>
      </c>
      <c r="AH87" t="s">
        <v>63</v>
      </c>
      <c r="AI87" t="s">
        <v>7201</v>
      </c>
      <c r="AJ87">
        <v>194590</v>
      </c>
      <c r="AL87" t="s">
        <v>7202</v>
      </c>
      <c r="AM87" t="s">
        <v>7203</v>
      </c>
      <c r="AN87" t="s">
        <v>7204</v>
      </c>
      <c r="AO87" t="s">
        <v>68</v>
      </c>
      <c r="AQ87" t="s">
        <v>7205</v>
      </c>
      <c r="AR87" t="s">
        <v>7206</v>
      </c>
      <c r="AS87" t="s">
        <v>7207</v>
      </c>
      <c r="AV87" s="14" t="s">
        <v>72</v>
      </c>
      <c r="AW87" s="14" t="s">
        <v>73</v>
      </c>
      <c r="AX87" s="14" t="s">
        <v>74</v>
      </c>
    </row>
    <row r="88" spans="1:50" ht="15" customHeight="1" x14ac:dyDescent="0.4">
      <c r="A88" s="12">
        <v>3947</v>
      </c>
      <c r="B88" s="21" t="s">
        <v>7208</v>
      </c>
      <c r="C88" s="13" t="s">
        <v>7209</v>
      </c>
      <c r="D88" s="25" t="s">
        <v>7209</v>
      </c>
      <c r="E88" s="13"/>
      <c r="F88" s="41"/>
      <c r="G88" s="65" t="s">
        <v>8185</v>
      </c>
      <c r="H88" s="14" t="s">
        <v>1878</v>
      </c>
      <c r="I88" s="15">
        <v>44812</v>
      </c>
      <c r="J88" t="s">
        <v>2719</v>
      </c>
      <c r="K88" t="s">
        <v>51</v>
      </c>
      <c r="L88" t="s">
        <v>52</v>
      </c>
      <c r="M88" t="s">
        <v>53</v>
      </c>
      <c r="N88" t="s">
        <v>1707</v>
      </c>
      <c r="O88" t="s">
        <v>756</v>
      </c>
      <c r="P88" t="s">
        <v>56</v>
      </c>
      <c r="Q88" s="21" t="s">
        <v>7164</v>
      </c>
      <c r="R88" s="21"/>
      <c r="S88" t="s">
        <v>7165</v>
      </c>
      <c r="T88" t="s">
        <v>7210</v>
      </c>
      <c r="X88" t="s">
        <v>1881</v>
      </c>
      <c r="Z88" s="15"/>
      <c r="AB88">
        <v>42.181997000000003</v>
      </c>
      <c r="AC88">
        <v>-87.909654000000003</v>
      </c>
      <c r="AD88" t="s">
        <v>804</v>
      </c>
      <c r="AG88" t="s">
        <v>1715</v>
      </c>
      <c r="AH88" t="s">
        <v>63</v>
      </c>
      <c r="AI88" t="s">
        <v>7211</v>
      </c>
      <c r="AJ88">
        <v>194157</v>
      </c>
      <c r="AL88" t="s">
        <v>7212</v>
      </c>
      <c r="AM88" t="s">
        <v>7213</v>
      </c>
      <c r="AN88" t="s">
        <v>7214</v>
      </c>
      <c r="AO88" t="s">
        <v>68</v>
      </c>
      <c r="AQ88" t="s">
        <v>7215</v>
      </c>
      <c r="AR88" t="s">
        <v>7216</v>
      </c>
      <c r="AS88" t="s">
        <v>7217</v>
      </c>
      <c r="AV88" s="14" t="s">
        <v>72</v>
      </c>
      <c r="AW88" s="14" t="s">
        <v>73</v>
      </c>
      <c r="AX88" s="14" t="s">
        <v>1723</v>
      </c>
    </row>
    <row r="89" spans="1:50" ht="15" customHeight="1" x14ac:dyDescent="0.4">
      <c r="A89" s="12">
        <v>3948</v>
      </c>
      <c r="B89" s="21" t="s">
        <v>7218</v>
      </c>
      <c r="C89" s="13" t="s">
        <v>7219</v>
      </c>
      <c r="D89" s="25" t="s">
        <v>7219</v>
      </c>
      <c r="E89" s="13"/>
      <c r="F89" s="41"/>
      <c r="G89" s="65" t="s">
        <v>8185</v>
      </c>
      <c r="H89" s="14" t="s">
        <v>2222</v>
      </c>
      <c r="I89" s="15">
        <v>44812</v>
      </c>
      <c r="J89" t="s">
        <v>2719</v>
      </c>
      <c r="K89" t="s">
        <v>51</v>
      </c>
      <c r="L89" t="s">
        <v>52</v>
      </c>
      <c r="M89" t="s">
        <v>53</v>
      </c>
      <c r="N89" t="s">
        <v>1707</v>
      </c>
      <c r="O89" t="s">
        <v>756</v>
      </c>
      <c r="P89" t="s">
        <v>56</v>
      </c>
      <c r="Q89" s="21" t="s">
        <v>7164</v>
      </c>
      <c r="R89" s="21"/>
      <c r="S89" t="s">
        <v>7220</v>
      </c>
      <c r="T89" t="s">
        <v>7221</v>
      </c>
      <c r="W89" t="s">
        <v>1758</v>
      </c>
      <c r="X89" t="s">
        <v>2225</v>
      </c>
      <c r="Z89" s="15"/>
      <c r="AB89">
        <v>42.181708999999998</v>
      </c>
      <c r="AC89">
        <v>-87.909059999999997</v>
      </c>
      <c r="AD89" t="s">
        <v>7222</v>
      </c>
      <c r="AG89" t="s">
        <v>1715</v>
      </c>
      <c r="AH89" t="s">
        <v>63</v>
      </c>
      <c r="AI89" t="s">
        <v>7223</v>
      </c>
      <c r="AJ89">
        <v>192595</v>
      </c>
      <c r="AL89" t="s">
        <v>7224</v>
      </c>
      <c r="AM89" t="s">
        <v>7225</v>
      </c>
      <c r="AN89" t="s">
        <v>7226</v>
      </c>
      <c r="AO89" t="s">
        <v>68</v>
      </c>
      <c r="AQ89" t="s">
        <v>7227</v>
      </c>
      <c r="AR89" t="s">
        <v>7228</v>
      </c>
      <c r="AS89" t="s">
        <v>7229</v>
      </c>
      <c r="AV89" s="14" t="s">
        <v>72</v>
      </c>
      <c r="AW89" s="14" t="s">
        <v>73</v>
      </c>
      <c r="AX89" s="14" t="s">
        <v>74</v>
      </c>
    </row>
    <row r="90" spans="1:50" ht="15" customHeight="1" x14ac:dyDescent="0.4">
      <c r="A90" s="12">
        <v>3949</v>
      </c>
      <c r="B90" s="21" t="s">
        <v>7230</v>
      </c>
      <c r="C90" s="13" t="s">
        <v>7231</v>
      </c>
      <c r="D90" s="25" t="s">
        <v>7231</v>
      </c>
      <c r="E90" s="13"/>
      <c r="F90" s="41"/>
      <c r="G90" s="65" t="s">
        <v>8185</v>
      </c>
      <c r="H90" s="14" t="s">
        <v>1878</v>
      </c>
      <c r="I90" s="15">
        <v>44812</v>
      </c>
      <c r="J90" t="s">
        <v>2719</v>
      </c>
      <c r="K90" t="s">
        <v>51</v>
      </c>
      <c r="L90" t="s">
        <v>52</v>
      </c>
      <c r="M90" t="s">
        <v>53</v>
      </c>
      <c r="N90" t="s">
        <v>1707</v>
      </c>
      <c r="O90" t="s">
        <v>756</v>
      </c>
      <c r="P90" t="s">
        <v>56</v>
      </c>
      <c r="Q90" s="21" t="s">
        <v>7164</v>
      </c>
      <c r="R90" s="21"/>
      <c r="S90" t="s">
        <v>7165</v>
      </c>
      <c r="T90" t="s">
        <v>7232</v>
      </c>
      <c r="X90" t="s">
        <v>1881</v>
      </c>
      <c r="Z90" s="15"/>
      <c r="AB90">
        <v>42.181798000000001</v>
      </c>
      <c r="AC90">
        <v>-87.908278999999993</v>
      </c>
      <c r="AD90" t="s">
        <v>7233</v>
      </c>
      <c r="AG90" t="s">
        <v>1715</v>
      </c>
      <c r="AH90" t="s">
        <v>63</v>
      </c>
      <c r="AI90" t="s">
        <v>7234</v>
      </c>
      <c r="AJ90">
        <v>194156</v>
      </c>
      <c r="AL90" t="s">
        <v>7235</v>
      </c>
      <c r="AM90" t="s">
        <v>7236</v>
      </c>
      <c r="AN90" t="s">
        <v>7237</v>
      </c>
      <c r="AO90" t="s">
        <v>68</v>
      </c>
      <c r="AQ90" t="s">
        <v>7238</v>
      </c>
      <c r="AR90" t="s">
        <v>7239</v>
      </c>
      <c r="AS90" t="s">
        <v>7240</v>
      </c>
      <c r="AV90" s="14" t="s">
        <v>72</v>
      </c>
      <c r="AW90" s="14" t="s">
        <v>73</v>
      </c>
      <c r="AX90" s="14" t="s">
        <v>1723</v>
      </c>
    </row>
    <row r="91" spans="1:50" ht="15" customHeight="1" x14ac:dyDescent="0.4">
      <c r="A91" s="12">
        <v>3950</v>
      </c>
      <c r="B91" s="21" t="s">
        <v>7241</v>
      </c>
      <c r="C91" s="13" t="s">
        <v>7242</v>
      </c>
      <c r="D91" s="25" t="s">
        <v>7242</v>
      </c>
      <c r="E91" s="13"/>
      <c r="F91" s="41"/>
      <c r="G91" s="65" t="s">
        <v>8185</v>
      </c>
      <c r="H91" s="14" t="s">
        <v>2222</v>
      </c>
      <c r="I91" s="15">
        <v>44812</v>
      </c>
      <c r="J91" t="s">
        <v>2719</v>
      </c>
      <c r="K91" t="s">
        <v>51</v>
      </c>
      <c r="L91" t="s">
        <v>52</v>
      </c>
      <c r="M91" t="s">
        <v>53</v>
      </c>
      <c r="N91" t="s">
        <v>1707</v>
      </c>
      <c r="O91" t="s">
        <v>756</v>
      </c>
      <c r="P91" t="s">
        <v>56</v>
      </c>
      <c r="Q91" s="21" t="s">
        <v>7164</v>
      </c>
      <c r="R91" s="21"/>
      <c r="S91" t="s">
        <v>7243</v>
      </c>
      <c r="T91" t="s">
        <v>7244</v>
      </c>
      <c r="X91" t="s">
        <v>2225</v>
      </c>
      <c r="Z91" s="15"/>
      <c r="AB91">
        <v>42.181578999999999</v>
      </c>
      <c r="AC91">
        <v>-87.908004000000005</v>
      </c>
      <c r="AD91" t="s">
        <v>7245</v>
      </c>
      <c r="AG91" t="s">
        <v>1715</v>
      </c>
      <c r="AH91" t="s">
        <v>63</v>
      </c>
      <c r="AI91" t="s">
        <v>7246</v>
      </c>
      <c r="AJ91">
        <v>192594</v>
      </c>
      <c r="AL91" t="s">
        <v>7247</v>
      </c>
      <c r="AM91" t="s">
        <v>7248</v>
      </c>
      <c r="AN91" t="s">
        <v>7249</v>
      </c>
      <c r="AO91" t="s">
        <v>68</v>
      </c>
      <c r="AQ91" t="s">
        <v>7250</v>
      </c>
      <c r="AR91" t="s">
        <v>7251</v>
      </c>
      <c r="AS91" t="s">
        <v>7252</v>
      </c>
      <c r="AV91" s="14" t="s">
        <v>72</v>
      </c>
      <c r="AW91" s="14" t="s">
        <v>73</v>
      </c>
      <c r="AX91" s="14" t="s">
        <v>74</v>
      </c>
    </row>
    <row r="92" spans="1:50" ht="15" customHeight="1" x14ac:dyDescent="0.4">
      <c r="A92" s="12">
        <v>3951</v>
      </c>
      <c r="B92" s="21" t="s">
        <v>7253</v>
      </c>
      <c r="C92" s="13" t="s">
        <v>7254</v>
      </c>
      <c r="D92" s="25" t="s">
        <v>7254</v>
      </c>
      <c r="E92" s="13"/>
      <c r="F92" s="41"/>
      <c r="G92" s="65" t="s">
        <v>8185</v>
      </c>
      <c r="H92" s="14" t="s">
        <v>49</v>
      </c>
      <c r="I92" s="15">
        <v>44812</v>
      </c>
      <c r="J92" t="s">
        <v>2719</v>
      </c>
      <c r="K92" t="s">
        <v>51</v>
      </c>
      <c r="L92" t="s">
        <v>52</v>
      </c>
      <c r="M92" t="s">
        <v>53</v>
      </c>
      <c r="N92" t="s">
        <v>1707</v>
      </c>
      <c r="O92" t="s">
        <v>756</v>
      </c>
      <c r="P92" t="s">
        <v>56</v>
      </c>
      <c r="Q92" s="21" t="s">
        <v>7164</v>
      </c>
      <c r="R92" s="21"/>
      <c r="S92" t="s">
        <v>7165</v>
      </c>
      <c r="T92" t="s">
        <v>7255</v>
      </c>
      <c r="W92" t="s">
        <v>1758</v>
      </c>
      <c r="X92" t="s">
        <v>60</v>
      </c>
      <c r="Z92" s="15"/>
      <c r="AB92">
        <v>42.181494000000001</v>
      </c>
      <c r="AC92">
        <v>-87.907514000000006</v>
      </c>
      <c r="AD92" t="s">
        <v>7256</v>
      </c>
      <c r="AG92" t="s">
        <v>1715</v>
      </c>
      <c r="AH92" t="s">
        <v>63</v>
      </c>
      <c r="AI92" t="s">
        <v>7257</v>
      </c>
      <c r="AJ92">
        <v>193375</v>
      </c>
      <c r="AL92" t="s">
        <v>7258</v>
      </c>
      <c r="AM92" t="s">
        <v>7259</v>
      </c>
      <c r="AN92" t="s">
        <v>7260</v>
      </c>
      <c r="AO92" t="s">
        <v>68</v>
      </c>
      <c r="AQ92" t="s">
        <v>7261</v>
      </c>
      <c r="AR92" t="s">
        <v>7262</v>
      </c>
      <c r="AS92" t="s">
        <v>7263</v>
      </c>
      <c r="AV92" s="14" t="s">
        <v>72</v>
      </c>
      <c r="AW92" s="14" t="s">
        <v>73</v>
      </c>
      <c r="AX92" s="14" t="s">
        <v>74</v>
      </c>
    </row>
    <row r="93" spans="1:50" ht="15" customHeight="1" x14ac:dyDescent="0.4">
      <c r="A93" s="12">
        <v>3952</v>
      </c>
      <c r="B93" s="21" t="s">
        <v>7264</v>
      </c>
      <c r="C93" s="13" t="s">
        <v>7265</v>
      </c>
      <c r="D93" s="25" t="s">
        <v>7265</v>
      </c>
      <c r="E93" s="13"/>
      <c r="F93" s="41"/>
      <c r="G93" s="65" t="s">
        <v>8185</v>
      </c>
      <c r="H93" s="14" t="s">
        <v>1878</v>
      </c>
      <c r="I93" s="15">
        <v>44812</v>
      </c>
      <c r="J93" t="s">
        <v>2719</v>
      </c>
      <c r="K93" t="s">
        <v>51</v>
      </c>
      <c r="L93" t="s">
        <v>52</v>
      </c>
      <c r="M93" t="s">
        <v>53</v>
      </c>
      <c r="N93" t="s">
        <v>1707</v>
      </c>
      <c r="O93" t="s">
        <v>756</v>
      </c>
      <c r="P93" t="s">
        <v>56</v>
      </c>
      <c r="Q93" s="21" t="s">
        <v>7164</v>
      </c>
      <c r="R93" s="21"/>
      <c r="S93" t="s">
        <v>7165</v>
      </c>
      <c r="T93" t="s">
        <v>7266</v>
      </c>
      <c r="X93" t="s">
        <v>1881</v>
      </c>
      <c r="Z93" s="15"/>
      <c r="AB93">
        <v>42.181280000000001</v>
      </c>
      <c r="AC93">
        <v>-87.906869</v>
      </c>
      <c r="AD93" t="s">
        <v>2808</v>
      </c>
      <c r="AG93" t="s">
        <v>1715</v>
      </c>
      <c r="AH93" t="s">
        <v>63</v>
      </c>
      <c r="AI93" t="s">
        <v>7267</v>
      </c>
      <c r="AJ93">
        <v>194155</v>
      </c>
      <c r="AL93" t="s">
        <v>7268</v>
      </c>
      <c r="AM93" t="s">
        <v>7269</v>
      </c>
      <c r="AN93" t="s">
        <v>7270</v>
      </c>
      <c r="AO93" t="s">
        <v>68</v>
      </c>
      <c r="AQ93" t="s">
        <v>7271</v>
      </c>
      <c r="AR93" t="s">
        <v>7272</v>
      </c>
      <c r="AS93" t="s">
        <v>7273</v>
      </c>
      <c r="AV93" s="14" t="s">
        <v>72</v>
      </c>
      <c r="AW93" s="14" t="s">
        <v>73</v>
      </c>
      <c r="AX93" s="14" t="s">
        <v>1723</v>
      </c>
    </row>
    <row r="94" spans="1:50" ht="15" customHeight="1" x14ac:dyDescent="0.4">
      <c r="A94" s="12">
        <v>3953</v>
      </c>
      <c r="B94" s="21" t="s">
        <v>7274</v>
      </c>
      <c r="C94" s="13" t="s">
        <v>7275</v>
      </c>
      <c r="D94" s="25" t="s">
        <v>7275</v>
      </c>
      <c r="E94" s="13"/>
      <c r="F94" s="41"/>
      <c r="G94" s="65" t="s">
        <v>8185</v>
      </c>
      <c r="H94" s="14" t="s">
        <v>49</v>
      </c>
      <c r="I94" s="15">
        <v>44812</v>
      </c>
      <c r="J94" t="s">
        <v>2719</v>
      </c>
      <c r="K94" t="s">
        <v>51</v>
      </c>
      <c r="L94" t="s">
        <v>52</v>
      </c>
      <c r="M94" t="s">
        <v>53</v>
      </c>
      <c r="N94" t="s">
        <v>1707</v>
      </c>
      <c r="O94" t="s">
        <v>756</v>
      </c>
      <c r="P94" t="s">
        <v>56</v>
      </c>
      <c r="Q94" s="21" t="s">
        <v>7164</v>
      </c>
      <c r="R94" s="21"/>
      <c r="S94" t="s">
        <v>7276</v>
      </c>
      <c r="T94" t="s">
        <v>7277</v>
      </c>
      <c r="X94" t="s">
        <v>60</v>
      </c>
      <c r="Z94" s="15"/>
      <c r="AB94">
        <v>42.181116000000003</v>
      </c>
      <c r="AC94">
        <v>-87.907092000000006</v>
      </c>
      <c r="AD94" t="s">
        <v>7278</v>
      </c>
      <c r="AG94" t="s">
        <v>1715</v>
      </c>
      <c r="AH94" t="s">
        <v>63</v>
      </c>
      <c r="AI94" t="s">
        <v>7279</v>
      </c>
      <c r="AJ94">
        <v>194591</v>
      </c>
      <c r="AL94" t="s">
        <v>7280</v>
      </c>
      <c r="AM94" t="s">
        <v>7281</v>
      </c>
      <c r="AN94" t="s">
        <v>7282</v>
      </c>
      <c r="AO94" t="s">
        <v>68</v>
      </c>
      <c r="AQ94" t="s">
        <v>7283</v>
      </c>
      <c r="AR94" t="s">
        <v>7284</v>
      </c>
      <c r="AS94" t="s">
        <v>7285</v>
      </c>
      <c r="AV94" s="14" t="s">
        <v>72</v>
      </c>
      <c r="AW94" s="14" t="s">
        <v>73</v>
      </c>
      <c r="AX94" s="14" t="s">
        <v>74</v>
      </c>
    </row>
    <row r="95" spans="1:50" ht="15" customHeight="1" x14ac:dyDescent="0.4">
      <c r="A95" s="12">
        <v>3954</v>
      </c>
      <c r="B95" s="21" t="s">
        <v>7286</v>
      </c>
      <c r="C95" s="13" t="s">
        <v>7287</v>
      </c>
      <c r="D95" s="25" t="s">
        <v>7287</v>
      </c>
      <c r="E95" s="13"/>
      <c r="F95" s="41" t="s">
        <v>8106</v>
      </c>
      <c r="G95" s="65" t="s">
        <v>8185</v>
      </c>
      <c r="H95" s="14" t="s">
        <v>2222</v>
      </c>
      <c r="I95" s="15">
        <v>44812</v>
      </c>
      <c r="J95" t="s">
        <v>2719</v>
      </c>
      <c r="K95" t="s">
        <v>51</v>
      </c>
      <c r="L95" t="s">
        <v>52</v>
      </c>
      <c r="M95" t="s">
        <v>53</v>
      </c>
      <c r="N95" t="s">
        <v>1707</v>
      </c>
      <c r="O95" t="s">
        <v>756</v>
      </c>
      <c r="P95" t="s">
        <v>56</v>
      </c>
      <c r="Q95" s="21" t="s">
        <v>7164</v>
      </c>
      <c r="R95" s="21"/>
      <c r="S95" t="s">
        <v>7288</v>
      </c>
      <c r="T95" t="s">
        <v>7289</v>
      </c>
      <c r="W95" t="s">
        <v>7290</v>
      </c>
      <c r="X95" t="s">
        <v>2225</v>
      </c>
      <c r="Z95" s="15"/>
      <c r="AB95">
        <v>42.180086000000003</v>
      </c>
      <c r="AC95">
        <v>-87.906420999999995</v>
      </c>
      <c r="AD95" t="s">
        <v>7291</v>
      </c>
      <c r="AG95" t="s">
        <v>1715</v>
      </c>
      <c r="AH95" t="s">
        <v>63</v>
      </c>
      <c r="AI95" t="s">
        <v>7292</v>
      </c>
      <c r="AJ95">
        <v>192577</v>
      </c>
      <c r="AL95" t="s">
        <v>7293</v>
      </c>
      <c r="AM95" t="s">
        <v>7294</v>
      </c>
      <c r="AN95" t="s">
        <v>7295</v>
      </c>
      <c r="AO95" t="s">
        <v>68</v>
      </c>
      <c r="AQ95" t="s">
        <v>7296</v>
      </c>
      <c r="AR95" t="s">
        <v>7297</v>
      </c>
      <c r="AS95" t="s">
        <v>7298</v>
      </c>
      <c r="AV95" s="14" t="s">
        <v>72</v>
      </c>
      <c r="AW95" s="14" t="s">
        <v>73</v>
      </c>
      <c r="AX95" s="14" t="s">
        <v>74</v>
      </c>
    </row>
    <row r="96" spans="1:50" ht="15" customHeight="1" x14ac:dyDescent="0.4">
      <c r="A96" s="12">
        <v>3955</v>
      </c>
      <c r="B96" s="21" t="s">
        <v>7299</v>
      </c>
      <c r="C96" s="13" t="s">
        <v>7300</v>
      </c>
      <c r="D96" s="25" t="s">
        <v>7300</v>
      </c>
      <c r="E96" s="13"/>
      <c r="F96" s="41"/>
      <c r="G96" s="65" t="s">
        <v>8185</v>
      </c>
      <c r="H96" s="14" t="s">
        <v>1878</v>
      </c>
      <c r="I96" s="15">
        <v>44812</v>
      </c>
      <c r="J96" t="s">
        <v>2719</v>
      </c>
      <c r="K96" t="s">
        <v>51</v>
      </c>
      <c r="L96" t="s">
        <v>52</v>
      </c>
      <c r="M96" t="s">
        <v>53</v>
      </c>
      <c r="N96" t="s">
        <v>1707</v>
      </c>
      <c r="O96" t="s">
        <v>756</v>
      </c>
      <c r="P96" t="s">
        <v>56</v>
      </c>
      <c r="Q96" s="21" t="s">
        <v>7164</v>
      </c>
      <c r="R96" s="21"/>
      <c r="S96" t="s">
        <v>7276</v>
      </c>
      <c r="T96" t="s">
        <v>7301</v>
      </c>
      <c r="W96" t="s">
        <v>7290</v>
      </c>
      <c r="X96" t="s">
        <v>1881</v>
      </c>
      <c r="Z96" s="15"/>
      <c r="AB96">
        <v>42.179906000000003</v>
      </c>
      <c r="AC96">
        <v>-87.906594999999996</v>
      </c>
      <c r="AD96" t="s">
        <v>7302</v>
      </c>
      <c r="AG96" t="s">
        <v>1715</v>
      </c>
      <c r="AH96" t="s">
        <v>63</v>
      </c>
      <c r="AI96" t="s">
        <v>7303</v>
      </c>
      <c r="AJ96">
        <v>194136</v>
      </c>
      <c r="AL96" t="s">
        <v>7304</v>
      </c>
      <c r="AM96" t="s">
        <v>7305</v>
      </c>
      <c r="AN96" t="s">
        <v>7306</v>
      </c>
      <c r="AO96" t="s">
        <v>68</v>
      </c>
      <c r="AQ96" t="s">
        <v>7307</v>
      </c>
      <c r="AR96" t="s">
        <v>7308</v>
      </c>
      <c r="AS96" t="s">
        <v>7309</v>
      </c>
      <c r="AV96" s="14" t="s">
        <v>72</v>
      </c>
      <c r="AW96" s="14" t="s">
        <v>73</v>
      </c>
      <c r="AX96" s="14" t="s">
        <v>1723</v>
      </c>
    </row>
    <row r="97" spans="1:50" ht="15" customHeight="1" x14ac:dyDescent="0.4">
      <c r="A97" s="12">
        <v>3956</v>
      </c>
      <c r="B97" s="21" t="s">
        <v>7310</v>
      </c>
      <c r="C97" s="13" t="s">
        <v>7311</v>
      </c>
      <c r="D97" s="25" t="s">
        <v>7311</v>
      </c>
      <c r="E97" s="13"/>
      <c r="F97" s="41"/>
      <c r="G97" s="65" t="s">
        <v>8185</v>
      </c>
      <c r="H97" s="14" t="s">
        <v>49</v>
      </c>
      <c r="I97" s="15">
        <v>44812</v>
      </c>
      <c r="J97" t="s">
        <v>2719</v>
      </c>
      <c r="K97" t="s">
        <v>51</v>
      </c>
      <c r="L97" t="s">
        <v>52</v>
      </c>
      <c r="M97" t="s">
        <v>53</v>
      </c>
      <c r="N97" t="s">
        <v>1707</v>
      </c>
      <c r="O97" t="s">
        <v>756</v>
      </c>
      <c r="P97" t="s">
        <v>56</v>
      </c>
      <c r="Q97" s="21" t="s">
        <v>7164</v>
      </c>
      <c r="R97" s="21"/>
      <c r="S97" t="s">
        <v>7312</v>
      </c>
      <c r="T97" t="s">
        <v>7313</v>
      </c>
      <c r="X97" t="s">
        <v>60</v>
      </c>
      <c r="Z97" s="15"/>
      <c r="AB97">
        <v>42.179960999999999</v>
      </c>
      <c r="AC97">
        <v>-87.906599</v>
      </c>
      <c r="AD97" t="s">
        <v>1947</v>
      </c>
      <c r="AG97" t="s">
        <v>1715</v>
      </c>
      <c r="AH97" t="s">
        <v>63</v>
      </c>
      <c r="AI97" t="s">
        <v>7314</v>
      </c>
      <c r="AJ97">
        <v>194592</v>
      </c>
      <c r="AL97" t="s">
        <v>7315</v>
      </c>
      <c r="AM97" t="s">
        <v>7316</v>
      </c>
      <c r="AN97" t="s">
        <v>7317</v>
      </c>
      <c r="AO97" t="s">
        <v>68</v>
      </c>
      <c r="AQ97" t="s">
        <v>7318</v>
      </c>
      <c r="AR97" t="s">
        <v>7319</v>
      </c>
      <c r="AS97" t="s">
        <v>7320</v>
      </c>
      <c r="AV97" s="14" t="s">
        <v>72</v>
      </c>
      <c r="AW97" s="14" t="s">
        <v>73</v>
      </c>
      <c r="AX97" s="14" t="s">
        <v>74</v>
      </c>
    </row>
    <row r="98" spans="1:50" ht="15" customHeight="1" x14ac:dyDescent="0.4">
      <c r="A98" s="12">
        <v>3957</v>
      </c>
      <c r="B98" s="21" t="s">
        <v>7321</v>
      </c>
      <c r="C98" s="13" t="s">
        <v>7322</v>
      </c>
      <c r="D98" s="25" t="s">
        <v>7322</v>
      </c>
      <c r="E98" s="13"/>
      <c r="F98" s="41"/>
      <c r="G98" s="65" t="s">
        <v>8185</v>
      </c>
      <c r="H98" s="14" t="s">
        <v>2222</v>
      </c>
      <c r="I98" s="15">
        <v>44812</v>
      </c>
      <c r="J98" t="s">
        <v>2719</v>
      </c>
      <c r="K98" t="s">
        <v>51</v>
      </c>
      <c r="L98" t="s">
        <v>52</v>
      </c>
      <c r="M98" t="s">
        <v>53</v>
      </c>
      <c r="N98" t="s">
        <v>1707</v>
      </c>
      <c r="O98" t="s">
        <v>756</v>
      </c>
      <c r="P98" t="s">
        <v>56</v>
      </c>
      <c r="Q98" s="21" t="s">
        <v>7164</v>
      </c>
      <c r="R98" s="21"/>
      <c r="S98" t="s">
        <v>7323</v>
      </c>
      <c r="T98" t="s">
        <v>7324</v>
      </c>
      <c r="X98" t="s">
        <v>2225</v>
      </c>
      <c r="Z98" s="15"/>
      <c r="AB98">
        <v>42.179338999999999</v>
      </c>
      <c r="AC98">
        <v>-87.906487999999996</v>
      </c>
      <c r="AD98" t="s">
        <v>7325</v>
      </c>
      <c r="AG98" t="s">
        <v>1715</v>
      </c>
      <c r="AH98" t="s">
        <v>63</v>
      </c>
      <c r="AI98" t="s">
        <v>7326</v>
      </c>
      <c r="AJ98">
        <v>192593</v>
      </c>
      <c r="AL98" t="s">
        <v>7327</v>
      </c>
      <c r="AM98" t="s">
        <v>7328</v>
      </c>
      <c r="AN98" t="s">
        <v>7329</v>
      </c>
      <c r="AO98" t="s">
        <v>68</v>
      </c>
      <c r="AQ98" t="s">
        <v>7330</v>
      </c>
      <c r="AR98" t="s">
        <v>7331</v>
      </c>
      <c r="AS98" t="s">
        <v>7332</v>
      </c>
      <c r="AV98" s="14" t="s">
        <v>72</v>
      </c>
      <c r="AW98" s="14" t="s">
        <v>73</v>
      </c>
      <c r="AX98" s="14" t="s">
        <v>74</v>
      </c>
    </row>
    <row r="99" spans="1:50" ht="15" customHeight="1" x14ac:dyDescent="0.4">
      <c r="A99" s="12">
        <v>3982</v>
      </c>
      <c r="B99" s="21" t="s">
        <v>7606</v>
      </c>
      <c r="C99" s="13" t="s">
        <v>7607</v>
      </c>
      <c r="D99" s="25" t="s">
        <v>7607</v>
      </c>
      <c r="E99" s="13"/>
      <c r="F99" s="41"/>
      <c r="G99" s="65" t="s">
        <v>8185</v>
      </c>
      <c r="H99" s="14" t="s">
        <v>49</v>
      </c>
      <c r="I99" s="15">
        <v>44820</v>
      </c>
      <c r="J99" t="s">
        <v>7608</v>
      </c>
      <c r="K99" t="s">
        <v>51</v>
      </c>
      <c r="L99" t="s">
        <v>52</v>
      </c>
      <c r="M99" t="s">
        <v>53</v>
      </c>
      <c r="N99" t="s">
        <v>755</v>
      </c>
      <c r="O99" t="s">
        <v>7609</v>
      </c>
      <c r="P99" t="s">
        <v>56</v>
      </c>
      <c r="Q99" s="21" t="s">
        <v>7610</v>
      </c>
      <c r="R99" s="21"/>
      <c r="S99" t="s">
        <v>7611</v>
      </c>
      <c r="T99" t="s">
        <v>7612</v>
      </c>
      <c r="W99" t="s">
        <v>2440</v>
      </c>
      <c r="X99" t="s">
        <v>60</v>
      </c>
      <c r="Z99" s="15"/>
      <c r="AB99">
        <v>39.220007000000003</v>
      </c>
      <c r="AC99">
        <v>-86.542603999999997</v>
      </c>
      <c r="AD99" t="s">
        <v>7613</v>
      </c>
      <c r="AG99" t="s">
        <v>1715</v>
      </c>
      <c r="AH99" t="s">
        <v>63</v>
      </c>
      <c r="AI99" t="s">
        <v>7614</v>
      </c>
      <c r="AJ99">
        <v>194612</v>
      </c>
      <c r="AL99" t="s">
        <v>7615</v>
      </c>
      <c r="AM99" t="s">
        <v>7616</v>
      </c>
      <c r="AN99" t="s">
        <v>7617</v>
      </c>
      <c r="AO99" t="s">
        <v>68</v>
      </c>
      <c r="AQ99" t="s">
        <v>7618</v>
      </c>
      <c r="AR99" t="s">
        <v>7619</v>
      </c>
      <c r="AS99" t="s">
        <v>7620</v>
      </c>
      <c r="AV99" s="14" t="s">
        <v>72</v>
      </c>
      <c r="AW99" s="14" t="s">
        <v>73</v>
      </c>
      <c r="AX99" s="14" t="s">
        <v>74</v>
      </c>
    </row>
    <row r="100" spans="1:50" ht="15" customHeight="1" x14ac:dyDescent="0.4">
      <c r="A100" s="12">
        <v>3983</v>
      </c>
      <c r="B100" s="21" t="s">
        <v>7621</v>
      </c>
      <c r="C100" s="13" t="s">
        <v>7622</v>
      </c>
      <c r="D100" s="25" t="s">
        <v>7622</v>
      </c>
      <c r="E100" s="13"/>
      <c r="F100" s="41"/>
      <c r="G100" s="65" t="s">
        <v>8185</v>
      </c>
      <c r="H100" s="14" t="s">
        <v>49</v>
      </c>
      <c r="I100" s="15">
        <v>44820</v>
      </c>
      <c r="J100" t="s">
        <v>7608</v>
      </c>
      <c r="K100" t="s">
        <v>51</v>
      </c>
      <c r="L100" t="s">
        <v>52</v>
      </c>
      <c r="M100" t="s">
        <v>53</v>
      </c>
      <c r="N100" t="s">
        <v>755</v>
      </c>
      <c r="O100" t="s">
        <v>7609</v>
      </c>
      <c r="P100" t="s">
        <v>56</v>
      </c>
      <c r="Q100" s="21" t="s">
        <v>7610</v>
      </c>
      <c r="R100" s="21"/>
      <c r="S100" t="s">
        <v>7623</v>
      </c>
      <c r="T100" t="s">
        <v>7624</v>
      </c>
      <c r="X100" t="s">
        <v>60</v>
      </c>
      <c r="Z100" s="15"/>
      <c r="AB100">
        <v>39.221722999999997</v>
      </c>
      <c r="AC100">
        <v>-86.542771000000002</v>
      </c>
      <c r="AD100" t="s">
        <v>5724</v>
      </c>
      <c r="AG100" t="s">
        <v>1715</v>
      </c>
      <c r="AH100" t="s">
        <v>63</v>
      </c>
      <c r="AI100" t="s">
        <v>7625</v>
      </c>
      <c r="AJ100">
        <v>194613</v>
      </c>
      <c r="AL100" t="s">
        <v>7626</v>
      </c>
      <c r="AM100" t="s">
        <v>7627</v>
      </c>
      <c r="AN100" t="s">
        <v>7628</v>
      </c>
      <c r="AO100" t="s">
        <v>68</v>
      </c>
      <c r="AQ100" t="s">
        <v>7629</v>
      </c>
      <c r="AR100" t="s">
        <v>7630</v>
      </c>
      <c r="AS100" t="s">
        <v>7631</v>
      </c>
      <c r="AV100" s="14" t="s">
        <v>72</v>
      </c>
      <c r="AW100" s="14" t="s">
        <v>73</v>
      </c>
      <c r="AX100" s="14" t="s">
        <v>74</v>
      </c>
    </row>
    <row r="101" spans="1:50" ht="15" customHeight="1" x14ac:dyDescent="0.4">
      <c r="A101" s="12">
        <v>3991</v>
      </c>
      <c r="B101" s="21" t="s">
        <v>7708</v>
      </c>
      <c r="C101" s="13" t="s">
        <v>7709</v>
      </c>
      <c r="D101" s="25" t="s">
        <v>7709</v>
      </c>
      <c r="E101" s="13"/>
      <c r="F101" s="41"/>
      <c r="G101" s="65" t="s">
        <v>8185</v>
      </c>
      <c r="H101" s="14" t="s">
        <v>1878</v>
      </c>
      <c r="I101" s="15">
        <v>44820</v>
      </c>
      <c r="J101" t="s">
        <v>7608</v>
      </c>
      <c r="K101" t="s">
        <v>51</v>
      </c>
      <c r="L101" t="s">
        <v>52</v>
      </c>
      <c r="M101" t="s">
        <v>53</v>
      </c>
      <c r="N101" t="s">
        <v>755</v>
      </c>
      <c r="O101" t="s">
        <v>7609</v>
      </c>
      <c r="P101" t="s">
        <v>56</v>
      </c>
      <c r="Q101" s="21" t="s">
        <v>7710</v>
      </c>
      <c r="R101" s="21"/>
      <c r="S101" t="s">
        <v>7711</v>
      </c>
      <c r="T101" t="s">
        <v>7712</v>
      </c>
      <c r="W101" t="s">
        <v>2440</v>
      </c>
      <c r="X101" t="s">
        <v>1881</v>
      </c>
      <c r="Z101" s="15"/>
      <c r="AB101">
        <v>39.189734999999999</v>
      </c>
      <c r="AC101">
        <v>-86.501863999999998</v>
      </c>
      <c r="AD101" t="s">
        <v>7713</v>
      </c>
      <c r="AG101" t="s">
        <v>1715</v>
      </c>
      <c r="AH101" t="s">
        <v>63</v>
      </c>
      <c r="AI101" t="s">
        <v>7714</v>
      </c>
      <c r="AJ101">
        <v>194148</v>
      </c>
      <c r="AL101" t="s">
        <v>7715</v>
      </c>
      <c r="AM101" t="s">
        <v>7716</v>
      </c>
      <c r="AN101" t="s">
        <v>7717</v>
      </c>
      <c r="AO101" t="s">
        <v>68</v>
      </c>
      <c r="AQ101" t="s">
        <v>7718</v>
      </c>
      <c r="AR101" t="s">
        <v>7719</v>
      </c>
      <c r="AS101" t="s">
        <v>7720</v>
      </c>
      <c r="AV101" s="14" t="s">
        <v>72</v>
      </c>
      <c r="AW101" s="14" t="s">
        <v>73</v>
      </c>
      <c r="AX101" s="14" t="s">
        <v>1723</v>
      </c>
    </row>
    <row r="102" spans="1:50" ht="15" customHeight="1" x14ac:dyDescent="0.4">
      <c r="A102" s="12">
        <v>3992</v>
      </c>
      <c r="B102" s="21" t="s">
        <v>7721</v>
      </c>
      <c r="C102" s="13" t="s">
        <v>7722</v>
      </c>
      <c r="D102" s="25" t="s">
        <v>7722</v>
      </c>
      <c r="E102" s="13"/>
      <c r="F102" s="41"/>
      <c r="G102" s="65" t="s">
        <v>8185</v>
      </c>
      <c r="H102" s="14" t="s">
        <v>1878</v>
      </c>
      <c r="I102" s="15">
        <v>44820</v>
      </c>
      <c r="J102" t="s">
        <v>7608</v>
      </c>
      <c r="K102" t="s">
        <v>51</v>
      </c>
      <c r="L102" t="s">
        <v>52</v>
      </c>
      <c r="M102" t="s">
        <v>53</v>
      </c>
      <c r="N102" t="s">
        <v>755</v>
      </c>
      <c r="O102" t="s">
        <v>7609</v>
      </c>
      <c r="P102" t="s">
        <v>56</v>
      </c>
      <c r="Q102" s="21" t="s">
        <v>7710</v>
      </c>
      <c r="R102" s="21"/>
      <c r="S102" t="s">
        <v>7723</v>
      </c>
      <c r="T102" t="s">
        <v>7724</v>
      </c>
      <c r="W102" t="s">
        <v>2440</v>
      </c>
      <c r="X102" t="s">
        <v>1881</v>
      </c>
      <c r="Z102" s="15"/>
      <c r="AB102">
        <v>39.189950000000003</v>
      </c>
      <c r="AC102">
        <v>-86.501028000000005</v>
      </c>
      <c r="AD102" t="s">
        <v>3749</v>
      </c>
      <c r="AG102" t="s">
        <v>1715</v>
      </c>
      <c r="AH102" t="s">
        <v>63</v>
      </c>
      <c r="AI102" t="s">
        <v>7725</v>
      </c>
      <c r="AJ102">
        <v>192579</v>
      </c>
      <c r="AL102" t="s">
        <v>7726</v>
      </c>
      <c r="AM102" t="s">
        <v>7727</v>
      </c>
      <c r="AN102" t="s">
        <v>7728</v>
      </c>
      <c r="AO102" t="s">
        <v>68</v>
      </c>
      <c r="AQ102" t="s">
        <v>7729</v>
      </c>
      <c r="AR102" t="s">
        <v>7730</v>
      </c>
      <c r="AS102" t="s">
        <v>7731</v>
      </c>
      <c r="AV102" s="14" t="s">
        <v>72</v>
      </c>
      <c r="AW102" s="14" t="s">
        <v>73</v>
      </c>
      <c r="AX102" s="14" t="s">
        <v>1723</v>
      </c>
    </row>
    <row r="103" spans="1:50" ht="15" customHeight="1" x14ac:dyDescent="0.4">
      <c r="A103" s="12">
        <v>3993</v>
      </c>
      <c r="B103" s="21" t="s">
        <v>7732</v>
      </c>
      <c r="C103" s="13" t="s">
        <v>7733</v>
      </c>
      <c r="D103" s="25" t="s">
        <v>7733</v>
      </c>
      <c r="E103" s="13"/>
      <c r="F103" s="41"/>
      <c r="G103" s="65" t="s">
        <v>8185</v>
      </c>
      <c r="H103" s="14" t="s">
        <v>1878</v>
      </c>
      <c r="I103" s="15">
        <v>44820</v>
      </c>
      <c r="J103" t="s">
        <v>7608</v>
      </c>
      <c r="K103" t="s">
        <v>51</v>
      </c>
      <c r="L103" t="s">
        <v>52</v>
      </c>
      <c r="M103" t="s">
        <v>53</v>
      </c>
      <c r="N103" t="s">
        <v>755</v>
      </c>
      <c r="O103" t="s">
        <v>7609</v>
      </c>
      <c r="P103" t="s">
        <v>56</v>
      </c>
      <c r="Q103" s="21" t="s">
        <v>7710</v>
      </c>
      <c r="R103" s="21"/>
      <c r="S103" t="s">
        <v>7734</v>
      </c>
      <c r="T103" t="s">
        <v>7735</v>
      </c>
      <c r="W103" t="s">
        <v>2440</v>
      </c>
      <c r="X103" t="s">
        <v>1881</v>
      </c>
      <c r="Z103" s="15"/>
      <c r="AB103">
        <v>39.189925000000002</v>
      </c>
      <c r="AC103">
        <v>-86.499604000000005</v>
      </c>
      <c r="AD103" t="s">
        <v>7736</v>
      </c>
      <c r="AG103" t="s">
        <v>1715</v>
      </c>
      <c r="AH103" t="s">
        <v>63</v>
      </c>
      <c r="AI103" t="s">
        <v>7737</v>
      </c>
      <c r="AJ103">
        <v>194147</v>
      </c>
      <c r="AL103" t="s">
        <v>7738</v>
      </c>
      <c r="AM103" t="s">
        <v>7739</v>
      </c>
      <c r="AN103" t="s">
        <v>7740</v>
      </c>
      <c r="AO103" t="s">
        <v>68</v>
      </c>
      <c r="AQ103" t="s">
        <v>7741</v>
      </c>
      <c r="AR103" t="s">
        <v>7742</v>
      </c>
      <c r="AS103" t="s">
        <v>7743</v>
      </c>
      <c r="AV103" s="14" t="s">
        <v>72</v>
      </c>
      <c r="AW103" s="14" t="s">
        <v>73</v>
      </c>
      <c r="AX103" s="14" t="s">
        <v>1723</v>
      </c>
    </row>
    <row r="104" spans="1:50" ht="15" customHeight="1" x14ac:dyDescent="0.4">
      <c r="A104" s="12">
        <v>3994</v>
      </c>
      <c r="B104" s="21" t="s">
        <v>7744</v>
      </c>
      <c r="C104" s="13" t="s">
        <v>7745</v>
      </c>
      <c r="D104" s="25" t="s">
        <v>7745</v>
      </c>
      <c r="E104" s="13"/>
      <c r="F104" s="41"/>
      <c r="G104" s="65" t="s">
        <v>8185</v>
      </c>
      <c r="H104" s="14" t="s">
        <v>1878</v>
      </c>
      <c r="I104" s="15">
        <v>44820</v>
      </c>
      <c r="J104" t="s">
        <v>7608</v>
      </c>
      <c r="K104" t="s">
        <v>51</v>
      </c>
      <c r="L104" t="s">
        <v>52</v>
      </c>
      <c r="M104" t="s">
        <v>53</v>
      </c>
      <c r="N104" t="s">
        <v>755</v>
      </c>
      <c r="O104" t="s">
        <v>7609</v>
      </c>
      <c r="P104" t="s">
        <v>56</v>
      </c>
      <c r="Q104" s="21" t="s">
        <v>7710</v>
      </c>
      <c r="R104" s="21"/>
      <c r="S104" t="s">
        <v>7746</v>
      </c>
      <c r="T104" t="s">
        <v>7747</v>
      </c>
      <c r="X104" t="s">
        <v>1881</v>
      </c>
      <c r="Z104" s="15"/>
      <c r="AB104">
        <v>39.188890999999998</v>
      </c>
      <c r="AC104">
        <v>-86.499559000000005</v>
      </c>
      <c r="AD104" t="s">
        <v>7748</v>
      </c>
      <c r="AG104" t="s">
        <v>1715</v>
      </c>
      <c r="AH104" t="s">
        <v>63</v>
      </c>
      <c r="AI104" t="s">
        <v>7749</v>
      </c>
      <c r="AJ104">
        <v>194146</v>
      </c>
      <c r="AL104" t="s">
        <v>7750</v>
      </c>
      <c r="AM104" t="s">
        <v>7751</v>
      </c>
      <c r="AN104" t="s">
        <v>7752</v>
      </c>
      <c r="AO104" t="s">
        <v>68</v>
      </c>
      <c r="AQ104" t="s">
        <v>7753</v>
      </c>
      <c r="AR104" t="s">
        <v>7754</v>
      </c>
      <c r="AS104" t="s">
        <v>7755</v>
      </c>
      <c r="AV104" s="14" t="s">
        <v>72</v>
      </c>
      <c r="AW104" s="14" t="s">
        <v>73</v>
      </c>
      <c r="AX104" s="14" t="s">
        <v>1723</v>
      </c>
    </row>
    <row r="105" spans="1:50" ht="15" customHeight="1" x14ac:dyDescent="0.4">
      <c r="A105" s="12">
        <v>3995</v>
      </c>
      <c r="B105" s="21" t="s">
        <v>7756</v>
      </c>
      <c r="C105" s="13" t="s">
        <v>7757</v>
      </c>
      <c r="D105" s="25" t="s">
        <v>7757</v>
      </c>
      <c r="E105" s="13"/>
      <c r="F105" s="41"/>
      <c r="G105" s="65" t="s">
        <v>8185</v>
      </c>
      <c r="H105" s="14" t="s">
        <v>1878</v>
      </c>
      <c r="I105" s="15">
        <v>44820</v>
      </c>
      <c r="J105" t="s">
        <v>7608</v>
      </c>
      <c r="K105" t="s">
        <v>51</v>
      </c>
      <c r="L105" t="s">
        <v>52</v>
      </c>
      <c r="M105" t="s">
        <v>53</v>
      </c>
      <c r="N105" t="s">
        <v>755</v>
      </c>
      <c r="O105" t="s">
        <v>7609</v>
      </c>
      <c r="P105" t="s">
        <v>56</v>
      </c>
      <c r="Q105" s="21" t="s">
        <v>7710</v>
      </c>
      <c r="R105" s="21"/>
      <c r="S105" t="s">
        <v>7758</v>
      </c>
      <c r="T105" t="s">
        <v>7759</v>
      </c>
      <c r="W105" t="s">
        <v>2440</v>
      </c>
      <c r="X105" t="s">
        <v>1881</v>
      </c>
      <c r="Z105" s="15"/>
      <c r="AB105">
        <v>39.187251000000003</v>
      </c>
      <c r="AC105">
        <v>-86.500821000000002</v>
      </c>
      <c r="AD105" t="s">
        <v>2963</v>
      </c>
      <c r="AG105" t="s">
        <v>1715</v>
      </c>
      <c r="AH105" t="s">
        <v>63</v>
      </c>
      <c r="AI105" t="s">
        <v>7760</v>
      </c>
      <c r="AJ105">
        <v>194145</v>
      </c>
      <c r="AL105" t="s">
        <v>7761</v>
      </c>
      <c r="AM105" t="s">
        <v>7762</v>
      </c>
      <c r="AN105" t="s">
        <v>7763</v>
      </c>
      <c r="AO105" t="s">
        <v>68</v>
      </c>
      <c r="AQ105" t="s">
        <v>7764</v>
      </c>
      <c r="AR105" t="s">
        <v>7765</v>
      </c>
      <c r="AS105" t="s">
        <v>7766</v>
      </c>
      <c r="AV105" s="14" t="s">
        <v>72</v>
      </c>
      <c r="AW105" s="14" t="s">
        <v>73</v>
      </c>
      <c r="AX105" s="14" t="s">
        <v>1723</v>
      </c>
    </row>
    <row r="106" spans="1:50" ht="15" customHeight="1" x14ac:dyDescent="0.4">
      <c r="A106" s="12">
        <v>3996</v>
      </c>
      <c r="B106" s="21" t="s">
        <v>7767</v>
      </c>
      <c r="C106" s="13" t="s">
        <v>7768</v>
      </c>
      <c r="D106" s="25" t="s">
        <v>7768</v>
      </c>
      <c r="E106" s="13"/>
      <c r="F106" s="41"/>
      <c r="G106" s="65" t="s">
        <v>8185</v>
      </c>
      <c r="H106" s="14" t="s">
        <v>49</v>
      </c>
      <c r="I106" s="15">
        <v>44820</v>
      </c>
      <c r="J106" t="s">
        <v>7608</v>
      </c>
      <c r="K106" t="s">
        <v>51</v>
      </c>
      <c r="L106" t="s">
        <v>52</v>
      </c>
      <c r="M106" t="s">
        <v>53</v>
      </c>
      <c r="N106" t="s">
        <v>755</v>
      </c>
      <c r="O106" t="s">
        <v>7609</v>
      </c>
      <c r="P106" t="s">
        <v>56</v>
      </c>
      <c r="Q106" s="21" t="s">
        <v>7769</v>
      </c>
      <c r="R106" s="21"/>
      <c r="S106" t="s">
        <v>7770</v>
      </c>
      <c r="W106" t="s">
        <v>5841</v>
      </c>
      <c r="X106" t="s">
        <v>60</v>
      </c>
      <c r="Z106" s="15"/>
      <c r="AB106">
        <v>39.168304999999997</v>
      </c>
      <c r="AC106">
        <v>-86.524118000000001</v>
      </c>
      <c r="AD106" t="s">
        <v>7771</v>
      </c>
      <c r="AG106" t="s">
        <v>1715</v>
      </c>
      <c r="AH106" t="s">
        <v>63</v>
      </c>
      <c r="AI106" t="s">
        <v>7772</v>
      </c>
      <c r="AJ106">
        <v>194615</v>
      </c>
      <c r="AL106" t="s">
        <v>7773</v>
      </c>
      <c r="AM106" t="s">
        <v>7774</v>
      </c>
      <c r="AN106" t="s">
        <v>7775</v>
      </c>
      <c r="AO106" t="s">
        <v>68</v>
      </c>
      <c r="AQ106" t="s">
        <v>7776</v>
      </c>
      <c r="AR106" t="s">
        <v>7777</v>
      </c>
      <c r="AS106" t="s">
        <v>7778</v>
      </c>
      <c r="AV106" s="14" t="s">
        <v>72</v>
      </c>
      <c r="AW106" s="14" t="s">
        <v>73</v>
      </c>
      <c r="AX106" s="14" t="s">
        <v>74</v>
      </c>
    </row>
    <row r="107" spans="1:50" ht="15" customHeight="1" x14ac:dyDescent="0.4">
      <c r="A107" s="12">
        <v>3984</v>
      </c>
      <c r="B107" s="21" t="s">
        <v>7632</v>
      </c>
      <c r="C107" s="13" t="s">
        <v>7633</v>
      </c>
      <c r="D107" s="25" t="s">
        <v>7633</v>
      </c>
      <c r="E107" s="13"/>
      <c r="F107" s="41"/>
      <c r="G107" s="65" t="s">
        <v>8185</v>
      </c>
      <c r="H107" s="14" t="s">
        <v>49</v>
      </c>
      <c r="I107" s="15">
        <v>44820</v>
      </c>
      <c r="J107" t="s">
        <v>7608</v>
      </c>
      <c r="K107" t="s">
        <v>51</v>
      </c>
      <c r="L107" t="s">
        <v>52</v>
      </c>
      <c r="M107" t="s">
        <v>53</v>
      </c>
      <c r="N107" t="s">
        <v>755</v>
      </c>
      <c r="O107" t="s">
        <v>7609</v>
      </c>
      <c r="P107" t="s">
        <v>56</v>
      </c>
      <c r="Q107" s="21" t="s">
        <v>7634</v>
      </c>
      <c r="R107" s="21"/>
      <c r="S107" t="s">
        <v>7635</v>
      </c>
      <c r="T107" t="s">
        <v>7636</v>
      </c>
      <c r="W107" t="s">
        <v>2440</v>
      </c>
      <c r="X107" t="s">
        <v>60</v>
      </c>
      <c r="Z107" s="15"/>
      <c r="AB107">
        <v>39.197561</v>
      </c>
      <c r="AC107">
        <v>-86.537880000000001</v>
      </c>
      <c r="AD107" t="s">
        <v>1760</v>
      </c>
      <c r="AG107" t="s">
        <v>1715</v>
      </c>
      <c r="AH107" t="s">
        <v>63</v>
      </c>
      <c r="AI107" t="s">
        <v>7637</v>
      </c>
      <c r="AJ107">
        <v>192649</v>
      </c>
      <c r="AL107" t="s">
        <v>7638</v>
      </c>
      <c r="AM107" t="s">
        <v>7639</v>
      </c>
      <c r="AN107" t="s">
        <v>7640</v>
      </c>
      <c r="AO107" t="s">
        <v>68</v>
      </c>
      <c r="AQ107" t="s">
        <v>7641</v>
      </c>
      <c r="AR107" t="s">
        <v>7642</v>
      </c>
      <c r="AS107" t="s">
        <v>7643</v>
      </c>
      <c r="AV107" s="14" t="s">
        <v>72</v>
      </c>
      <c r="AW107" s="14" t="s">
        <v>73</v>
      </c>
      <c r="AX107" s="14" t="s">
        <v>74</v>
      </c>
    </row>
    <row r="108" spans="1:50" ht="15" customHeight="1" x14ac:dyDescent="0.4">
      <c r="A108" s="12">
        <v>3985</v>
      </c>
      <c r="B108" s="21" t="s">
        <v>7644</v>
      </c>
      <c r="C108" s="13" t="s">
        <v>7645</v>
      </c>
      <c r="D108" s="25" t="s">
        <v>7645</v>
      </c>
      <c r="E108" s="13"/>
      <c r="F108" s="41"/>
      <c r="G108" s="65" t="s">
        <v>8185</v>
      </c>
      <c r="H108" s="14" t="s">
        <v>49</v>
      </c>
      <c r="I108" s="15">
        <v>44820</v>
      </c>
      <c r="J108" t="s">
        <v>7608</v>
      </c>
      <c r="K108" t="s">
        <v>51</v>
      </c>
      <c r="L108" t="s">
        <v>52</v>
      </c>
      <c r="M108" t="s">
        <v>53</v>
      </c>
      <c r="N108" t="s">
        <v>755</v>
      </c>
      <c r="O108" t="s">
        <v>7609</v>
      </c>
      <c r="P108" t="s">
        <v>56</v>
      </c>
      <c r="Q108" s="21" t="s">
        <v>7634</v>
      </c>
      <c r="R108" s="21"/>
      <c r="S108" t="s">
        <v>4456</v>
      </c>
      <c r="T108" t="s">
        <v>7646</v>
      </c>
      <c r="W108" t="s">
        <v>2440</v>
      </c>
      <c r="X108" t="s">
        <v>60</v>
      </c>
      <c r="Z108" s="15"/>
      <c r="AB108">
        <v>39.197400999999999</v>
      </c>
      <c r="AC108">
        <v>-86.539024999999995</v>
      </c>
      <c r="AD108" t="s">
        <v>7647</v>
      </c>
      <c r="AG108" t="s">
        <v>1715</v>
      </c>
      <c r="AH108" t="s">
        <v>63</v>
      </c>
      <c r="AI108" t="s">
        <v>7648</v>
      </c>
      <c r="AJ108">
        <v>194614</v>
      </c>
      <c r="AL108" t="s">
        <v>7649</v>
      </c>
      <c r="AM108" t="s">
        <v>7650</v>
      </c>
      <c r="AN108" t="s">
        <v>7651</v>
      </c>
      <c r="AO108" t="s">
        <v>68</v>
      </c>
      <c r="AQ108" t="s">
        <v>7652</v>
      </c>
      <c r="AR108" t="s">
        <v>7653</v>
      </c>
      <c r="AS108" t="s">
        <v>7654</v>
      </c>
      <c r="AV108" s="14" t="s">
        <v>72</v>
      </c>
      <c r="AW108" s="14" t="s">
        <v>73</v>
      </c>
      <c r="AX108" s="14" t="s">
        <v>74</v>
      </c>
    </row>
    <row r="109" spans="1:50" ht="15" customHeight="1" x14ac:dyDescent="0.4">
      <c r="A109" s="12">
        <v>3986</v>
      </c>
      <c r="B109" s="21" t="s">
        <v>7655</v>
      </c>
      <c r="C109" s="13" t="s">
        <v>7656</v>
      </c>
      <c r="D109" s="25" t="s">
        <v>7656</v>
      </c>
      <c r="E109" s="13"/>
      <c r="F109" s="41"/>
      <c r="G109" s="65" t="s">
        <v>8185</v>
      </c>
      <c r="H109" s="14" t="s">
        <v>1829</v>
      </c>
      <c r="I109" s="15">
        <v>44820</v>
      </c>
      <c r="J109" t="s">
        <v>7608</v>
      </c>
      <c r="K109" t="s">
        <v>51</v>
      </c>
      <c r="L109" t="s">
        <v>52</v>
      </c>
      <c r="M109" t="s">
        <v>53</v>
      </c>
      <c r="N109" t="s">
        <v>755</v>
      </c>
      <c r="O109" t="s">
        <v>7609</v>
      </c>
      <c r="P109" t="s">
        <v>56</v>
      </c>
      <c r="Q109" s="21" t="s">
        <v>7634</v>
      </c>
      <c r="R109" s="21"/>
      <c r="S109" t="s">
        <v>7657</v>
      </c>
      <c r="T109" t="s">
        <v>7658</v>
      </c>
      <c r="X109" t="s">
        <v>1832</v>
      </c>
      <c r="Z109" s="15"/>
      <c r="AB109">
        <v>39.196964999999999</v>
      </c>
      <c r="AC109">
        <v>-86.538253999999995</v>
      </c>
      <c r="AD109" t="s">
        <v>7291</v>
      </c>
      <c r="AG109" t="s">
        <v>1715</v>
      </c>
      <c r="AH109" t="s">
        <v>63</v>
      </c>
      <c r="AI109" t="s">
        <v>7659</v>
      </c>
      <c r="AJ109">
        <v>194545</v>
      </c>
      <c r="AL109" t="s">
        <v>7660</v>
      </c>
      <c r="AM109" t="s">
        <v>7661</v>
      </c>
      <c r="AN109" t="s">
        <v>7662</v>
      </c>
      <c r="AO109" t="s">
        <v>68</v>
      </c>
      <c r="AQ109" t="s">
        <v>7663</v>
      </c>
      <c r="AR109" t="s">
        <v>7664</v>
      </c>
      <c r="AS109" t="s">
        <v>7665</v>
      </c>
      <c r="AV109" s="14" t="s">
        <v>72</v>
      </c>
      <c r="AW109" s="14" t="s">
        <v>73</v>
      </c>
      <c r="AX109" s="14" t="s">
        <v>74</v>
      </c>
    </row>
    <row r="110" spans="1:50" ht="15" customHeight="1" x14ac:dyDescent="0.4">
      <c r="A110" s="12">
        <v>3987</v>
      </c>
      <c r="B110" s="21" t="s">
        <v>7666</v>
      </c>
      <c r="C110" s="13" t="s">
        <v>7667</v>
      </c>
      <c r="D110" s="25" t="s">
        <v>7667</v>
      </c>
      <c r="E110" s="13"/>
      <c r="F110" s="41"/>
      <c r="G110" s="65" t="s">
        <v>8185</v>
      </c>
      <c r="H110" s="14" t="s">
        <v>1829</v>
      </c>
      <c r="I110" s="15">
        <v>44820</v>
      </c>
      <c r="J110" t="s">
        <v>7608</v>
      </c>
      <c r="K110" t="s">
        <v>51</v>
      </c>
      <c r="L110" t="s">
        <v>52</v>
      </c>
      <c r="M110" t="s">
        <v>53</v>
      </c>
      <c r="N110" t="s">
        <v>755</v>
      </c>
      <c r="O110" t="s">
        <v>7609</v>
      </c>
      <c r="P110" t="s">
        <v>56</v>
      </c>
      <c r="Q110" s="21" t="s">
        <v>7634</v>
      </c>
      <c r="R110" s="21"/>
      <c r="S110" t="s">
        <v>7668</v>
      </c>
      <c r="T110" t="s">
        <v>7669</v>
      </c>
      <c r="X110" t="s">
        <v>1832</v>
      </c>
      <c r="Z110" s="15"/>
      <c r="AB110">
        <v>39.196455</v>
      </c>
      <c r="AC110">
        <v>-86.537745999999999</v>
      </c>
      <c r="AD110" t="s">
        <v>7418</v>
      </c>
      <c r="AG110" t="s">
        <v>1715</v>
      </c>
      <c r="AH110" t="s">
        <v>63</v>
      </c>
      <c r="AI110" t="s">
        <v>7670</v>
      </c>
      <c r="AJ110">
        <v>194523</v>
      </c>
      <c r="AL110" t="s">
        <v>7671</v>
      </c>
      <c r="AM110" t="s">
        <v>7672</v>
      </c>
      <c r="AN110" t="s">
        <v>7673</v>
      </c>
      <c r="AO110" t="s">
        <v>68</v>
      </c>
      <c r="AQ110" t="s">
        <v>7674</v>
      </c>
      <c r="AR110" t="s">
        <v>7675</v>
      </c>
      <c r="AS110" t="s">
        <v>7676</v>
      </c>
      <c r="AV110" s="14" t="s">
        <v>72</v>
      </c>
      <c r="AW110" s="14" t="s">
        <v>73</v>
      </c>
      <c r="AX110" s="14" t="s">
        <v>74</v>
      </c>
    </row>
    <row r="111" spans="1:50" ht="15" customHeight="1" x14ac:dyDescent="0.4">
      <c r="A111" s="12">
        <v>3988</v>
      </c>
      <c r="B111" s="21" t="s">
        <v>7677</v>
      </c>
      <c r="C111" s="13" t="s">
        <v>7678</v>
      </c>
      <c r="D111" s="25" t="s">
        <v>7678</v>
      </c>
      <c r="E111" s="13"/>
      <c r="F111" s="41"/>
      <c r="G111" s="65" t="s">
        <v>8178</v>
      </c>
      <c r="H111" s="14" t="s">
        <v>1829</v>
      </c>
      <c r="I111" s="15">
        <v>44820</v>
      </c>
      <c r="J111" t="s">
        <v>7608</v>
      </c>
      <c r="K111" t="s">
        <v>51</v>
      </c>
      <c r="L111" t="s">
        <v>52</v>
      </c>
      <c r="M111" t="s">
        <v>53</v>
      </c>
      <c r="N111" t="s">
        <v>755</v>
      </c>
      <c r="O111" t="s">
        <v>7609</v>
      </c>
      <c r="P111" t="s">
        <v>56</v>
      </c>
      <c r="Q111" s="21" t="s">
        <v>7634</v>
      </c>
      <c r="R111" s="21"/>
      <c r="S111" t="s">
        <v>4456</v>
      </c>
      <c r="T111" t="s">
        <v>7679</v>
      </c>
      <c r="X111" t="s">
        <v>1832</v>
      </c>
      <c r="Z111" s="15"/>
      <c r="AB111">
        <v>39.196261</v>
      </c>
      <c r="AC111">
        <v>-86.53707</v>
      </c>
      <c r="AD111" t="s">
        <v>4693</v>
      </c>
      <c r="AG111" t="s">
        <v>1715</v>
      </c>
      <c r="AH111" t="s">
        <v>63</v>
      </c>
      <c r="AI111" t="s">
        <v>7680</v>
      </c>
      <c r="AJ111">
        <v>194524</v>
      </c>
      <c r="AL111" t="s">
        <v>7681</v>
      </c>
      <c r="AM111" t="s">
        <v>7682</v>
      </c>
      <c r="AN111" t="s">
        <v>7683</v>
      </c>
      <c r="AO111" t="s">
        <v>68</v>
      </c>
      <c r="AQ111" t="s">
        <v>7684</v>
      </c>
      <c r="AR111" t="s">
        <v>7685</v>
      </c>
      <c r="AS111" t="s">
        <v>7686</v>
      </c>
      <c r="AV111" s="14" t="s">
        <v>72</v>
      </c>
      <c r="AW111" s="14" t="s">
        <v>73</v>
      </c>
      <c r="AX111" s="14" t="s">
        <v>74</v>
      </c>
    </row>
    <row r="112" spans="1:50" ht="15" customHeight="1" x14ac:dyDescent="0.4">
      <c r="A112" s="12">
        <v>3989</v>
      </c>
      <c r="B112" s="21" t="s">
        <v>7687</v>
      </c>
      <c r="C112" s="13" t="s">
        <v>7688</v>
      </c>
      <c r="D112" s="25" t="s">
        <v>7688</v>
      </c>
      <c r="E112" s="13"/>
      <c r="F112" s="41"/>
      <c r="G112" s="65" t="s">
        <v>8185</v>
      </c>
      <c r="H112" s="14" t="s">
        <v>1829</v>
      </c>
      <c r="I112" s="15">
        <v>44820</v>
      </c>
      <c r="J112" t="s">
        <v>7608</v>
      </c>
      <c r="K112" t="s">
        <v>51</v>
      </c>
      <c r="L112" t="s">
        <v>52</v>
      </c>
      <c r="M112" t="s">
        <v>53</v>
      </c>
      <c r="N112" t="s">
        <v>755</v>
      </c>
      <c r="O112" t="s">
        <v>7609</v>
      </c>
      <c r="P112" t="s">
        <v>56</v>
      </c>
      <c r="Q112" s="21" t="s">
        <v>7634</v>
      </c>
      <c r="R112" s="21"/>
      <c r="S112" t="s">
        <v>4456</v>
      </c>
      <c r="T112" t="s">
        <v>7689</v>
      </c>
      <c r="X112" t="s">
        <v>1832</v>
      </c>
      <c r="Z112" s="15"/>
      <c r="AB112">
        <v>39.198096</v>
      </c>
      <c r="AC112">
        <v>-86.539097999999996</v>
      </c>
      <c r="AD112" t="s">
        <v>2785</v>
      </c>
      <c r="AG112" t="s">
        <v>1715</v>
      </c>
      <c r="AH112" t="s">
        <v>63</v>
      </c>
      <c r="AI112" t="s">
        <v>7690</v>
      </c>
      <c r="AJ112">
        <v>194525</v>
      </c>
      <c r="AL112" t="s">
        <v>7691</v>
      </c>
      <c r="AM112" t="s">
        <v>7692</v>
      </c>
      <c r="AN112" t="s">
        <v>7693</v>
      </c>
      <c r="AO112" t="s">
        <v>68</v>
      </c>
      <c r="AQ112" t="s">
        <v>7694</v>
      </c>
      <c r="AR112" t="s">
        <v>7695</v>
      </c>
      <c r="AS112" t="s">
        <v>7696</v>
      </c>
      <c r="AV112" s="14" t="s">
        <v>72</v>
      </c>
      <c r="AW112" s="14" t="s">
        <v>73</v>
      </c>
      <c r="AX112" s="14" t="s">
        <v>74</v>
      </c>
    </row>
    <row r="113" spans="1:50" ht="15" customHeight="1" x14ac:dyDescent="0.4">
      <c r="A113" s="12">
        <v>3990</v>
      </c>
      <c r="B113" s="21" t="s">
        <v>7697</v>
      </c>
      <c r="C113" s="13" t="s">
        <v>7698</v>
      </c>
      <c r="D113" s="25" t="s">
        <v>7698</v>
      </c>
      <c r="E113" s="13"/>
      <c r="F113" s="41"/>
      <c r="G113" s="65" t="s">
        <v>8185</v>
      </c>
      <c r="H113" s="14" t="s">
        <v>1829</v>
      </c>
      <c r="I113" s="15">
        <v>44820</v>
      </c>
      <c r="J113" t="s">
        <v>7608</v>
      </c>
      <c r="K113" t="s">
        <v>51</v>
      </c>
      <c r="L113" t="s">
        <v>52</v>
      </c>
      <c r="M113" t="s">
        <v>53</v>
      </c>
      <c r="N113" t="s">
        <v>755</v>
      </c>
      <c r="O113" t="s">
        <v>7609</v>
      </c>
      <c r="P113" t="s">
        <v>56</v>
      </c>
      <c r="Q113" s="21" t="s">
        <v>7634</v>
      </c>
      <c r="R113" s="21"/>
      <c r="S113" t="s">
        <v>4456</v>
      </c>
      <c r="T113" t="s">
        <v>7699</v>
      </c>
      <c r="X113" t="s">
        <v>1832</v>
      </c>
      <c r="Z113" s="15"/>
      <c r="AB113">
        <v>39.198965999999999</v>
      </c>
      <c r="AC113">
        <v>-86.538785000000004</v>
      </c>
      <c r="AD113" t="s">
        <v>7700</v>
      </c>
      <c r="AG113" t="s">
        <v>1715</v>
      </c>
      <c r="AH113" t="s">
        <v>63</v>
      </c>
      <c r="AI113" t="s">
        <v>7701</v>
      </c>
      <c r="AJ113">
        <v>194526</v>
      </c>
      <c r="AL113" t="s">
        <v>7702</v>
      </c>
      <c r="AM113" t="s">
        <v>7703</v>
      </c>
      <c r="AN113" t="s">
        <v>7704</v>
      </c>
      <c r="AO113" t="s">
        <v>68</v>
      </c>
      <c r="AQ113" t="s">
        <v>7705</v>
      </c>
      <c r="AR113" t="s">
        <v>7706</v>
      </c>
      <c r="AS113" t="s">
        <v>7707</v>
      </c>
      <c r="AV113" s="14" t="s">
        <v>72</v>
      </c>
      <c r="AW113" s="14" t="s">
        <v>73</v>
      </c>
      <c r="AX113" s="14" t="s">
        <v>74</v>
      </c>
    </row>
    <row r="114" spans="1:50" ht="15" customHeight="1" x14ac:dyDescent="0.4">
      <c r="A114" s="12">
        <v>3958</v>
      </c>
      <c r="B114" s="21" t="s">
        <v>7333</v>
      </c>
      <c r="C114" s="13" t="s">
        <v>7334</v>
      </c>
      <c r="D114" s="25" t="s">
        <v>7334</v>
      </c>
      <c r="E114" s="13"/>
      <c r="F114" s="41"/>
      <c r="G114" s="65" t="s">
        <v>8185</v>
      </c>
      <c r="H114" s="14" t="s">
        <v>1878</v>
      </c>
      <c r="I114" s="15">
        <v>44818</v>
      </c>
      <c r="J114" t="s">
        <v>2719</v>
      </c>
      <c r="K114" t="s">
        <v>51</v>
      </c>
      <c r="L114" t="s">
        <v>52</v>
      </c>
      <c r="M114" t="s">
        <v>53</v>
      </c>
      <c r="N114" t="s">
        <v>755</v>
      </c>
      <c r="O114" t="s">
        <v>7335</v>
      </c>
      <c r="P114" t="s">
        <v>56</v>
      </c>
      <c r="Q114" s="21" t="s">
        <v>7336</v>
      </c>
      <c r="R114" s="21"/>
      <c r="S114" t="s">
        <v>7337</v>
      </c>
      <c r="T114" t="s">
        <v>7338</v>
      </c>
      <c r="W114" t="s">
        <v>2440</v>
      </c>
      <c r="X114" t="s">
        <v>1881</v>
      </c>
      <c r="Z114" s="15"/>
      <c r="AB114">
        <v>40.438583999999999</v>
      </c>
      <c r="AC114">
        <v>-86.932946999999999</v>
      </c>
      <c r="AD114" t="s">
        <v>7339</v>
      </c>
      <c r="AG114" t="s">
        <v>1715</v>
      </c>
      <c r="AH114" t="s">
        <v>63</v>
      </c>
      <c r="AI114" t="s">
        <v>7340</v>
      </c>
      <c r="AJ114">
        <v>194154</v>
      </c>
      <c r="AL114" t="s">
        <v>7341</v>
      </c>
      <c r="AM114" t="s">
        <v>7342</v>
      </c>
      <c r="AN114" t="s">
        <v>7343</v>
      </c>
      <c r="AO114" t="s">
        <v>68</v>
      </c>
      <c r="AQ114" t="s">
        <v>7344</v>
      </c>
      <c r="AR114" t="s">
        <v>7345</v>
      </c>
      <c r="AS114" t="s">
        <v>7346</v>
      </c>
      <c r="AV114" s="14" t="s">
        <v>72</v>
      </c>
      <c r="AW114" s="14" t="s">
        <v>73</v>
      </c>
      <c r="AX114" s="14" t="s">
        <v>1723</v>
      </c>
    </row>
    <row r="115" spans="1:50" ht="15" customHeight="1" x14ac:dyDescent="0.4">
      <c r="A115" s="12">
        <v>3959</v>
      </c>
      <c r="B115" s="21" t="s">
        <v>7347</v>
      </c>
      <c r="C115" s="13" t="s">
        <v>7348</v>
      </c>
      <c r="D115" s="25" t="s">
        <v>7348</v>
      </c>
      <c r="E115" s="13"/>
      <c r="F115" s="41"/>
      <c r="G115" s="65" t="s">
        <v>8185</v>
      </c>
      <c r="H115" s="14" t="s">
        <v>2222</v>
      </c>
      <c r="I115" s="15">
        <v>44818</v>
      </c>
      <c r="J115" t="s">
        <v>2719</v>
      </c>
      <c r="K115" t="s">
        <v>51</v>
      </c>
      <c r="L115" t="s">
        <v>52</v>
      </c>
      <c r="M115" t="s">
        <v>53</v>
      </c>
      <c r="N115" t="s">
        <v>755</v>
      </c>
      <c r="O115" t="s">
        <v>7335</v>
      </c>
      <c r="P115" t="s">
        <v>56</v>
      </c>
      <c r="Q115" s="21" t="s">
        <v>7336</v>
      </c>
      <c r="R115" s="21"/>
      <c r="S115" t="s">
        <v>7349</v>
      </c>
      <c r="T115" t="s">
        <v>7350</v>
      </c>
      <c r="W115" t="s">
        <v>2440</v>
      </c>
      <c r="X115" t="s">
        <v>2225</v>
      </c>
      <c r="Z115" s="15"/>
      <c r="AB115">
        <v>40.437621999999998</v>
      </c>
      <c r="AC115">
        <v>-86.932541999999998</v>
      </c>
      <c r="AD115" t="s">
        <v>3738</v>
      </c>
      <c r="AG115" t="s">
        <v>1715</v>
      </c>
      <c r="AH115" t="s">
        <v>63</v>
      </c>
      <c r="AI115" t="s">
        <v>7351</v>
      </c>
      <c r="AJ115">
        <v>192532</v>
      </c>
      <c r="AL115" t="s">
        <v>7352</v>
      </c>
      <c r="AM115" t="s">
        <v>7353</v>
      </c>
      <c r="AN115" t="s">
        <v>7354</v>
      </c>
      <c r="AO115" t="s">
        <v>68</v>
      </c>
      <c r="AQ115" t="s">
        <v>7355</v>
      </c>
      <c r="AR115" t="s">
        <v>7356</v>
      </c>
      <c r="AS115" t="s">
        <v>7357</v>
      </c>
      <c r="AV115" s="14" t="s">
        <v>72</v>
      </c>
      <c r="AW115" s="14" t="s">
        <v>73</v>
      </c>
      <c r="AX115" s="14" t="s">
        <v>74</v>
      </c>
    </row>
    <row r="116" spans="1:50" ht="15" customHeight="1" x14ac:dyDescent="0.4">
      <c r="A116" s="12">
        <v>3960</v>
      </c>
      <c r="B116" s="21" t="s">
        <v>7358</v>
      </c>
      <c r="C116" s="13" t="s">
        <v>7359</v>
      </c>
      <c r="D116" s="25" t="s">
        <v>7359</v>
      </c>
      <c r="E116" s="13"/>
      <c r="F116" s="41"/>
      <c r="G116" s="65" t="s">
        <v>8185</v>
      </c>
      <c r="H116" s="14" t="s">
        <v>1878</v>
      </c>
      <c r="I116" s="15">
        <v>44818</v>
      </c>
      <c r="J116" t="s">
        <v>2719</v>
      </c>
      <c r="K116" t="s">
        <v>51</v>
      </c>
      <c r="L116" t="s">
        <v>52</v>
      </c>
      <c r="M116" t="s">
        <v>53</v>
      </c>
      <c r="N116" t="s">
        <v>755</v>
      </c>
      <c r="O116" t="s">
        <v>7335</v>
      </c>
      <c r="P116" t="s">
        <v>56</v>
      </c>
      <c r="Q116" s="21" t="s">
        <v>7336</v>
      </c>
      <c r="R116" s="21"/>
      <c r="S116" t="s">
        <v>7360</v>
      </c>
      <c r="T116" t="s">
        <v>7361</v>
      </c>
      <c r="W116" t="s">
        <v>2440</v>
      </c>
      <c r="X116" t="s">
        <v>1881</v>
      </c>
      <c r="Z116" s="15"/>
      <c r="AB116">
        <v>40.437243000000002</v>
      </c>
      <c r="AC116">
        <v>-86.932675000000003</v>
      </c>
      <c r="AD116" t="s">
        <v>7362</v>
      </c>
      <c r="AG116" t="s">
        <v>1715</v>
      </c>
      <c r="AH116" t="s">
        <v>63</v>
      </c>
      <c r="AI116" t="s">
        <v>7363</v>
      </c>
      <c r="AJ116">
        <v>194153</v>
      </c>
      <c r="AL116" t="s">
        <v>7364</v>
      </c>
      <c r="AM116" t="s">
        <v>7365</v>
      </c>
      <c r="AN116" t="s">
        <v>7366</v>
      </c>
      <c r="AO116" t="s">
        <v>68</v>
      </c>
      <c r="AQ116" t="s">
        <v>7367</v>
      </c>
      <c r="AR116" t="s">
        <v>7368</v>
      </c>
      <c r="AS116" t="s">
        <v>7369</v>
      </c>
      <c r="AV116" s="14" t="s">
        <v>72</v>
      </c>
      <c r="AW116" s="14" t="s">
        <v>73</v>
      </c>
      <c r="AX116" s="14" t="s">
        <v>1723</v>
      </c>
    </row>
    <row r="117" spans="1:50" ht="15" customHeight="1" x14ac:dyDescent="0.4">
      <c r="A117" s="12">
        <v>3961</v>
      </c>
      <c r="B117" s="21" t="s">
        <v>7370</v>
      </c>
      <c r="C117" s="13" t="s">
        <v>7371</v>
      </c>
      <c r="D117" s="25" t="s">
        <v>7371</v>
      </c>
      <c r="E117" s="13"/>
      <c r="F117" s="41"/>
      <c r="G117" s="65" t="s">
        <v>8185</v>
      </c>
      <c r="H117" s="14" t="s">
        <v>1878</v>
      </c>
      <c r="I117" s="15">
        <v>44818</v>
      </c>
      <c r="J117" t="s">
        <v>2719</v>
      </c>
      <c r="K117" t="s">
        <v>51</v>
      </c>
      <c r="L117" t="s">
        <v>52</v>
      </c>
      <c r="M117" t="s">
        <v>53</v>
      </c>
      <c r="N117" t="s">
        <v>755</v>
      </c>
      <c r="O117" t="s">
        <v>7335</v>
      </c>
      <c r="P117" t="s">
        <v>56</v>
      </c>
      <c r="Q117" s="21" t="s">
        <v>7336</v>
      </c>
      <c r="R117" s="21"/>
      <c r="S117" t="s">
        <v>7372</v>
      </c>
      <c r="T117" t="s">
        <v>7373</v>
      </c>
      <c r="W117" t="s">
        <v>2440</v>
      </c>
      <c r="X117" t="s">
        <v>1881</v>
      </c>
      <c r="Z117" s="15"/>
      <c r="AB117">
        <v>40.435110000000002</v>
      </c>
      <c r="AC117">
        <v>-86.933235999999994</v>
      </c>
      <c r="AD117" t="s">
        <v>772</v>
      </c>
      <c r="AG117" t="s">
        <v>1715</v>
      </c>
      <c r="AH117" t="s">
        <v>63</v>
      </c>
      <c r="AI117" t="s">
        <v>7374</v>
      </c>
      <c r="AJ117">
        <v>194152</v>
      </c>
      <c r="AL117" t="s">
        <v>7375</v>
      </c>
      <c r="AM117" t="s">
        <v>7376</v>
      </c>
      <c r="AN117" t="s">
        <v>7377</v>
      </c>
      <c r="AO117" t="s">
        <v>68</v>
      </c>
      <c r="AQ117" t="s">
        <v>7378</v>
      </c>
      <c r="AR117" t="s">
        <v>7379</v>
      </c>
      <c r="AS117" t="s">
        <v>7380</v>
      </c>
      <c r="AV117" s="14" t="s">
        <v>72</v>
      </c>
      <c r="AW117" s="14" t="s">
        <v>73</v>
      </c>
      <c r="AX117" s="14" t="s">
        <v>1723</v>
      </c>
    </row>
    <row r="118" spans="1:50" ht="15" customHeight="1" x14ac:dyDescent="0.4">
      <c r="A118" s="12">
        <v>3962</v>
      </c>
      <c r="B118" s="21" t="s">
        <v>7381</v>
      </c>
      <c r="C118" s="13" t="s">
        <v>7382</v>
      </c>
      <c r="D118" s="25" t="s">
        <v>7382</v>
      </c>
      <c r="E118" s="13"/>
      <c r="F118" s="41"/>
      <c r="G118" s="65" t="s">
        <v>8185</v>
      </c>
      <c r="H118" s="14" t="s">
        <v>2222</v>
      </c>
      <c r="I118" s="15">
        <v>44818</v>
      </c>
      <c r="J118" t="s">
        <v>2719</v>
      </c>
      <c r="K118" t="s">
        <v>51</v>
      </c>
      <c r="L118" t="s">
        <v>52</v>
      </c>
      <c r="M118" t="s">
        <v>53</v>
      </c>
      <c r="N118" t="s">
        <v>755</v>
      </c>
      <c r="O118" t="s">
        <v>7335</v>
      </c>
      <c r="P118" t="s">
        <v>56</v>
      </c>
      <c r="Q118" s="21" t="s">
        <v>7336</v>
      </c>
      <c r="R118" s="21"/>
      <c r="S118" t="s">
        <v>7383</v>
      </c>
      <c r="T118" t="s">
        <v>7384</v>
      </c>
      <c r="W118" t="s">
        <v>2440</v>
      </c>
      <c r="X118" t="s">
        <v>2225</v>
      </c>
      <c r="Z118" s="15"/>
      <c r="AB118">
        <v>40.436804000000002</v>
      </c>
      <c r="AC118">
        <v>-86.933732000000006</v>
      </c>
      <c r="AD118" t="s">
        <v>1971</v>
      </c>
      <c r="AG118" t="s">
        <v>1715</v>
      </c>
      <c r="AH118" t="s">
        <v>63</v>
      </c>
      <c r="AI118" t="s">
        <v>7385</v>
      </c>
      <c r="AJ118">
        <v>192591</v>
      </c>
      <c r="AL118" t="s">
        <v>7386</v>
      </c>
      <c r="AM118" t="s">
        <v>7387</v>
      </c>
      <c r="AN118" t="s">
        <v>7388</v>
      </c>
      <c r="AO118" t="s">
        <v>68</v>
      </c>
      <c r="AQ118" t="s">
        <v>7389</v>
      </c>
      <c r="AR118" t="s">
        <v>7390</v>
      </c>
      <c r="AS118" t="s">
        <v>7391</v>
      </c>
      <c r="AV118" s="14" t="s">
        <v>72</v>
      </c>
      <c r="AW118" s="14" t="s">
        <v>73</v>
      </c>
      <c r="AX118" s="14" t="s">
        <v>74</v>
      </c>
    </row>
    <row r="119" spans="1:50" ht="15" customHeight="1" x14ac:dyDescent="0.4">
      <c r="A119" s="12">
        <v>3963</v>
      </c>
      <c r="B119" s="21" t="s">
        <v>7392</v>
      </c>
      <c r="C119" s="13" t="s">
        <v>7393</v>
      </c>
      <c r="D119" s="25" t="s">
        <v>7393</v>
      </c>
      <c r="E119" s="13"/>
      <c r="F119" s="41"/>
      <c r="G119" s="65" t="s">
        <v>8185</v>
      </c>
      <c r="H119" s="14" t="s">
        <v>49</v>
      </c>
      <c r="I119" s="15">
        <v>44818</v>
      </c>
      <c r="J119" t="s">
        <v>2719</v>
      </c>
      <c r="K119" t="s">
        <v>51</v>
      </c>
      <c r="L119" t="s">
        <v>52</v>
      </c>
      <c r="M119" t="s">
        <v>53</v>
      </c>
      <c r="N119" t="s">
        <v>755</v>
      </c>
      <c r="O119" t="s">
        <v>7335</v>
      </c>
      <c r="P119" t="s">
        <v>56</v>
      </c>
      <c r="Q119" s="21" t="s">
        <v>7336</v>
      </c>
      <c r="R119" s="21"/>
      <c r="S119" t="s">
        <v>7394</v>
      </c>
      <c r="T119" t="s">
        <v>7395</v>
      </c>
      <c r="W119" t="s">
        <v>2440</v>
      </c>
      <c r="X119" t="s">
        <v>60</v>
      </c>
      <c r="Z119" s="15"/>
      <c r="AB119">
        <v>40.437838999999997</v>
      </c>
      <c r="AC119">
        <v>-86.933767000000003</v>
      </c>
      <c r="AD119" t="s">
        <v>7278</v>
      </c>
      <c r="AG119" t="s">
        <v>1715</v>
      </c>
      <c r="AH119" t="s">
        <v>63</v>
      </c>
      <c r="AI119" t="s">
        <v>7396</v>
      </c>
      <c r="AJ119">
        <v>192648</v>
      </c>
      <c r="AL119" t="s">
        <v>7397</v>
      </c>
      <c r="AM119" t="s">
        <v>7398</v>
      </c>
      <c r="AN119" t="s">
        <v>7399</v>
      </c>
      <c r="AO119" t="s">
        <v>68</v>
      </c>
      <c r="AQ119" t="s">
        <v>7400</v>
      </c>
      <c r="AR119" t="s">
        <v>7401</v>
      </c>
      <c r="AS119" t="s">
        <v>7402</v>
      </c>
      <c r="AV119" s="14" t="s">
        <v>72</v>
      </c>
      <c r="AW119" s="14" t="s">
        <v>73</v>
      </c>
      <c r="AX119" s="14" t="s">
        <v>74</v>
      </c>
    </row>
    <row r="120" spans="1:50" ht="15" customHeight="1" x14ac:dyDescent="0.4">
      <c r="A120" s="12">
        <v>3964</v>
      </c>
      <c r="B120" s="21" t="s">
        <v>7403</v>
      </c>
      <c r="C120" s="13" t="s">
        <v>7404</v>
      </c>
      <c r="D120" s="25" t="s">
        <v>7404</v>
      </c>
      <c r="E120" s="13"/>
      <c r="F120" s="41"/>
      <c r="G120" s="65" t="s">
        <v>8185</v>
      </c>
      <c r="H120" s="14" t="s">
        <v>1878</v>
      </c>
      <c r="I120" s="15">
        <v>44818</v>
      </c>
      <c r="J120" t="s">
        <v>2719</v>
      </c>
      <c r="K120" t="s">
        <v>51</v>
      </c>
      <c r="L120" t="s">
        <v>52</v>
      </c>
      <c r="M120" t="s">
        <v>53</v>
      </c>
      <c r="N120" t="s">
        <v>755</v>
      </c>
      <c r="O120" t="s">
        <v>7335</v>
      </c>
      <c r="P120" t="s">
        <v>56</v>
      </c>
      <c r="Q120" s="21" t="s">
        <v>7336</v>
      </c>
      <c r="R120" s="21"/>
      <c r="S120" t="s">
        <v>7405</v>
      </c>
      <c r="T120" t="s">
        <v>7406</v>
      </c>
      <c r="W120" t="s">
        <v>2440</v>
      </c>
      <c r="X120" t="s">
        <v>1881</v>
      </c>
      <c r="Z120" s="15"/>
      <c r="AB120">
        <v>40.438491999999997</v>
      </c>
      <c r="AC120">
        <v>-86.930974000000006</v>
      </c>
      <c r="AD120" t="s">
        <v>2285</v>
      </c>
      <c r="AG120" t="s">
        <v>1715</v>
      </c>
      <c r="AH120" t="s">
        <v>63</v>
      </c>
      <c r="AI120" t="s">
        <v>7407</v>
      </c>
      <c r="AJ120">
        <v>194151</v>
      </c>
      <c r="AL120" t="s">
        <v>7408</v>
      </c>
      <c r="AM120" t="s">
        <v>7409</v>
      </c>
      <c r="AN120" t="s">
        <v>7410</v>
      </c>
      <c r="AO120" t="s">
        <v>68</v>
      </c>
      <c r="AQ120" t="s">
        <v>7411</v>
      </c>
      <c r="AR120" t="s">
        <v>7412</v>
      </c>
      <c r="AS120" t="s">
        <v>7413</v>
      </c>
      <c r="AV120" s="14" t="s">
        <v>72</v>
      </c>
      <c r="AW120" s="14" t="s">
        <v>73</v>
      </c>
      <c r="AX120" s="14" t="s">
        <v>1723</v>
      </c>
    </row>
    <row r="121" spans="1:50" ht="15" customHeight="1" x14ac:dyDescent="0.4">
      <c r="A121" s="12">
        <v>3965</v>
      </c>
      <c r="B121" s="21" t="s">
        <v>7414</v>
      </c>
      <c r="C121" s="13" t="s">
        <v>7415</v>
      </c>
      <c r="D121" s="25" t="s">
        <v>7415</v>
      </c>
      <c r="E121" s="13"/>
      <c r="F121" s="41"/>
      <c r="G121" s="65" t="s">
        <v>8178</v>
      </c>
      <c r="H121" s="14" t="s">
        <v>1829</v>
      </c>
      <c r="I121" s="15">
        <v>44818</v>
      </c>
      <c r="J121" t="s">
        <v>2719</v>
      </c>
      <c r="K121" t="s">
        <v>51</v>
      </c>
      <c r="L121" t="s">
        <v>52</v>
      </c>
      <c r="M121" t="s">
        <v>53</v>
      </c>
      <c r="N121" t="s">
        <v>755</v>
      </c>
      <c r="O121" t="s">
        <v>7335</v>
      </c>
      <c r="P121" t="s">
        <v>56</v>
      </c>
      <c r="Q121" s="21" t="s">
        <v>7336</v>
      </c>
      <c r="R121" s="21"/>
      <c r="S121" t="s">
        <v>7416</v>
      </c>
      <c r="T121" t="s">
        <v>7417</v>
      </c>
      <c r="W121" t="s">
        <v>2440</v>
      </c>
      <c r="X121" t="s">
        <v>1832</v>
      </c>
      <c r="Z121" s="15"/>
      <c r="AB121">
        <v>40.438383000000002</v>
      </c>
      <c r="AC121">
        <v>-86.930811000000006</v>
      </c>
      <c r="AD121" t="s">
        <v>7418</v>
      </c>
      <c r="AG121" t="s">
        <v>1715</v>
      </c>
      <c r="AH121" t="s">
        <v>63</v>
      </c>
      <c r="AI121" t="s">
        <v>7419</v>
      </c>
      <c r="AJ121">
        <v>194500</v>
      </c>
      <c r="AL121" t="s">
        <v>7420</v>
      </c>
      <c r="AM121" t="s">
        <v>7421</v>
      </c>
      <c r="AN121" t="s">
        <v>7422</v>
      </c>
      <c r="AO121" t="s">
        <v>68</v>
      </c>
      <c r="AQ121" t="s">
        <v>7423</v>
      </c>
      <c r="AR121" t="s">
        <v>7424</v>
      </c>
      <c r="AS121" t="s">
        <v>7425</v>
      </c>
      <c r="AV121" s="14" t="s">
        <v>72</v>
      </c>
      <c r="AW121" s="14" t="s">
        <v>73</v>
      </c>
      <c r="AX121" s="14" t="s">
        <v>74</v>
      </c>
    </row>
    <row r="122" spans="1:50" ht="15" customHeight="1" x14ac:dyDescent="0.4">
      <c r="A122" s="12">
        <v>3966</v>
      </c>
      <c r="B122" s="21" t="s">
        <v>7426</v>
      </c>
      <c r="C122" s="13" t="s">
        <v>7427</v>
      </c>
      <c r="D122" s="25" t="s">
        <v>7427</v>
      </c>
      <c r="E122" s="13"/>
      <c r="F122" s="41"/>
      <c r="G122" s="65" t="s">
        <v>8185</v>
      </c>
      <c r="H122" s="14" t="s">
        <v>1829</v>
      </c>
      <c r="I122" s="15">
        <v>44818</v>
      </c>
      <c r="J122" t="s">
        <v>2719</v>
      </c>
      <c r="K122" t="s">
        <v>51</v>
      </c>
      <c r="L122" t="s">
        <v>52</v>
      </c>
      <c r="M122" t="s">
        <v>53</v>
      </c>
      <c r="N122" t="s">
        <v>755</v>
      </c>
      <c r="O122" t="s">
        <v>7335</v>
      </c>
      <c r="P122" t="s">
        <v>56</v>
      </c>
      <c r="Q122" s="21" t="s">
        <v>7336</v>
      </c>
      <c r="R122" s="21"/>
      <c r="S122" t="s">
        <v>7428</v>
      </c>
      <c r="T122" t="s">
        <v>7429</v>
      </c>
      <c r="W122" t="s">
        <v>2440</v>
      </c>
      <c r="X122" t="s">
        <v>1832</v>
      </c>
      <c r="Z122" s="15"/>
      <c r="AB122">
        <v>40.436971</v>
      </c>
      <c r="AC122">
        <v>-86.929077000000007</v>
      </c>
      <c r="AD122" t="s">
        <v>4786</v>
      </c>
      <c r="AG122" t="s">
        <v>1715</v>
      </c>
      <c r="AH122" t="s">
        <v>63</v>
      </c>
      <c r="AI122" t="s">
        <v>7430</v>
      </c>
      <c r="AJ122">
        <v>194501</v>
      </c>
      <c r="AL122" t="s">
        <v>7431</v>
      </c>
      <c r="AM122" t="s">
        <v>7432</v>
      </c>
      <c r="AN122" t="s">
        <v>7433</v>
      </c>
      <c r="AO122" t="s">
        <v>68</v>
      </c>
      <c r="AQ122" t="s">
        <v>7434</v>
      </c>
      <c r="AR122" t="s">
        <v>7435</v>
      </c>
      <c r="AS122" t="s">
        <v>7436</v>
      </c>
      <c r="AV122" s="14" t="s">
        <v>72</v>
      </c>
      <c r="AW122" s="14" t="s">
        <v>73</v>
      </c>
      <c r="AX122" s="14" t="s">
        <v>74</v>
      </c>
    </row>
    <row r="123" spans="1:50" ht="15" customHeight="1" x14ac:dyDescent="0.4">
      <c r="A123" s="12">
        <v>3967</v>
      </c>
      <c r="B123" s="21" t="s">
        <v>7437</v>
      </c>
      <c r="C123" s="13" t="s">
        <v>7438</v>
      </c>
      <c r="D123" s="25" t="s">
        <v>7438</v>
      </c>
      <c r="E123" s="13"/>
      <c r="F123" s="41"/>
      <c r="G123" s="65" t="s">
        <v>8185</v>
      </c>
      <c r="H123" s="14" t="s">
        <v>1829</v>
      </c>
      <c r="I123" s="15">
        <v>44818</v>
      </c>
      <c r="J123" t="s">
        <v>2719</v>
      </c>
      <c r="K123" t="s">
        <v>51</v>
      </c>
      <c r="L123" t="s">
        <v>52</v>
      </c>
      <c r="M123" t="s">
        <v>53</v>
      </c>
      <c r="N123" t="s">
        <v>755</v>
      </c>
      <c r="O123" t="s">
        <v>7335</v>
      </c>
      <c r="P123" t="s">
        <v>56</v>
      </c>
      <c r="Q123" s="21" t="s">
        <v>7336</v>
      </c>
      <c r="R123" s="21"/>
      <c r="S123" t="s">
        <v>7439</v>
      </c>
      <c r="T123" t="s">
        <v>7440</v>
      </c>
      <c r="X123" t="s">
        <v>1832</v>
      </c>
      <c r="Z123" s="15"/>
      <c r="AB123">
        <v>40.437052999999999</v>
      </c>
      <c r="AC123">
        <v>-86.929563000000002</v>
      </c>
      <c r="AD123" t="s">
        <v>7278</v>
      </c>
      <c r="AG123" t="s">
        <v>1715</v>
      </c>
      <c r="AH123" t="s">
        <v>63</v>
      </c>
      <c r="AI123" t="s">
        <v>7441</v>
      </c>
      <c r="AJ123">
        <v>194502</v>
      </c>
      <c r="AL123" t="s">
        <v>7442</v>
      </c>
      <c r="AM123" t="s">
        <v>7443</v>
      </c>
      <c r="AN123" t="s">
        <v>7444</v>
      </c>
      <c r="AO123" t="s">
        <v>68</v>
      </c>
      <c r="AQ123" t="s">
        <v>7445</v>
      </c>
      <c r="AR123" t="s">
        <v>7446</v>
      </c>
      <c r="AS123" t="s">
        <v>7447</v>
      </c>
      <c r="AV123" s="14" t="s">
        <v>72</v>
      </c>
      <c r="AW123" s="14" t="s">
        <v>73</v>
      </c>
      <c r="AX123" s="14" t="s">
        <v>74</v>
      </c>
    </row>
    <row r="124" spans="1:50" ht="15" customHeight="1" x14ac:dyDescent="0.4">
      <c r="A124" s="12">
        <v>3968</v>
      </c>
      <c r="B124" s="21" t="s">
        <v>7448</v>
      </c>
      <c r="C124" s="13" t="s">
        <v>7449</v>
      </c>
      <c r="D124" s="25" t="s">
        <v>7449</v>
      </c>
      <c r="E124" s="13"/>
      <c r="F124" s="41"/>
      <c r="G124" s="65" t="s">
        <v>8178</v>
      </c>
      <c r="H124" s="14" t="s">
        <v>1829</v>
      </c>
      <c r="I124" s="15">
        <v>44819</v>
      </c>
      <c r="J124" t="s">
        <v>2719</v>
      </c>
      <c r="K124" t="s">
        <v>51</v>
      </c>
      <c r="L124" t="s">
        <v>52</v>
      </c>
      <c r="M124" t="s">
        <v>53</v>
      </c>
      <c r="N124" t="s">
        <v>755</v>
      </c>
      <c r="O124" t="s">
        <v>7450</v>
      </c>
      <c r="P124" t="s">
        <v>56</v>
      </c>
      <c r="Q124" s="21" t="s">
        <v>7451</v>
      </c>
      <c r="R124" s="21"/>
      <c r="S124" t="s">
        <v>7452</v>
      </c>
      <c r="T124" t="s">
        <v>7453</v>
      </c>
      <c r="W124" t="s">
        <v>2440</v>
      </c>
      <c r="X124" t="s">
        <v>1832</v>
      </c>
      <c r="Z124" s="15"/>
      <c r="AB124">
        <v>40.457290999999998</v>
      </c>
      <c r="AC124">
        <v>-85.509986999999995</v>
      </c>
      <c r="AD124" t="s">
        <v>7454</v>
      </c>
      <c r="AG124" t="s">
        <v>1715</v>
      </c>
      <c r="AH124" t="s">
        <v>63</v>
      </c>
      <c r="AI124" t="s">
        <v>7455</v>
      </c>
      <c r="AJ124">
        <v>194503</v>
      </c>
      <c r="AL124" t="s">
        <v>7456</v>
      </c>
      <c r="AM124" t="s">
        <v>7457</v>
      </c>
      <c r="AN124" t="s">
        <v>7458</v>
      </c>
      <c r="AO124" t="s">
        <v>68</v>
      </c>
      <c r="AQ124" t="s">
        <v>7459</v>
      </c>
      <c r="AR124" t="s">
        <v>7460</v>
      </c>
      <c r="AS124" t="s">
        <v>7461</v>
      </c>
      <c r="AV124" s="14" t="s">
        <v>72</v>
      </c>
      <c r="AW124" s="14" t="s">
        <v>73</v>
      </c>
      <c r="AX124" s="14" t="s">
        <v>74</v>
      </c>
    </row>
    <row r="125" spans="1:50" ht="15" customHeight="1" x14ac:dyDescent="0.4">
      <c r="A125" s="12">
        <v>3969</v>
      </c>
      <c r="B125" s="21" t="s">
        <v>7462</v>
      </c>
      <c r="C125" s="13" t="s">
        <v>7463</v>
      </c>
      <c r="D125" s="25" t="s">
        <v>7463</v>
      </c>
      <c r="E125" s="13"/>
      <c r="F125" s="41"/>
      <c r="G125" s="65" t="s">
        <v>8185</v>
      </c>
      <c r="H125" s="14" t="s">
        <v>49</v>
      </c>
      <c r="I125" s="15">
        <v>44819</v>
      </c>
      <c r="J125" t="s">
        <v>2719</v>
      </c>
      <c r="K125" t="s">
        <v>51</v>
      </c>
      <c r="L125" t="s">
        <v>52</v>
      </c>
      <c r="M125" t="s">
        <v>53</v>
      </c>
      <c r="N125" t="s">
        <v>755</v>
      </c>
      <c r="O125" t="s">
        <v>7450</v>
      </c>
      <c r="P125" t="s">
        <v>56</v>
      </c>
      <c r="Q125" s="21" t="s">
        <v>7451</v>
      </c>
      <c r="R125" s="21"/>
      <c r="S125" t="s">
        <v>7464</v>
      </c>
      <c r="T125" t="s">
        <v>7465</v>
      </c>
      <c r="X125" t="s">
        <v>60</v>
      </c>
      <c r="Z125" s="15"/>
      <c r="AB125">
        <v>40.457366999999998</v>
      </c>
      <c r="AC125">
        <v>-85.511077999999998</v>
      </c>
      <c r="AD125" t="s">
        <v>7466</v>
      </c>
      <c r="AG125" t="s">
        <v>1715</v>
      </c>
      <c r="AH125" t="s">
        <v>63</v>
      </c>
      <c r="AI125" t="s">
        <v>7467</v>
      </c>
      <c r="AJ125">
        <v>194610</v>
      </c>
      <c r="AL125" t="s">
        <v>7468</v>
      </c>
      <c r="AM125" t="s">
        <v>7469</v>
      </c>
      <c r="AN125" t="s">
        <v>7470</v>
      </c>
      <c r="AO125" t="s">
        <v>68</v>
      </c>
      <c r="AQ125" t="s">
        <v>7471</v>
      </c>
      <c r="AR125" t="s">
        <v>7472</v>
      </c>
      <c r="AS125" t="s">
        <v>7473</v>
      </c>
      <c r="AV125" s="14" t="s">
        <v>72</v>
      </c>
      <c r="AW125" s="14" t="s">
        <v>73</v>
      </c>
      <c r="AX125" s="14" t="s">
        <v>74</v>
      </c>
    </row>
    <row r="126" spans="1:50" ht="15" customHeight="1" x14ac:dyDescent="0.4">
      <c r="A126" s="12">
        <v>3970</v>
      </c>
      <c r="B126" s="21" t="s">
        <v>7474</v>
      </c>
      <c r="C126" s="13" t="s">
        <v>7475</v>
      </c>
      <c r="D126" s="25" t="s">
        <v>7475</v>
      </c>
      <c r="E126" s="13"/>
      <c r="F126" s="41"/>
      <c r="G126" s="65" t="s">
        <v>8185</v>
      </c>
      <c r="H126" s="14" t="s">
        <v>49</v>
      </c>
      <c r="I126" s="15">
        <v>44819</v>
      </c>
      <c r="J126" t="s">
        <v>2719</v>
      </c>
      <c r="K126" t="s">
        <v>51</v>
      </c>
      <c r="L126" t="s">
        <v>52</v>
      </c>
      <c r="M126" t="s">
        <v>53</v>
      </c>
      <c r="N126" t="s">
        <v>755</v>
      </c>
      <c r="O126" t="s">
        <v>7450</v>
      </c>
      <c r="P126" t="s">
        <v>56</v>
      </c>
      <c r="Q126" s="21" t="s">
        <v>7451</v>
      </c>
      <c r="R126" s="21"/>
      <c r="S126" t="s">
        <v>7464</v>
      </c>
      <c r="T126" t="s">
        <v>7476</v>
      </c>
      <c r="W126" t="s">
        <v>2440</v>
      </c>
      <c r="X126" t="s">
        <v>60</v>
      </c>
      <c r="Z126" s="15"/>
      <c r="AB126">
        <v>40.457881999999998</v>
      </c>
      <c r="AC126">
        <v>-85.511741999999998</v>
      </c>
      <c r="AD126" t="s">
        <v>7477</v>
      </c>
      <c r="AG126" t="s">
        <v>1715</v>
      </c>
      <c r="AH126" t="s">
        <v>63</v>
      </c>
      <c r="AI126" t="s">
        <v>7478</v>
      </c>
      <c r="AJ126">
        <v>192661</v>
      </c>
      <c r="AL126" t="s">
        <v>7479</v>
      </c>
      <c r="AM126" t="s">
        <v>7480</v>
      </c>
      <c r="AN126" t="s">
        <v>7481</v>
      </c>
      <c r="AO126" t="s">
        <v>68</v>
      </c>
      <c r="AQ126" t="s">
        <v>7482</v>
      </c>
      <c r="AR126" t="s">
        <v>7483</v>
      </c>
      <c r="AS126" t="s">
        <v>7484</v>
      </c>
      <c r="AV126" s="14" t="s">
        <v>72</v>
      </c>
      <c r="AW126" s="14" t="s">
        <v>73</v>
      </c>
      <c r="AX126" s="14" t="s">
        <v>74</v>
      </c>
    </row>
    <row r="127" spans="1:50" ht="15" customHeight="1" x14ac:dyDescent="0.4">
      <c r="A127" s="12">
        <v>3971</v>
      </c>
      <c r="B127" s="21" t="s">
        <v>7485</v>
      </c>
      <c r="C127" s="13" t="s">
        <v>7486</v>
      </c>
      <c r="D127" s="25" t="s">
        <v>7486</v>
      </c>
      <c r="E127" s="13"/>
      <c r="F127" s="41"/>
      <c r="G127" s="65" t="s">
        <v>8185</v>
      </c>
      <c r="H127" s="14" t="s">
        <v>49</v>
      </c>
      <c r="I127" s="15">
        <v>44819</v>
      </c>
      <c r="J127" t="s">
        <v>2719</v>
      </c>
      <c r="K127" t="s">
        <v>51</v>
      </c>
      <c r="L127" t="s">
        <v>52</v>
      </c>
      <c r="M127" t="s">
        <v>53</v>
      </c>
      <c r="N127" t="s">
        <v>755</v>
      </c>
      <c r="O127" t="s">
        <v>7450</v>
      </c>
      <c r="P127" t="s">
        <v>56</v>
      </c>
      <c r="Q127" s="21" t="s">
        <v>7451</v>
      </c>
      <c r="R127" s="21"/>
      <c r="S127" t="s">
        <v>7464</v>
      </c>
      <c r="T127" t="s">
        <v>7487</v>
      </c>
      <c r="W127" t="s">
        <v>2440</v>
      </c>
      <c r="X127" t="s">
        <v>60</v>
      </c>
      <c r="Z127" s="15"/>
      <c r="AB127">
        <v>40.458125000000003</v>
      </c>
      <c r="AC127">
        <v>-85.511150999999998</v>
      </c>
      <c r="AD127" t="s">
        <v>5305</v>
      </c>
      <c r="AG127" t="s">
        <v>1715</v>
      </c>
      <c r="AH127" t="s">
        <v>63</v>
      </c>
      <c r="AI127" t="s">
        <v>7488</v>
      </c>
      <c r="AJ127">
        <v>194611</v>
      </c>
      <c r="AL127" t="s">
        <v>7489</v>
      </c>
      <c r="AM127" t="s">
        <v>7490</v>
      </c>
      <c r="AN127" t="s">
        <v>7491</v>
      </c>
      <c r="AO127" t="s">
        <v>68</v>
      </c>
      <c r="AQ127" t="s">
        <v>7492</v>
      </c>
      <c r="AR127" t="s">
        <v>7493</v>
      </c>
      <c r="AS127" t="s">
        <v>7494</v>
      </c>
      <c r="AV127" s="14" t="s">
        <v>72</v>
      </c>
      <c r="AW127" s="14" t="s">
        <v>73</v>
      </c>
      <c r="AX127" s="14" t="s">
        <v>74</v>
      </c>
    </row>
    <row r="128" spans="1:50" ht="15" customHeight="1" x14ac:dyDescent="0.4">
      <c r="A128" s="12">
        <v>3972</v>
      </c>
      <c r="B128" s="21" t="s">
        <v>7495</v>
      </c>
      <c r="C128" s="13" t="s">
        <v>7496</v>
      </c>
      <c r="D128" s="25" t="s">
        <v>7496</v>
      </c>
      <c r="E128" s="13"/>
      <c r="F128" s="41"/>
      <c r="G128" s="65" t="s">
        <v>8185</v>
      </c>
      <c r="H128" s="14" t="s">
        <v>1829</v>
      </c>
      <c r="I128" s="15">
        <v>44819</v>
      </c>
      <c r="J128" t="s">
        <v>2719</v>
      </c>
      <c r="K128" t="s">
        <v>51</v>
      </c>
      <c r="L128" t="s">
        <v>52</v>
      </c>
      <c r="M128" t="s">
        <v>53</v>
      </c>
      <c r="N128" t="s">
        <v>755</v>
      </c>
      <c r="O128" t="s">
        <v>7450</v>
      </c>
      <c r="P128" t="s">
        <v>56</v>
      </c>
      <c r="Q128" s="21" t="s">
        <v>7451</v>
      </c>
      <c r="R128" s="21"/>
      <c r="S128" t="s">
        <v>7464</v>
      </c>
      <c r="T128" t="s">
        <v>7497</v>
      </c>
      <c r="X128" t="s">
        <v>1832</v>
      </c>
      <c r="Z128" s="15"/>
      <c r="AB128">
        <v>40.458257000000003</v>
      </c>
      <c r="AC128">
        <v>-85.510915999999995</v>
      </c>
      <c r="AD128" t="s">
        <v>5281</v>
      </c>
      <c r="AG128" t="s">
        <v>1715</v>
      </c>
      <c r="AH128" t="s">
        <v>63</v>
      </c>
      <c r="AI128" t="s">
        <v>7498</v>
      </c>
      <c r="AJ128">
        <v>194504</v>
      </c>
      <c r="AL128" t="s">
        <v>7499</v>
      </c>
      <c r="AM128" t="s">
        <v>7500</v>
      </c>
      <c r="AN128" t="s">
        <v>7501</v>
      </c>
      <c r="AO128" t="s">
        <v>68</v>
      </c>
      <c r="AQ128" t="s">
        <v>7502</v>
      </c>
      <c r="AR128" t="s">
        <v>7503</v>
      </c>
      <c r="AS128" t="s">
        <v>7504</v>
      </c>
      <c r="AV128" s="14" t="s">
        <v>72</v>
      </c>
      <c r="AW128" s="14" t="s">
        <v>73</v>
      </c>
      <c r="AX128" s="14" t="s">
        <v>74</v>
      </c>
    </row>
    <row r="129" spans="1:50" ht="15" customHeight="1" x14ac:dyDescent="0.4">
      <c r="A129" s="12">
        <v>3973</v>
      </c>
      <c r="B129" s="21" t="s">
        <v>7505</v>
      </c>
      <c r="C129" s="13" t="s">
        <v>7506</v>
      </c>
      <c r="D129" s="25" t="s">
        <v>7506</v>
      </c>
      <c r="E129" s="13"/>
      <c r="F129" s="41"/>
      <c r="G129" s="65" t="s">
        <v>8185</v>
      </c>
      <c r="H129" s="14" t="s">
        <v>1829</v>
      </c>
      <c r="I129" s="15">
        <v>44819</v>
      </c>
      <c r="J129" t="s">
        <v>2719</v>
      </c>
      <c r="K129" t="s">
        <v>51</v>
      </c>
      <c r="L129" t="s">
        <v>52</v>
      </c>
      <c r="M129" t="s">
        <v>53</v>
      </c>
      <c r="N129" t="s">
        <v>755</v>
      </c>
      <c r="O129" t="s">
        <v>7450</v>
      </c>
      <c r="P129" t="s">
        <v>56</v>
      </c>
      <c r="Q129" s="21" t="s">
        <v>7451</v>
      </c>
      <c r="R129" s="21"/>
      <c r="S129" t="s">
        <v>7464</v>
      </c>
      <c r="T129" t="s">
        <v>7507</v>
      </c>
      <c r="X129" t="s">
        <v>1832</v>
      </c>
      <c r="Z129" s="15"/>
      <c r="AB129">
        <v>40.456561999999998</v>
      </c>
      <c r="AC129">
        <v>-85.511442000000002</v>
      </c>
      <c r="AD129" t="s">
        <v>4916</v>
      </c>
      <c r="AG129" t="s">
        <v>1715</v>
      </c>
      <c r="AH129" t="s">
        <v>63</v>
      </c>
      <c r="AI129" t="s">
        <v>7508</v>
      </c>
      <c r="AJ129">
        <v>194547</v>
      </c>
      <c r="AL129" t="s">
        <v>7509</v>
      </c>
      <c r="AM129" t="s">
        <v>7510</v>
      </c>
      <c r="AN129" t="s">
        <v>7511</v>
      </c>
      <c r="AO129" t="s">
        <v>68</v>
      </c>
      <c r="AQ129" t="s">
        <v>7512</v>
      </c>
      <c r="AR129" t="s">
        <v>7513</v>
      </c>
      <c r="AS129" t="s">
        <v>7514</v>
      </c>
      <c r="AV129" s="14" t="s">
        <v>72</v>
      </c>
      <c r="AW129" s="14" t="s">
        <v>73</v>
      </c>
      <c r="AX129" s="14" t="s">
        <v>74</v>
      </c>
    </row>
    <row r="130" spans="1:50" ht="15" customHeight="1" x14ac:dyDescent="0.4">
      <c r="A130" s="12">
        <v>3974</v>
      </c>
      <c r="B130" s="21" t="s">
        <v>7515</v>
      </c>
      <c r="C130" s="13" t="s">
        <v>7516</v>
      </c>
      <c r="D130" s="25" t="s">
        <v>7516</v>
      </c>
      <c r="E130" s="13"/>
      <c r="F130" s="41"/>
      <c r="G130" s="65" t="s">
        <v>8185</v>
      </c>
      <c r="H130" s="14" t="s">
        <v>1878</v>
      </c>
      <c r="I130" s="15">
        <v>44819</v>
      </c>
      <c r="J130" t="s">
        <v>2719</v>
      </c>
      <c r="K130" t="s">
        <v>51</v>
      </c>
      <c r="L130" t="s">
        <v>52</v>
      </c>
      <c r="M130" t="s">
        <v>53</v>
      </c>
      <c r="N130" t="s">
        <v>755</v>
      </c>
      <c r="O130" t="s">
        <v>7450</v>
      </c>
      <c r="P130" t="s">
        <v>56</v>
      </c>
      <c r="Q130" s="21" t="s">
        <v>7451</v>
      </c>
      <c r="R130" s="21"/>
      <c r="S130" t="s">
        <v>7464</v>
      </c>
      <c r="T130" t="s">
        <v>7517</v>
      </c>
      <c r="W130" t="s">
        <v>2440</v>
      </c>
      <c r="X130" t="s">
        <v>1881</v>
      </c>
      <c r="Z130" s="15"/>
      <c r="AB130">
        <v>40.455734</v>
      </c>
      <c r="AC130">
        <v>-85.51164</v>
      </c>
      <c r="AD130" t="s">
        <v>7518</v>
      </c>
      <c r="AG130" t="s">
        <v>1715</v>
      </c>
      <c r="AH130" t="s">
        <v>63</v>
      </c>
      <c r="AI130" t="s">
        <v>7519</v>
      </c>
      <c r="AJ130">
        <v>194150</v>
      </c>
      <c r="AL130" t="s">
        <v>7520</v>
      </c>
      <c r="AM130" t="s">
        <v>7521</v>
      </c>
      <c r="AN130" t="s">
        <v>7522</v>
      </c>
      <c r="AO130" t="s">
        <v>68</v>
      </c>
      <c r="AQ130" t="s">
        <v>7523</v>
      </c>
      <c r="AR130" t="s">
        <v>7524</v>
      </c>
      <c r="AS130" t="s">
        <v>7525</v>
      </c>
      <c r="AV130" s="14" t="s">
        <v>72</v>
      </c>
      <c r="AW130" s="14" t="s">
        <v>73</v>
      </c>
      <c r="AX130" s="14" t="s">
        <v>1723</v>
      </c>
    </row>
    <row r="131" spans="1:50" ht="15" customHeight="1" x14ac:dyDescent="0.4">
      <c r="A131" s="12">
        <v>3975</v>
      </c>
      <c r="B131" s="21" t="s">
        <v>7526</v>
      </c>
      <c r="C131" s="13" t="s">
        <v>7527</v>
      </c>
      <c r="D131" s="25" t="s">
        <v>7527</v>
      </c>
      <c r="E131" s="13"/>
      <c r="F131" s="41"/>
      <c r="G131" s="65" t="s">
        <v>8185</v>
      </c>
      <c r="H131" s="14" t="s">
        <v>2222</v>
      </c>
      <c r="I131" s="15">
        <v>44819</v>
      </c>
      <c r="J131" t="s">
        <v>2719</v>
      </c>
      <c r="K131" t="s">
        <v>51</v>
      </c>
      <c r="L131" t="s">
        <v>52</v>
      </c>
      <c r="M131" t="s">
        <v>53</v>
      </c>
      <c r="N131" t="s">
        <v>755</v>
      </c>
      <c r="O131" t="s">
        <v>7450</v>
      </c>
      <c r="P131" t="s">
        <v>56</v>
      </c>
      <c r="Q131" s="21" t="s">
        <v>7451</v>
      </c>
      <c r="R131" s="21"/>
      <c r="S131" t="s">
        <v>7528</v>
      </c>
      <c r="T131" t="s">
        <v>7529</v>
      </c>
      <c r="X131" t="s">
        <v>2225</v>
      </c>
      <c r="Z131" s="15"/>
      <c r="AB131">
        <v>40.455345000000001</v>
      </c>
      <c r="AC131">
        <v>-85.510240999999994</v>
      </c>
      <c r="AD131" t="s">
        <v>6130</v>
      </c>
      <c r="AG131" t="s">
        <v>1715</v>
      </c>
      <c r="AH131" t="s">
        <v>63</v>
      </c>
      <c r="AI131" t="s">
        <v>7530</v>
      </c>
      <c r="AJ131">
        <v>192590</v>
      </c>
      <c r="AL131" t="s">
        <v>7531</v>
      </c>
      <c r="AM131" t="s">
        <v>7532</v>
      </c>
      <c r="AN131" t="s">
        <v>7533</v>
      </c>
      <c r="AO131" t="s">
        <v>68</v>
      </c>
      <c r="AQ131" t="s">
        <v>7534</v>
      </c>
      <c r="AR131" t="s">
        <v>7535</v>
      </c>
      <c r="AS131" t="s">
        <v>7536</v>
      </c>
      <c r="AV131" s="14" t="s">
        <v>72</v>
      </c>
      <c r="AW131" s="14" t="s">
        <v>73</v>
      </c>
      <c r="AX131" s="14" t="s">
        <v>74</v>
      </c>
    </row>
    <row r="132" spans="1:50" ht="15" customHeight="1" x14ac:dyDescent="0.4">
      <c r="A132" s="12">
        <v>3976</v>
      </c>
      <c r="B132" s="21" t="s">
        <v>7537</v>
      </c>
      <c r="C132" s="13" t="s">
        <v>7538</v>
      </c>
      <c r="D132" s="25" t="s">
        <v>7538</v>
      </c>
      <c r="E132" s="13"/>
      <c r="F132" s="41"/>
      <c r="G132" s="65" t="s">
        <v>8185</v>
      </c>
      <c r="H132" s="14" t="s">
        <v>2222</v>
      </c>
      <c r="I132" s="15">
        <v>44819</v>
      </c>
      <c r="J132" t="s">
        <v>2719</v>
      </c>
      <c r="K132" t="s">
        <v>51</v>
      </c>
      <c r="L132" t="s">
        <v>52</v>
      </c>
      <c r="M132" t="s">
        <v>53</v>
      </c>
      <c r="N132" t="s">
        <v>755</v>
      </c>
      <c r="O132" t="s">
        <v>7450</v>
      </c>
      <c r="P132" t="s">
        <v>56</v>
      </c>
      <c r="Q132" s="21" t="s">
        <v>7451</v>
      </c>
      <c r="R132" s="21"/>
      <c r="S132" t="s">
        <v>7539</v>
      </c>
      <c r="T132" t="s">
        <v>7540</v>
      </c>
      <c r="X132" t="s">
        <v>2225</v>
      </c>
      <c r="Z132" s="15"/>
      <c r="AB132">
        <v>40.455370000000002</v>
      </c>
      <c r="AC132">
        <v>-85.510389000000004</v>
      </c>
      <c r="AD132" t="s">
        <v>7541</v>
      </c>
      <c r="AG132" t="s">
        <v>1715</v>
      </c>
      <c r="AH132" t="s">
        <v>63</v>
      </c>
      <c r="AI132" t="s">
        <v>7542</v>
      </c>
      <c r="AJ132">
        <v>192589</v>
      </c>
      <c r="AL132" t="s">
        <v>7543</v>
      </c>
      <c r="AM132" t="s">
        <v>7544</v>
      </c>
      <c r="AN132" t="s">
        <v>7545</v>
      </c>
      <c r="AO132" t="s">
        <v>68</v>
      </c>
      <c r="AQ132" t="s">
        <v>7546</v>
      </c>
      <c r="AR132" t="s">
        <v>7547</v>
      </c>
      <c r="AS132" t="s">
        <v>7548</v>
      </c>
      <c r="AV132" s="14" t="s">
        <v>72</v>
      </c>
      <c r="AW132" s="14" t="s">
        <v>73</v>
      </c>
      <c r="AX132" s="14" t="s">
        <v>74</v>
      </c>
    </row>
    <row r="133" spans="1:50" ht="15" customHeight="1" x14ac:dyDescent="0.4">
      <c r="A133" s="12">
        <v>3977</v>
      </c>
      <c r="B133" s="21" t="s">
        <v>7549</v>
      </c>
      <c r="C133" s="13" t="s">
        <v>7550</v>
      </c>
      <c r="D133" s="25" t="s">
        <v>7550</v>
      </c>
      <c r="E133" s="13"/>
      <c r="F133" s="41"/>
      <c r="G133" s="65" t="s">
        <v>8185</v>
      </c>
      <c r="H133" s="14" t="s">
        <v>2222</v>
      </c>
      <c r="I133" s="15">
        <v>44819</v>
      </c>
      <c r="J133" t="s">
        <v>2719</v>
      </c>
      <c r="K133" t="s">
        <v>51</v>
      </c>
      <c r="L133" t="s">
        <v>52</v>
      </c>
      <c r="M133" t="s">
        <v>53</v>
      </c>
      <c r="N133" t="s">
        <v>755</v>
      </c>
      <c r="O133" t="s">
        <v>7450</v>
      </c>
      <c r="P133" t="s">
        <v>56</v>
      </c>
      <c r="Q133" s="21" t="s">
        <v>7451</v>
      </c>
      <c r="R133" s="21"/>
      <c r="S133" t="s">
        <v>7464</v>
      </c>
      <c r="T133" t="s">
        <v>7551</v>
      </c>
      <c r="X133" t="s">
        <v>2225</v>
      </c>
      <c r="Z133" s="15"/>
      <c r="AB133">
        <v>40.455440000000003</v>
      </c>
      <c r="AC133">
        <v>-85.510653000000005</v>
      </c>
      <c r="AD133" t="s">
        <v>7552</v>
      </c>
      <c r="AG133" t="s">
        <v>1715</v>
      </c>
      <c r="AH133" t="s">
        <v>63</v>
      </c>
      <c r="AI133" t="s">
        <v>7553</v>
      </c>
      <c r="AJ133">
        <v>192596</v>
      </c>
      <c r="AL133" t="s">
        <v>7554</v>
      </c>
      <c r="AM133" t="s">
        <v>7555</v>
      </c>
      <c r="AN133" t="s">
        <v>7556</v>
      </c>
      <c r="AO133" t="s">
        <v>68</v>
      </c>
      <c r="AQ133" t="s">
        <v>7557</v>
      </c>
      <c r="AR133" t="s">
        <v>7558</v>
      </c>
      <c r="AS133" t="s">
        <v>7559</v>
      </c>
      <c r="AV133" s="14" t="s">
        <v>72</v>
      </c>
      <c r="AW133" s="14" t="s">
        <v>73</v>
      </c>
      <c r="AX133" s="14" t="s">
        <v>74</v>
      </c>
    </row>
    <row r="134" spans="1:50" ht="15" customHeight="1" x14ac:dyDescent="0.4">
      <c r="A134" s="12">
        <v>3978</v>
      </c>
      <c r="B134" s="21" t="s">
        <v>7560</v>
      </c>
      <c r="C134" s="13" t="s">
        <v>7561</v>
      </c>
      <c r="D134" s="25" t="s">
        <v>7561</v>
      </c>
      <c r="E134" s="13"/>
      <c r="F134" s="41"/>
      <c r="G134" s="65" t="s">
        <v>8178</v>
      </c>
      <c r="H134" s="14" t="s">
        <v>1829</v>
      </c>
      <c r="I134" s="15">
        <v>44819</v>
      </c>
      <c r="J134" t="s">
        <v>2719</v>
      </c>
      <c r="K134" t="s">
        <v>51</v>
      </c>
      <c r="L134" t="s">
        <v>52</v>
      </c>
      <c r="M134" t="s">
        <v>53</v>
      </c>
      <c r="N134" t="s">
        <v>755</v>
      </c>
      <c r="O134" t="s">
        <v>7450</v>
      </c>
      <c r="P134" t="s">
        <v>56</v>
      </c>
      <c r="Q134" s="21" t="s">
        <v>7451</v>
      </c>
      <c r="R134" s="21"/>
      <c r="S134" t="s">
        <v>7562</v>
      </c>
      <c r="T134" t="s">
        <v>7563</v>
      </c>
      <c r="X134" t="s">
        <v>1832</v>
      </c>
      <c r="Z134" s="15"/>
      <c r="AB134">
        <v>40.457023</v>
      </c>
      <c r="AC134">
        <v>-85.508851000000007</v>
      </c>
      <c r="AD134" t="s">
        <v>3008</v>
      </c>
      <c r="AG134" t="s">
        <v>1715</v>
      </c>
      <c r="AH134" t="s">
        <v>63</v>
      </c>
      <c r="AI134" t="s">
        <v>7564</v>
      </c>
      <c r="AJ134">
        <v>194546</v>
      </c>
      <c r="AL134" t="s">
        <v>7565</v>
      </c>
      <c r="AM134" t="s">
        <v>7566</v>
      </c>
      <c r="AN134" t="s">
        <v>7567</v>
      </c>
      <c r="AO134" t="s">
        <v>68</v>
      </c>
      <c r="AQ134" t="s">
        <v>7568</v>
      </c>
      <c r="AR134" t="s">
        <v>7569</v>
      </c>
      <c r="AS134" t="s">
        <v>7570</v>
      </c>
      <c r="AV134" s="14" t="s">
        <v>72</v>
      </c>
      <c r="AW134" s="14" t="s">
        <v>73</v>
      </c>
      <c r="AX134" s="14" t="s">
        <v>74</v>
      </c>
    </row>
    <row r="135" spans="1:50" ht="15" customHeight="1" x14ac:dyDescent="0.4">
      <c r="A135" s="12">
        <v>3979</v>
      </c>
      <c r="B135" s="21" t="s">
        <v>7571</v>
      </c>
      <c r="C135" s="13" t="s">
        <v>7572</v>
      </c>
      <c r="D135" s="25" t="s">
        <v>7572</v>
      </c>
      <c r="E135" s="13"/>
      <c r="F135" s="41"/>
      <c r="G135" s="65" t="s">
        <v>8185</v>
      </c>
      <c r="H135" s="14" t="s">
        <v>1878</v>
      </c>
      <c r="I135" s="15">
        <v>44819</v>
      </c>
      <c r="J135" t="s">
        <v>2719</v>
      </c>
      <c r="K135" t="s">
        <v>51</v>
      </c>
      <c r="L135" t="s">
        <v>52</v>
      </c>
      <c r="M135" t="s">
        <v>53</v>
      </c>
      <c r="N135" t="s">
        <v>755</v>
      </c>
      <c r="O135" t="s">
        <v>7450</v>
      </c>
      <c r="P135" t="s">
        <v>56</v>
      </c>
      <c r="Q135" s="21" t="s">
        <v>7451</v>
      </c>
      <c r="R135" s="21"/>
      <c r="S135" t="s">
        <v>7573</v>
      </c>
      <c r="T135" t="s">
        <v>7574</v>
      </c>
      <c r="X135" t="s">
        <v>1881</v>
      </c>
      <c r="Z135" s="15"/>
      <c r="AB135">
        <v>40.456997000000001</v>
      </c>
      <c r="AC135">
        <v>-85.507453999999996</v>
      </c>
      <c r="AD135" t="s">
        <v>7575</v>
      </c>
      <c r="AG135" t="s">
        <v>1715</v>
      </c>
      <c r="AH135" t="s">
        <v>63</v>
      </c>
      <c r="AI135" t="s">
        <v>7576</v>
      </c>
      <c r="AJ135">
        <v>192580</v>
      </c>
      <c r="AL135" t="s">
        <v>7577</v>
      </c>
      <c r="AM135" t="s">
        <v>7578</v>
      </c>
      <c r="AN135" t="s">
        <v>7579</v>
      </c>
      <c r="AO135" t="s">
        <v>68</v>
      </c>
      <c r="AQ135" t="s">
        <v>7580</v>
      </c>
      <c r="AR135" t="s">
        <v>7581</v>
      </c>
      <c r="AS135" t="s">
        <v>7582</v>
      </c>
      <c r="AV135" s="14" t="s">
        <v>72</v>
      </c>
      <c r="AW135" s="14" t="s">
        <v>73</v>
      </c>
      <c r="AX135" s="14" t="s">
        <v>1723</v>
      </c>
    </row>
    <row r="136" spans="1:50" ht="15" customHeight="1" x14ac:dyDescent="0.4">
      <c r="A136" s="12">
        <v>3980</v>
      </c>
      <c r="B136" s="21" t="s">
        <v>7583</v>
      </c>
      <c r="C136" s="13" t="s">
        <v>7584</v>
      </c>
      <c r="D136" s="25" t="s">
        <v>7584</v>
      </c>
      <c r="E136" s="13"/>
      <c r="F136" s="41"/>
      <c r="G136" s="65" t="s">
        <v>8185</v>
      </c>
      <c r="H136" s="14" t="s">
        <v>1878</v>
      </c>
      <c r="I136" s="15">
        <v>44819</v>
      </c>
      <c r="J136" t="s">
        <v>2719</v>
      </c>
      <c r="K136" t="s">
        <v>51</v>
      </c>
      <c r="L136" t="s">
        <v>52</v>
      </c>
      <c r="M136" t="s">
        <v>53</v>
      </c>
      <c r="N136" t="s">
        <v>755</v>
      </c>
      <c r="O136" t="s">
        <v>7450</v>
      </c>
      <c r="P136" t="s">
        <v>56</v>
      </c>
      <c r="Q136" s="21" t="s">
        <v>7451</v>
      </c>
      <c r="R136" s="21"/>
      <c r="S136" t="s">
        <v>7585</v>
      </c>
      <c r="T136" t="s">
        <v>7586</v>
      </c>
      <c r="X136" t="s">
        <v>1881</v>
      </c>
      <c r="Z136" s="15"/>
      <c r="AB136">
        <v>40.456902999999997</v>
      </c>
      <c r="AC136">
        <v>-85.508927</v>
      </c>
      <c r="AD136" t="s">
        <v>4975</v>
      </c>
      <c r="AG136" t="s">
        <v>1715</v>
      </c>
      <c r="AH136" t="s">
        <v>63</v>
      </c>
      <c r="AI136" t="s">
        <v>7587</v>
      </c>
      <c r="AJ136">
        <v>194149</v>
      </c>
      <c r="AL136" t="s">
        <v>7588</v>
      </c>
      <c r="AM136" t="s">
        <v>7589</v>
      </c>
      <c r="AN136" t="s">
        <v>7590</v>
      </c>
      <c r="AO136" t="s">
        <v>68</v>
      </c>
      <c r="AQ136" t="s">
        <v>7591</v>
      </c>
      <c r="AR136" t="s">
        <v>7592</v>
      </c>
      <c r="AS136" t="s">
        <v>7593</v>
      </c>
      <c r="AV136" s="14" t="s">
        <v>72</v>
      </c>
      <c r="AW136" s="14" t="s">
        <v>73</v>
      </c>
      <c r="AX136" s="14" t="s">
        <v>1723</v>
      </c>
    </row>
    <row r="137" spans="1:50" ht="15" customHeight="1" x14ac:dyDescent="0.4">
      <c r="A137" s="12">
        <v>3981</v>
      </c>
      <c r="B137" s="21" t="s">
        <v>7594</v>
      </c>
      <c r="C137" s="13" t="s">
        <v>7595</v>
      </c>
      <c r="D137" s="25" t="s">
        <v>7595</v>
      </c>
      <c r="E137" s="13"/>
      <c r="F137" s="41" t="s">
        <v>8111</v>
      </c>
      <c r="G137" s="65" t="s">
        <v>8185</v>
      </c>
      <c r="H137" s="14" t="s">
        <v>1829</v>
      </c>
      <c r="I137" s="15">
        <v>44819</v>
      </c>
      <c r="J137" t="s">
        <v>2719</v>
      </c>
      <c r="K137" t="s">
        <v>51</v>
      </c>
      <c r="L137" t="s">
        <v>52</v>
      </c>
      <c r="M137" t="s">
        <v>53</v>
      </c>
      <c r="N137" t="s">
        <v>755</v>
      </c>
      <c r="O137" t="s">
        <v>7450</v>
      </c>
      <c r="P137" t="s">
        <v>56</v>
      </c>
      <c r="Q137" s="21" t="s">
        <v>7451</v>
      </c>
      <c r="R137" s="21"/>
      <c r="S137" t="s">
        <v>7596</v>
      </c>
      <c r="T137" t="s">
        <v>7597</v>
      </c>
      <c r="W137" t="s">
        <v>1758</v>
      </c>
      <c r="X137" t="s">
        <v>1832</v>
      </c>
      <c r="Z137" s="15"/>
      <c r="AB137">
        <v>40.456969999999998</v>
      </c>
      <c r="AC137">
        <v>-85.508488999999997</v>
      </c>
      <c r="AD137" t="s">
        <v>7598</v>
      </c>
      <c r="AG137" t="s">
        <v>1715</v>
      </c>
      <c r="AH137" t="s">
        <v>63</v>
      </c>
      <c r="AI137" t="s">
        <v>7599</v>
      </c>
      <c r="AJ137">
        <v>193366</v>
      </c>
      <c r="AL137" t="s">
        <v>7600</v>
      </c>
      <c r="AM137" t="s">
        <v>7601</v>
      </c>
      <c r="AN137" t="s">
        <v>7602</v>
      </c>
      <c r="AO137" t="s">
        <v>68</v>
      </c>
      <c r="AQ137" t="s">
        <v>7603</v>
      </c>
      <c r="AR137" t="s">
        <v>7604</v>
      </c>
      <c r="AS137" t="s">
        <v>7605</v>
      </c>
      <c r="AV137" s="14" t="s">
        <v>72</v>
      </c>
      <c r="AW137" s="14" t="s">
        <v>73</v>
      </c>
      <c r="AX137" s="14" t="s">
        <v>74</v>
      </c>
    </row>
    <row r="138" spans="1:50" ht="15" customHeight="1" x14ac:dyDescent="0.4">
      <c r="A138" s="12">
        <v>2110</v>
      </c>
      <c r="B138" t="s">
        <v>753</v>
      </c>
      <c r="D138" t="s">
        <v>754</v>
      </c>
      <c r="E138" s="13"/>
      <c r="F138" s="41"/>
      <c r="G138" s="65" t="s">
        <v>8185</v>
      </c>
      <c r="H138" s="14" t="s">
        <v>49</v>
      </c>
      <c r="I138" s="15">
        <v>42949</v>
      </c>
      <c r="J138" t="s">
        <v>174</v>
      </c>
      <c r="K138" t="s">
        <v>51</v>
      </c>
      <c r="L138" s="15" t="s">
        <v>52</v>
      </c>
      <c r="M138" t="s">
        <v>53</v>
      </c>
      <c r="N138" t="s">
        <v>755</v>
      </c>
      <c r="O138" t="s">
        <v>756</v>
      </c>
      <c r="P138" t="s">
        <v>56</v>
      </c>
      <c r="Q138" t="s">
        <v>757</v>
      </c>
      <c r="R138" s="21" t="s">
        <v>758</v>
      </c>
      <c r="S138" t="s">
        <v>759</v>
      </c>
      <c r="T138" t="s">
        <v>760</v>
      </c>
      <c r="X138" t="s">
        <v>78</v>
      </c>
      <c r="Y138" t="s">
        <v>79</v>
      </c>
      <c r="Z138" s="15">
        <v>45597</v>
      </c>
      <c r="AA138" t="s">
        <v>48</v>
      </c>
      <c r="AB138">
        <v>41.532730000000001</v>
      </c>
      <c r="AC138">
        <v>-87.294799999999995</v>
      </c>
      <c r="AD138" t="s">
        <v>761</v>
      </c>
      <c r="AG138" t="s">
        <v>62</v>
      </c>
      <c r="AH138" t="s">
        <v>63</v>
      </c>
      <c r="AI138" t="s">
        <v>762</v>
      </c>
      <c r="AJ138">
        <v>185844</v>
      </c>
      <c r="AL138" t="s">
        <v>763</v>
      </c>
      <c r="AM138" t="s">
        <v>764</v>
      </c>
      <c r="AN138" t="s">
        <v>765</v>
      </c>
      <c r="AO138" t="s">
        <v>68</v>
      </c>
      <c r="AQ138" t="s">
        <v>766</v>
      </c>
      <c r="AR138" t="s">
        <v>767</v>
      </c>
      <c r="AS138" t="s">
        <v>768</v>
      </c>
      <c r="AT138" s="31" t="s">
        <v>769</v>
      </c>
      <c r="AU138" s="31" t="s">
        <v>85</v>
      </c>
      <c r="AV138" s="14" t="s">
        <v>72</v>
      </c>
      <c r="AW138" s="14" t="s">
        <v>73</v>
      </c>
      <c r="AX138" s="14" t="s">
        <v>74</v>
      </c>
    </row>
    <row r="139" spans="1:50" ht="15" customHeight="1" x14ac:dyDescent="0.4">
      <c r="A139" s="12">
        <v>2111</v>
      </c>
      <c r="B139" t="s">
        <v>770</v>
      </c>
      <c r="D139" t="s">
        <v>771</v>
      </c>
      <c r="E139" s="13"/>
      <c r="F139" s="41"/>
      <c r="G139" s="65" t="s">
        <v>8185</v>
      </c>
      <c r="H139" s="14" t="s">
        <v>49</v>
      </c>
      <c r="I139" s="15">
        <v>42949</v>
      </c>
      <c r="J139" t="s">
        <v>174</v>
      </c>
      <c r="K139" t="s">
        <v>51</v>
      </c>
      <c r="L139" s="15" t="s">
        <v>52</v>
      </c>
      <c r="M139" t="s">
        <v>53</v>
      </c>
      <c r="N139" t="s">
        <v>755</v>
      </c>
      <c r="O139" t="s">
        <v>756</v>
      </c>
      <c r="P139" t="s">
        <v>56</v>
      </c>
      <c r="Q139" t="s">
        <v>757</v>
      </c>
      <c r="R139" s="21" t="s">
        <v>758</v>
      </c>
      <c r="S139" t="s">
        <v>759</v>
      </c>
      <c r="T139" t="s">
        <v>760</v>
      </c>
      <c r="X139" t="s">
        <v>60</v>
      </c>
      <c r="Z139" s="15"/>
      <c r="AB139">
        <v>41.532809999999998</v>
      </c>
      <c r="AC139">
        <v>-87.293769999999995</v>
      </c>
      <c r="AD139" t="s">
        <v>772</v>
      </c>
      <c r="AG139" t="s">
        <v>62</v>
      </c>
      <c r="AH139" t="s">
        <v>63</v>
      </c>
      <c r="AI139" t="s">
        <v>773</v>
      </c>
      <c r="AJ139">
        <v>185845</v>
      </c>
      <c r="AL139" t="s">
        <v>774</v>
      </c>
      <c r="AM139" t="s">
        <v>775</v>
      </c>
      <c r="AN139" t="s">
        <v>776</v>
      </c>
      <c r="AO139" t="s">
        <v>68</v>
      </c>
      <c r="AQ139" t="s">
        <v>777</v>
      </c>
      <c r="AR139" t="s">
        <v>778</v>
      </c>
      <c r="AS139" t="s">
        <v>779</v>
      </c>
      <c r="AV139" s="14" t="s">
        <v>72</v>
      </c>
      <c r="AW139" s="14" t="s">
        <v>73</v>
      </c>
      <c r="AX139" s="14" t="s">
        <v>74</v>
      </c>
    </row>
    <row r="140" spans="1:50" ht="15" customHeight="1" x14ac:dyDescent="0.4">
      <c r="A140" s="12">
        <v>2112</v>
      </c>
      <c r="B140" t="s">
        <v>780</v>
      </c>
      <c r="D140" t="s">
        <v>781</v>
      </c>
      <c r="E140" s="13"/>
      <c r="F140" s="41"/>
      <c r="G140" s="65" t="s">
        <v>8185</v>
      </c>
      <c r="H140" s="14" t="s">
        <v>49</v>
      </c>
      <c r="I140" s="15">
        <v>42949</v>
      </c>
      <c r="J140" t="s">
        <v>174</v>
      </c>
      <c r="K140" t="s">
        <v>51</v>
      </c>
      <c r="L140" s="15" t="s">
        <v>52</v>
      </c>
      <c r="M140" t="s">
        <v>53</v>
      </c>
      <c r="N140" t="s">
        <v>755</v>
      </c>
      <c r="O140" t="s">
        <v>756</v>
      </c>
      <c r="P140" t="s">
        <v>56</v>
      </c>
      <c r="Q140" t="s">
        <v>757</v>
      </c>
      <c r="R140" s="21" t="s">
        <v>758</v>
      </c>
      <c r="S140" t="s">
        <v>759</v>
      </c>
      <c r="T140" t="s">
        <v>760</v>
      </c>
      <c r="X140" t="s">
        <v>60</v>
      </c>
      <c r="Z140" s="15"/>
      <c r="AB140">
        <v>41.533209999999997</v>
      </c>
      <c r="AC140">
        <v>-87.293360000000007</v>
      </c>
      <c r="AD140" t="s">
        <v>782</v>
      </c>
      <c r="AG140" t="s">
        <v>62</v>
      </c>
      <c r="AH140" t="s">
        <v>63</v>
      </c>
      <c r="AI140" t="s">
        <v>783</v>
      </c>
      <c r="AJ140" t="s">
        <v>784</v>
      </c>
      <c r="AL140" t="s">
        <v>785</v>
      </c>
      <c r="AM140" t="s">
        <v>786</v>
      </c>
      <c r="AN140" t="s">
        <v>787</v>
      </c>
      <c r="AO140" t="s">
        <v>68</v>
      </c>
      <c r="AQ140" t="s">
        <v>788</v>
      </c>
      <c r="AR140" t="s">
        <v>789</v>
      </c>
      <c r="AS140" t="s">
        <v>790</v>
      </c>
      <c r="AV140" s="14" t="s">
        <v>72</v>
      </c>
      <c r="AW140" s="14" t="s">
        <v>73</v>
      </c>
      <c r="AX140" s="14" t="s">
        <v>74</v>
      </c>
    </row>
    <row r="141" spans="1:50" ht="15" customHeight="1" x14ac:dyDescent="0.4">
      <c r="A141" s="12">
        <v>2113</v>
      </c>
      <c r="B141" t="s">
        <v>791</v>
      </c>
      <c r="D141" t="s">
        <v>792</v>
      </c>
      <c r="E141" s="13"/>
      <c r="F141" s="41"/>
      <c r="G141" s="65" t="s">
        <v>8185</v>
      </c>
      <c r="H141" s="14" t="s">
        <v>49</v>
      </c>
      <c r="I141" s="15">
        <v>42949</v>
      </c>
      <c r="J141" t="s">
        <v>174</v>
      </c>
      <c r="K141" t="s">
        <v>51</v>
      </c>
      <c r="L141" s="15" t="s">
        <v>52</v>
      </c>
      <c r="M141" t="s">
        <v>53</v>
      </c>
      <c r="N141" t="s">
        <v>755</v>
      </c>
      <c r="O141" t="s">
        <v>756</v>
      </c>
      <c r="P141" t="s">
        <v>56</v>
      </c>
      <c r="Q141" t="s">
        <v>757</v>
      </c>
      <c r="R141" s="21" t="s">
        <v>758</v>
      </c>
      <c r="S141" t="s">
        <v>759</v>
      </c>
      <c r="T141" t="s">
        <v>760</v>
      </c>
      <c r="X141" t="s">
        <v>60</v>
      </c>
      <c r="Z141" s="15"/>
      <c r="AB141">
        <v>41.533479999999997</v>
      </c>
      <c r="AC141">
        <v>-87.292310000000001</v>
      </c>
      <c r="AD141" t="s">
        <v>793</v>
      </c>
      <c r="AG141" t="s">
        <v>62</v>
      </c>
      <c r="AH141" t="s">
        <v>63</v>
      </c>
      <c r="AI141" t="s">
        <v>794</v>
      </c>
      <c r="AJ141" t="s">
        <v>795</v>
      </c>
      <c r="AL141" t="s">
        <v>796</v>
      </c>
      <c r="AM141" t="s">
        <v>797</v>
      </c>
      <c r="AN141" t="s">
        <v>798</v>
      </c>
      <c r="AO141" t="s">
        <v>68</v>
      </c>
      <c r="AQ141" t="s">
        <v>799</v>
      </c>
      <c r="AR141" t="s">
        <v>800</v>
      </c>
      <c r="AS141" t="s">
        <v>801</v>
      </c>
      <c r="AV141" s="14" t="s">
        <v>72</v>
      </c>
      <c r="AW141" s="14" t="s">
        <v>73</v>
      </c>
      <c r="AX141" s="14" t="s">
        <v>74</v>
      </c>
    </row>
    <row r="142" spans="1:50" ht="15" customHeight="1" x14ac:dyDescent="0.4">
      <c r="A142" s="12">
        <v>2114</v>
      </c>
      <c r="B142" t="s">
        <v>802</v>
      </c>
      <c r="D142" t="s">
        <v>803</v>
      </c>
      <c r="E142" s="13"/>
      <c r="F142" s="41"/>
      <c r="G142" s="65" t="s">
        <v>8185</v>
      </c>
      <c r="H142" s="14" t="s">
        <v>49</v>
      </c>
      <c r="I142" s="15">
        <v>42949</v>
      </c>
      <c r="J142" t="s">
        <v>174</v>
      </c>
      <c r="K142" t="s">
        <v>51</v>
      </c>
      <c r="L142" s="15" t="s">
        <v>52</v>
      </c>
      <c r="M142" t="s">
        <v>53</v>
      </c>
      <c r="N142" t="s">
        <v>755</v>
      </c>
      <c r="O142" t="s">
        <v>756</v>
      </c>
      <c r="P142" t="s">
        <v>56</v>
      </c>
      <c r="Q142" t="s">
        <v>757</v>
      </c>
      <c r="R142" s="21" t="s">
        <v>758</v>
      </c>
      <c r="S142" t="s">
        <v>759</v>
      </c>
      <c r="T142" t="s">
        <v>760</v>
      </c>
      <c r="X142" t="s">
        <v>78</v>
      </c>
      <c r="Y142" t="s">
        <v>79</v>
      </c>
      <c r="Z142" s="15">
        <v>45597</v>
      </c>
      <c r="AA142" t="s">
        <v>48</v>
      </c>
      <c r="AB142">
        <v>41.534030000000001</v>
      </c>
      <c r="AC142">
        <v>-87.291460000000001</v>
      </c>
      <c r="AD142" t="s">
        <v>804</v>
      </c>
      <c r="AG142" t="s">
        <v>62</v>
      </c>
      <c r="AH142" t="s">
        <v>63</v>
      </c>
      <c r="AI142" t="s">
        <v>805</v>
      </c>
      <c r="AJ142">
        <v>186781</v>
      </c>
      <c r="AL142" t="s">
        <v>806</v>
      </c>
      <c r="AM142" t="s">
        <v>807</v>
      </c>
      <c r="AN142" t="s">
        <v>808</v>
      </c>
      <c r="AO142" t="s">
        <v>68</v>
      </c>
      <c r="AQ142" t="s">
        <v>809</v>
      </c>
      <c r="AR142" t="s">
        <v>810</v>
      </c>
      <c r="AS142" t="s">
        <v>811</v>
      </c>
      <c r="AT142" s="31" t="s">
        <v>812</v>
      </c>
      <c r="AU142" s="31" t="s">
        <v>85</v>
      </c>
      <c r="AV142" s="14" t="s">
        <v>72</v>
      </c>
      <c r="AW142" s="14" t="s">
        <v>73</v>
      </c>
      <c r="AX142" s="14" t="s">
        <v>74</v>
      </c>
    </row>
    <row r="143" spans="1:50" ht="15" customHeight="1" x14ac:dyDescent="0.4">
      <c r="A143" s="12">
        <v>2115</v>
      </c>
      <c r="B143" t="s">
        <v>813</v>
      </c>
      <c r="D143" t="s">
        <v>814</v>
      </c>
      <c r="E143" s="13"/>
      <c r="F143" s="41"/>
      <c r="G143" s="65" t="s">
        <v>8185</v>
      </c>
      <c r="H143" s="14" t="s">
        <v>49</v>
      </c>
      <c r="I143" s="15">
        <v>42949</v>
      </c>
      <c r="J143" t="s">
        <v>174</v>
      </c>
      <c r="K143" t="s">
        <v>51</v>
      </c>
      <c r="L143" s="15" t="s">
        <v>52</v>
      </c>
      <c r="M143" t="s">
        <v>53</v>
      </c>
      <c r="N143" t="s">
        <v>755</v>
      </c>
      <c r="O143" t="s">
        <v>756</v>
      </c>
      <c r="P143" t="s">
        <v>56</v>
      </c>
      <c r="Q143" t="s">
        <v>757</v>
      </c>
      <c r="R143" s="21" t="s">
        <v>758</v>
      </c>
      <c r="S143" t="s">
        <v>759</v>
      </c>
      <c r="T143" t="s">
        <v>760</v>
      </c>
      <c r="X143" t="s">
        <v>60</v>
      </c>
      <c r="Z143" s="15"/>
      <c r="AB143">
        <v>41.534500000000001</v>
      </c>
      <c r="AC143">
        <v>-87.292789999999997</v>
      </c>
      <c r="AD143" t="s">
        <v>815</v>
      </c>
      <c r="AG143" t="s">
        <v>62</v>
      </c>
      <c r="AH143" t="s">
        <v>63</v>
      </c>
      <c r="AI143" t="s">
        <v>816</v>
      </c>
      <c r="AJ143" t="s">
        <v>817</v>
      </c>
      <c r="AL143" t="s">
        <v>818</v>
      </c>
      <c r="AM143" t="s">
        <v>819</v>
      </c>
      <c r="AN143" t="s">
        <v>820</v>
      </c>
      <c r="AO143" t="s">
        <v>68</v>
      </c>
      <c r="AQ143" t="s">
        <v>821</v>
      </c>
      <c r="AR143" t="s">
        <v>822</v>
      </c>
      <c r="AS143" t="s">
        <v>823</v>
      </c>
      <c r="AV143" s="14" t="s">
        <v>72</v>
      </c>
      <c r="AW143" s="14" t="s">
        <v>73</v>
      </c>
      <c r="AX143" s="14" t="s">
        <v>74</v>
      </c>
    </row>
    <row r="144" spans="1:50" ht="15" customHeight="1" x14ac:dyDescent="0.4">
      <c r="A144" s="12">
        <v>2116</v>
      </c>
      <c r="B144" t="s">
        <v>824</v>
      </c>
      <c r="D144" t="s">
        <v>825</v>
      </c>
      <c r="E144" s="13"/>
      <c r="F144" s="41"/>
      <c r="G144" s="65" t="s">
        <v>8185</v>
      </c>
      <c r="H144" s="14" t="s">
        <v>49</v>
      </c>
      <c r="I144" s="15">
        <v>42949</v>
      </c>
      <c r="J144" t="s">
        <v>174</v>
      </c>
      <c r="K144" t="s">
        <v>51</v>
      </c>
      <c r="L144" s="15" t="s">
        <v>52</v>
      </c>
      <c r="M144" t="s">
        <v>53</v>
      </c>
      <c r="N144" t="s">
        <v>755</v>
      </c>
      <c r="O144" t="s">
        <v>756</v>
      </c>
      <c r="P144" t="s">
        <v>56</v>
      </c>
      <c r="Q144" t="s">
        <v>757</v>
      </c>
      <c r="R144" s="21" t="s">
        <v>758</v>
      </c>
      <c r="S144" t="s">
        <v>759</v>
      </c>
      <c r="T144" t="s">
        <v>760</v>
      </c>
      <c r="X144" t="s">
        <v>60</v>
      </c>
      <c r="Z144" s="15"/>
      <c r="AB144">
        <v>41.534570000000002</v>
      </c>
      <c r="AC144">
        <v>-87.294030000000006</v>
      </c>
      <c r="AD144" t="s">
        <v>826</v>
      </c>
      <c r="AG144" t="s">
        <v>62</v>
      </c>
      <c r="AH144" t="s">
        <v>63</v>
      </c>
      <c r="AI144" t="s">
        <v>827</v>
      </c>
      <c r="AJ144" t="s">
        <v>828</v>
      </c>
      <c r="AL144" t="s">
        <v>829</v>
      </c>
      <c r="AM144" t="s">
        <v>830</v>
      </c>
      <c r="AN144" t="s">
        <v>831</v>
      </c>
      <c r="AO144" t="s">
        <v>68</v>
      </c>
      <c r="AQ144" t="s">
        <v>832</v>
      </c>
      <c r="AR144" t="s">
        <v>833</v>
      </c>
      <c r="AS144" t="s">
        <v>834</v>
      </c>
      <c r="AV144" s="14" t="s">
        <v>72</v>
      </c>
      <c r="AW144" s="14" t="s">
        <v>73</v>
      </c>
      <c r="AX144" s="14" t="s">
        <v>74</v>
      </c>
    </row>
    <row r="145" spans="1:50" ht="15" customHeight="1" x14ac:dyDescent="0.4">
      <c r="A145" s="12">
        <v>2117</v>
      </c>
      <c r="B145" t="s">
        <v>835</v>
      </c>
      <c r="D145" t="s">
        <v>836</v>
      </c>
      <c r="E145" s="13"/>
      <c r="F145" s="41"/>
      <c r="G145" s="65" t="s">
        <v>8185</v>
      </c>
      <c r="H145" s="14" t="s">
        <v>49</v>
      </c>
      <c r="I145" s="15">
        <v>42949</v>
      </c>
      <c r="J145" t="s">
        <v>174</v>
      </c>
      <c r="K145" t="s">
        <v>51</v>
      </c>
      <c r="L145" s="15" t="s">
        <v>52</v>
      </c>
      <c r="M145" t="s">
        <v>53</v>
      </c>
      <c r="N145" t="s">
        <v>755</v>
      </c>
      <c r="O145" t="s">
        <v>756</v>
      </c>
      <c r="P145" t="s">
        <v>56</v>
      </c>
      <c r="Q145" t="s">
        <v>757</v>
      </c>
      <c r="R145" s="21" t="s">
        <v>758</v>
      </c>
      <c r="S145" t="s">
        <v>759</v>
      </c>
      <c r="T145" t="s">
        <v>760</v>
      </c>
      <c r="X145" t="s">
        <v>60</v>
      </c>
      <c r="Z145" s="15"/>
      <c r="AB145">
        <v>41.532530000000001</v>
      </c>
      <c r="AC145">
        <v>-87.296610000000001</v>
      </c>
      <c r="AD145" t="s">
        <v>837</v>
      </c>
      <c r="AG145" t="s">
        <v>62</v>
      </c>
      <c r="AH145" t="s">
        <v>63</v>
      </c>
      <c r="AI145" t="s">
        <v>838</v>
      </c>
      <c r="AJ145" t="s">
        <v>839</v>
      </c>
      <c r="AL145" t="s">
        <v>840</v>
      </c>
      <c r="AM145" t="s">
        <v>841</v>
      </c>
      <c r="AN145" t="s">
        <v>842</v>
      </c>
      <c r="AO145" t="s">
        <v>68</v>
      </c>
      <c r="AQ145" t="s">
        <v>843</v>
      </c>
      <c r="AR145" t="s">
        <v>844</v>
      </c>
      <c r="AS145" t="s">
        <v>845</v>
      </c>
      <c r="AV145" s="14" t="s">
        <v>72</v>
      </c>
      <c r="AW145" s="14" t="s">
        <v>73</v>
      </c>
      <c r="AX145" s="14" t="s">
        <v>74</v>
      </c>
    </row>
    <row r="146" spans="1:50" ht="15" customHeight="1" x14ac:dyDescent="0.4">
      <c r="A146" s="12">
        <v>2118</v>
      </c>
      <c r="B146" t="s">
        <v>846</v>
      </c>
      <c r="D146" t="s">
        <v>847</v>
      </c>
      <c r="E146" s="13"/>
      <c r="F146" s="41"/>
      <c r="G146" s="65" t="s">
        <v>8185</v>
      </c>
      <c r="H146" s="14" t="s">
        <v>49</v>
      </c>
      <c r="I146" s="15">
        <v>42949</v>
      </c>
      <c r="J146" t="s">
        <v>174</v>
      </c>
      <c r="K146" t="s">
        <v>51</v>
      </c>
      <c r="L146" s="15" t="s">
        <v>52</v>
      </c>
      <c r="M146" t="s">
        <v>53</v>
      </c>
      <c r="N146" t="s">
        <v>755</v>
      </c>
      <c r="O146" t="s">
        <v>756</v>
      </c>
      <c r="P146" t="s">
        <v>56</v>
      </c>
      <c r="Q146" t="s">
        <v>757</v>
      </c>
      <c r="R146" s="21" t="s">
        <v>758</v>
      </c>
      <c r="S146" t="s">
        <v>759</v>
      </c>
      <c r="T146" t="s">
        <v>760</v>
      </c>
      <c r="X146" t="s">
        <v>60</v>
      </c>
      <c r="Z146" s="15"/>
      <c r="AB146">
        <v>41.53246</v>
      </c>
      <c r="AC146">
        <v>-87.296840000000003</v>
      </c>
      <c r="AD146" t="s">
        <v>848</v>
      </c>
      <c r="AG146" t="s">
        <v>62</v>
      </c>
      <c r="AH146" t="s">
        <v>63</v>
      </c>
      <c r="AI146" t="s">
        <v>849</v>
      </c>
      <c r="AJ146" t="s">
        <v>850</v>
      </c>
      <c r="AL146" t="s">
        <v>851</v>
      </c>
      <c r="AM146" t="s">
        <v>852</v>
      </c>
      <c r="AN146" t="s">
        <v>853</v>
      </c>
      <c r="AO146" t="s">
        <v>68</v>
      </c>
      <c r="AQ146" t="s">
        <v>854</v>
      </c>
      <c r="AR146" t="s">
        <v>855</v>
      </c>
      <c r="AS146" t="s">
        <v>856</v>
      </c>
      <c r="AV146" s="14" t="s">
        <v>72</v>
      </c>
      <c r="AW146" s="14" t="s">
        <v>73</v>
      </c>
      <c r="AX146" s="14" t="s">
        <v>74</v>
      </c>
    </row>
    <row r="147" spans="1:50" ht="15" customHeight="1" x14ac:dyDescent="0.4">
      <c r="A147" s="12">
        <v>2119</v>
      </c>
      <c r="B147" t="s">
        <v>857</v>
      </c>
      <c r="D147" t="s">
        <v>858</v>
      </c>
      <c r="E147" s="13"/>
      <c r="F147" s="41"/>
      <c r="G147" s="65" t="s">
        <v>8185</v>
      </c>
      <c r="H147" s="14" t="s">
        <v>49</v>
      </c>
      <c r="I147" s="15">
        <v>42949</v>
      </c>
      <c r="J147" t="s">
        <v>174</v>
      </c>
      <c r="K147" t="s">
        <v>51</v>
      </c>
      <c r="L147" s="15" t="s">
        <v>52</v>
      </c>
      <c r="M147" t="s">
        <v>53</v>
      </c>
      <c r="N147" t="s">
        <v>755</v>
      </c>
      <c r="O147" t="s">
        <v>756</v>
      </c>
      <c r="P147" t="s">
        <v>56</v>
      </c>
      <c r="Q147" t="s">
        <v>757</v>
      </c>
      <c r="R147" s="21" t="s">
        <v>758</v>
      </c>
      <c r="S147" t="s">
        <v>759</v>
      </c>
      <c r="T147" t="s">
        <v>760</v>
      </c>
      <c r="X147" t="s">
        <v>78</v>
      </c>
      <c r="Y147" t="s">
        <v>79</v>
      </c>
      <c r="Z147" s="15">
        <v>45597</v>
      </c>
      <c r="AA147" t="s">
        <v>48</v>
      </c>
      <c r="AB147">
        <v>41.532389999999999</v>
      </c>
      <c r="AC147">
        <v>-87.297079999999994</v>
      </c>
      <c r="AD147" t="s">
        <v>859</v>
      </c>
      <c r="AG147" t="s">
        <v>62</v>
      </c>
      <c r="AH147" t="s">
        <v>63</v>
      </c>
      <c r="AI147" t="s">
        <v>860</v>
      </c>
      <c r="AJ147">
        <v>185834</v>
      </c>
      <c r="AL147" t="s">
        <v>861</v>
      </c>
      <c r="AM147" t="s">
        <v>862</v>
      </c>
      <c r="AN147" t="s">
        <v>863</v>
      </c>
      <c r="AO147" t="s">
        <v>68</v>
      </c>
      <c r="AQ147" t="s">
        <v>864</v>
      </c>
      <c r="AR147" t="s">
        <v>865</v>
      </c>
      <c r="AS147" t="s">
        <v>866</v>
      </c>
      <c r="AT147" s="31" t="s">
        <v>867</v>
      </c>
      <c r="AU147" s="31" t="s">
        <v>85</v>
      </c>
      <c r="AV147" s="14" t="s">
        <v>72</v>
      </c>
      <c r="AW147" s="14" t="s">
        <v>73</v>
      </c>
      <c r="AX147" s="14" t="s">
        <v>74</v>
      </c>
    </row>
    <row r="148" spans="1:50" ht="15" customHeight="1" x14ac:dyDescent="0.4">
      <c r="A148" s="12">
        <v>2570</v>
      </c>
      <c r="B148" t="s">
        <v>1447</v>
      </c>
      <c r="D148" t="s">
        <v>1448</v>
      </c>
      <c r="E148" s="13"/>
      <c r="F148" s="41"/>
      <c r="G148" s="65" t="s">
        <v>8185</v>
      </c>
      <c r="H148" s="14" t="s">
        <v>49</v>
      </c>
      <c r="I148" s="15">
        <v>42965</v>
      </c>
      <c r="J148" t="s">
        <v>1449</v>
      </c>
      <c r="K148" t="s">
        <v>51</v>
      </c>
      <c r="L148" t="s">
        <v>1450</v>
      </c>
      <c r="M148" t="s">
        <v>53</v>
      </c>
      <c r="N148" t="s">
        <v>1451</v>
      </c>
      <c r="O148" t="s">
        <v>1452</v>
      </c>
      <c r="P148" t="s">
        <v>56</v>
      </c>
      <c r="Q148" t="s">
        <v>1453</v>
      </c>
      <c r="R148" s="21" t="s">
        <v>1454</v>
      </c>
      <c r="T148" t="s">
        <v>1455</v>
      </c>
      <c r="U148">
        <v>25</v>
      </c>
      <c r="V148" s="13" t="s">
        <v>1456</v>
      </c>
      <c r="X148" t="s">
        <v>60</v>
      </c>
      <c r="Z148" s="15"/>
      <c r="AB148">
        <v>43.760489999999997</v>
      </c>
      <c r="AC148">
        <v>-103.47675</v>
      </c>
      <c r="AD148" t="s">
        <v>1457</v>
      </c>
      <c r="AE148" t="s">
        <v>1458</v>
      </c>
      <c r="AG148" t="s">
        <v>62</v>
      </c>
      <c r="AH148" t="s">
        <v>63</v>
      </c>
      <c r="AI148" t="s">
        <v>1459</v>
      </c>
      <c r="AJ148" t="s">
        <v>48</v>
      </c>
      <c r="AL148" t="s">
        <v>48</v>
      </c>
      <c r="AM148" s="24" t="s">
        <v>1460</v>
      </c>
      <c r="AN148" t="s">
        <v>48</v>
      </c>
      <c r="AO148" t="s">
        <v>68</v>
      </c>
      <c r="AP148" s="22"/>
      <c r="AQ148" t="s">
        <v>1461</v>
      </c>
      <c r="AR148" t="s">
        <v>1462</v>
      </c>
      <c r="AS148" t="s">
        <v>1463</v>
      </c>
      <c r="AT148" s="31" t="s">
        <v>1464</v>
      </c>
      <c r="AU148" s="31" t="s">
        <v>85</v>
      </c>
      <c r="AV148" s="14" t="s">
        <v>72</v>
      </c>
      <c r="AW148" s="14" t="s">
        <v>73</v>
      </c>
      <c r="AX148" s="14" t="s">
        <v>74</v>
      </c>
    </row>
    <row r="149" spans="1:50" ht="15" customHeight="1" x14ac:dyDescent="0.4">
      <c r="A149" s="12">
        <v>2571</v>
      </c>
      <c r="B149" t="s">
        <v>1465</v>
      </c>
      <c r="D149" t="s">
        <v>1466</v>
      </c>
      <c r="E149" s="13"/>
      <c r="F149" s="41"/>
      <c r="G149" s="65" t="s">
        <v>8184</v>
      </c>
      <c r="H149" s="14" t="s">
        <v>49</v>
      </c>
      <c r="I149" s="15">
        <v>42965</v>
      </c>
      <c r="J149" t="s">
        <v>1449</v>
      </c>
      <c r="K149" t="s">
        <v>51</v>
      </c>
      <c r="L149" t="s">
        <v>1450</v>
      </c>
      <c r="M149" t="s">
        <v>53</v>
      </c>
      <c r="N149" t="s">
        <v>1451</v>
      </c>
      <c r="O149" t="s">
        <v>1452</v>
      </c>
      <c r="P149" t="s">
        <v>56</v>
      </c>
      <c r="Q149" t="s">
        <v>1453</v>
      </c>
      <c r="R149" s="21" t="s">
        <v>1454</v>
      </c>
      <c r="T149" t="s">
        <v>1455</v>
      </c>
      <c r="U149">
        <v>30</v>
      </c>
      <c r="V149" s="13" t="s">
        <v>1467</v>
      </c>
      <c r="X149" t="s">
        <v>60</v>
      </c>
      <c r="Z149" s="15"/>
      <c r="AB149">
        <v>43.761949999999999</v>
      </c>
      <c r="AC149">
        <v>-103.47226000000001</v>
      </c>
      <c r="AD149" t="s">
        <v>1468</v>
      </c>
      <c r="AE149" t="s">
        <v>1469</v>
      </c>
      <c r="AG149" t="s">
        <v>62</v>
      </c>
      <c r="AH149" t="s">
        <v>63</v>
      </c>
      <c r="AI149" t="s">
        <v>1470</v>
      </c>
      <c r="AJ149">
        <v>185943</v>
      </c>
      <c r="AL149" t="s">
        <v>1471</v>
      </c>
      <c r="AM149" t="s">
        <v>1472</v>
      </c>
      <c r="AN149" t="s">
        <v>1473</v>
      </c>
      <c r="AO149" t="s">
        <v>68</v>
      </c>
      <c r="AQ149" t="s">
        <v>1474</v>
      </c>
      <c r="AR149" t="s">
        <v>1475</v>
      </c>
      <c r="AS149" t="s">
        <v>1476</v>
      </c>
      <c r="AV149" s="14" t="s">
        <v>72</v>
      </c>
      <c r="AW149" s="14" t="s">
        <v>73</v>
      </c>
      <c r="AX149" s="14" t="s">
        <v>74</v>
      </c>
    </row>
    <row r="150" spans="1:50" ht="15" customHeight="1" x14ac:dyDescent="0.4">
      <c r="A150" s="12">
        <v>2572</v>
      </c>
      <c r="B150" t="s">
        <v>1477</v>
      </c>
      <c r="D150" t="s">
        <v>1478</v>
      </c>
      <c r="E150" s="13"/>
      <c r="F150" s="41"/>
      <c r="G150" s="65" t="s">
        <v>8185</v>
      </c>
      <c r="H150" s="14" t="s">
        <v>49</v>
      </c>
      <c r="I150" s="15">
        <v>42965</v>
      </c>
      <c r="J150" t="s">
        <v>1449</v>
      </c>
      <c r="K150" t="s">
        <v>51</v>
      </c>
      <c r="L150" t="s">
        <v>1450</v>
      </c>
      <c r="M150" t="s">
        <v>53</v>
      </c>
      <c r="N150" t="s">
        <v>1451</v>
      </c>
      <c r="O150" t="s">
        <v>1452</v>
      </c>
      <c r="P150" t="s">
        <v>56</v>
      </c>
      <c r="Q150" t="s">
        <v>1453</v>
      </c>
      <c r="R150" s="21" t="s">
        <v>1454</v>
      </c>
      <c r="T150" t="s">
        <v>1455</v>
      </c>
      <c r="U150">
        <v>30</v>
      </c>
      <c r="V150" s="13" t="s">
        <v>1479</v>
      </c>
      <c r="X150" t="s">
        <v>60</v>
      </c>
      <c r="Z150" s="15"/>
      <c r="AB150">
        <v>43.762070000000001</v>
      </c>
      <c r="AC150">
        <v>-103.46704</v>
      </c>
      <c r="AD150" t="s">
        <v>1480</v>
      </c>
      <c r="AE150" t="s">
        <v>1481</v>
      </c>
      <c r="AG150" t="s">
        <v>62</v>
      </c>
      <c r="AH150" t="s">
        <v>63</v>
      </c>
      <c r="AI150" t="s">
        <v>1482</v>
      </c>
      <c r="AJ150">
        <v>185944</v>
      </c>
      <c r="AL150" t="s">
        <v>1483</v>
      </c>
      <c r="AM150" t="s">
        <v>1484</v>
      </c>
      <c r="AN150" t="s">
        <v>1485</v>
      </c>
      <c r="AO150" t="s">
        <v>68</v>
      </c>
      <c r="AQ150" t="s">
        <v>1486</v>
      </c>
      <c r="AR150" t="s">
        <v>1487</v>
      </c>
      <c r="AS150" t="s">
        <v>1488</v>
      </c>
      <c r="AV150" s="14" t="s">
        <v>72</v>
      </c>
      <c r="AW150" s="14" t="s">
        <v>73</v>
      </c>
      <c r="AX150" s="14" t="s">
        <v>74</v>
      </c>
    </row>
    <row r="151" spans="1:50" ht="15" customHeight="1" x14ac:dyDescent="0.4">
      <c r="A151" s="12">
        <v>2573</v>
      </c>
      <c r="B151" t="s">
        <v>1489</v>
      </c>
      <c r="D151" t="s">
        <v>1490</v>
      </c>
      <c r="E151" s="13"/>
      <c r="F151" s="41"/>
      <c r="G151" s="65" t="s">
        <v>8184</v>
      </c>
      <c r="H151" s="14" t="s">
        <v>49</v>
      </c>
      <c r="I151" s="15">
        <v>42965</v>
      </c>
      <c r="J151" t="s">
        <v>1449</v>
      </c>
      <c r="K151" t="s">
        <v>51</v>
      </c>
      <c r="L151" t="s">
        <v>1450</v>
      </c>
      <c r="M151" t="s">
        <v>53</v>
      </c>
      <c r="N151" t="s">
        <v>1451</v>
      </c>
      <c r="O151" t="s">
        <v>1452</v>
      </c>
      <c r="P151" t="s">
        <v>56</v>
      </c>
      <c r="Q151" t="s">
        <v>1453</v>
      </c>
      <c r="R151" s="21" t="s">
        <v>1454</v>
      </c>
      <c r="T151" t="s">
        <v>1455</v>
      </c>
      <c r="U151">
        <v>18</v>
      </c>
      <c r="V151" s="13" t="s">
        <v>1491</v>
      </c>
      <c r="X151" t="s">
        <v>60</v>
      </c>
      <c r="Z151" s="15"/>
      <c r="AB151">
        <v>43.76737</v>
      </c>
      <c r="AC151">
        <v>-103.45567</v>
      </c>
      <c r="AD151" t="s">
        <v>1492</v>
      </c>
      <c r="AE151" t="s">
        <v>1493</v>
      </c>
      <c r="AG151" t="s">
        <v>62</v>
      </c>
      <c r="AH151" t="s">
        <v>63</v>
      </c>
      <c r="AI151" t="s">
        <v>1494</v>
      </c>
      <c r="AJ151">
        <v>185945</v>
      </c>
      <c r="AL151" t="s">
        <v>1495</v>
      </c>
      <c r="AM151" t="s">
        <v>1496</v>
      </c>
      <c r="AN151" t="s">
        <v>1497</v>
      </c>
      <c r="AO151" t="s">
        <v>68</v>
      </c>
      <c r="AQ151" t="s">
        <v>1498</v>
      </c>
      <c r="AR151" t="s">
        <v>1499</v>
      </c>
      <c r="AS151" t="s">
        <v>1500</v>
      </c>
      <c r="AV151" s="14" t="s">
        <v>72</v>
      </c>
      <c r="AW151" s="14" t="s">
        <v>73</v>
      </c>
      <c r="AX151" s="14" t="s">
        <v>74</v>
      </c>
    </row>
    <row r="152" spans="1:50" ht="15" customHeight="1" x14ac:dyDescent="0.4">
      <c r="A152" s="12">
        <v>2574</v>
      </c>
      <c r="B152" t="s">
        <v>1501</v>
      </c>
      <c r="D152" t="s">
        <v>1502</v>
      </c>
      <c r="E152" s="13"/>
      <c r="F152" s="41"/>
      <c r="G152" s="65" t="s">
        <v>8185</v>
      </c>
      <c r="H152" s="14" t="s">
        <v>49</v>
      </c>
      <c r="I152" s="15">
        <v>42965</v>
      </c>
      <c r="J152" t="s">
        <v>1449</v>
      </c>
      <c r="K152" t="s">
        <v>51</v>
      </c>
      <c r="L152" t="s">
        <v>1450</v>
      </c>
      <c r="M152" t="s">
        <v>53</v>
      </c>
      <c r="N152" t="s">
        <v>1451</v>
      </c>
      <c r="O152" t="s">
        <v>1452</v>
      </c>
      <c r="P152" t="s">
        <v>56</v>
      </c>
      <c r="Q152" t="s">
        <v>1453</v>
      </c>
      <c r="R152" s="21" t="s">
        <v>1454</v>
      </c>
      <c r="T152" t="s">
        <v>1455</v>
      </c>
      <c r="U152">
        <v>18</v>
      </c>
      <c r="V152" s="13" t="s">
        <v>1456</v>
      </c>
      <c r="X152" t="s">
        <v>78</v>
      </c>
      <c r="Y152" t="s">
        <v>562</v>
      </c>
      <c r="Z152" s="15">
        <v>45597</v>
      </c>
      <c r="AA152" t="s">
        <v>48</v>
      </c>
      <c r="AB152">
        <v>43.7746</v>
      </c>
      <c r="AC152">
        <v>-103.43264000000001</v>
      </c>
      <c r="AD152" t="s">
        <v>1503</v>
      </c>
      <c r="AE152" t="s">
        <v>1504</v>
      </c>
      <c r="AG152" t="s">
        <v>62</v>
      </c>
      <c r="AH152" t="s">
        <v>63</v>
      </c>
      <c r="AI152" t="s">
        <v>1505</v>
      </c>
      <c r="AJ152">
        <v>185946</v>
      </c>
      <c r="AL152" t="s">
        <v>1506</v>
      </c>
      <c r="AM152" t="s">
        <v>1507</v>
      </c>
      <c r="AN152" t="s">
        <v>1508</v>
      </c>
      <c r="AO152" t="s">
        <v>68</v>
      </c>
      <c r="AQ152" t="s">
        <v>1509</v>
      </c>
      <c r="AR152" t="s">
        <v>1510</v>
      </c>
      <c r="AS152" t="s">
        <v>1511</v>
      </c>
      <c r="AT152" s="31" t="s">
        <v>1512</v>
      </c>
      <c r="AU152" s="31" t="s">
        <v>85</v>
      </c>
      <c r="AV152" s="14" t="s">
        <v>72</v>
      </c>
      <c r="AW152" s="14" t="s">
        <v>73</v>
      </c>
      <c r="AX152" s="14" t="s">
        <v>74</v>
      </c>
    </row>
    <row r="153" spans="1:50" ht="15" customHeight="1" x14ac:dyDescent="0.4">
      <c r="A153" s="12">
        <v>2575</v>
      </c>
      <c r="B153" t="s">
        <v>1513</v>
      </c>
      <c r="D153" t="s">
        <v>1514</v>
      </c>
      <c r="E153" s="13"/>
      <c r="F153" s="41"/>
      <c r="G153" s="65" t="s">
        <v>8185</v>
      </c>
      <c r="H153" s="14" t="s">
        <v>49</v>
      </c>
      <c r="I153" s="15">
        <v>42965</v>
      </c>
      <c r="J153" t="s">
        <v>1449</v>
      </c>
      <c r="K153" t="s">
        <v>51</v>
      </c>
      <c r="L153" t="s">
        <v>1450</v>
      </c>
      <c r="M153" t="s">
        <v>53</v>
      </c>
      <c r="N153" t="s">
        <v>1451</v>
      </c>
      <c r="O153" t="s">
        <v>1452</v>
      </c>
      <c r="P153" t="s">
        <v>56</v>
      </c>
      <c r="Q153" t="s">
        <v>1453</v>
      </c>
      <c r="R153" s="21" t="s">
        <v>1454</v>
      </c>
      <c r="T153" t="s">
        <v>1455</v>
      </c>
      <c r="U153">
        <v>15</v>
      </c>
      <c r="V153" s="13" t="s">
        <v>1515</v>
      </c>
      <c r="X153" t="s">
        <v>60</v>
      </c>
      <c r="Z153" s="15"/>
      <c r="AB153">
        <v>43.776240000000001</v>
      </c>
      <c r="AC153">
        <v>-103.41792</v>
      </c>
      <c r="AD153" t="s">
        <v>1516</v>
      </c>
      <c r="AE153" t="s">
        <v>1517</v>
      </c>
      <c r="AG153" t="s">
        <v>62</v>
      </c>
      <c r="AH153" t="s">
        <v>63</v>
      </c>
      <c r="AI153" t="s">
        <v>1518</v>
      </c>
      <c r="AJ153">
        <v>185947</v>
      </c>
      <c r="AL153" t="s">
        <v>1519</v>
      </c>
      <c r="AM153" t="s">
        <v>1520</v>
      </c>
      <c r="AN153" t="s">
        <v>1521</v>
      </c>
      <c r="AO153" t="s">
        <v>68</v>
      </c>
      <c r="AQ153" t="s">
        <v>1522</v>
      </c>
      <c r="AR153" t="s">
        <v>1523</v>
      </c>
      <c r="AS153" t="s">
        <v>1524</v>
      </c>
      <c r="AV153" s="14" t="s">
        <v>72</v>
      </c>
      <c r="AW153" s="14" t="s">
        <v>73</v>
      </c>
      <c r="AX153" s="14" t="s">
        <v>74</v>
      </c>
    </row>
    <row r="154" spans="1:50" ht="15" customHeight="1" x14ac:dyDescent="0.4">
      <c r="A154" s="12">
        <v>2576</v>
      </c>
      <c r="B154" t="s">
        <v>1525</v>
      </c>
      <c r="D154" t="s">
        <v>1526</v>
      </c>
      <c r="E154" s="13"/>
      <c r="F154" s="41"/>
      <c r="G154" s="65" t="s">
        <v>8185</v>
      </c>
      <c r="H154" s="14" t="s">
        <v>49</v>
      </c>
      <c r="I154" s="15">
        <v>42965</v>
      </c>
      <c r="J154" t="s">
        <v>1449</v>
      </c>
      <c r="K154" t="s">
        <v>51</v>
      </c>
      <c r="L154" t="s">
        <v>1450</v>
      </c>
      <c r="M154" t="s">
        <v>53</v>
      </c>
      <c r="N154" t="s">
        <v>1451</v>
      </c>
      <c r="O154" t="s">
        <v>1452</v>
      </c>
      <c r="P154" t="s">
        <v>56</v>
      </c>
      <c r="Q154" t="s">
        <v>1453</v>
      </c>
      <c r="R154" s="21" t="s">
        <v>1454</v>
      </c>
      <c r="T154" t="s">
        <v>1455</v>
      </c>
      <c r="U154">
        <v>100</v>
      </c>
      <c r="V154" s="13" t="s">
        <v>1527</v>
      </c>
      <c r="X154" t="s">
        <v>60</v>
      </c>
      <c r="Z154" s="15"/>
      <c r="AB154">
        <v>43.77816</v>
      </c>
      <c r="AC154">
        <v>-103.40278000000001</v>
      </c>
      <c r="AD154" t="s">
        <v>1528</v>
      </c>
      <c r="AE154" t="s">
        <v>1529</v>
      </c>
      <c r="AG154" t="s">
        <v>62</v>
      </c>
      <c r="AH154" t="s">
        <v>63</v>
      </c>
      <c r="AI154" t="s">
        <v>1530</v>
      </c>
      <c r="AJ154">
        <v>185948</v>
      </c>
      <c r="AL154" t="s">
        <v>1531</v>
      </c>
      <c r="AM154" t="s">
        <v>1532</v>
      </c>
      <c r="AN154" t="s">
        <v>1533</v>
      </c>
      <c r="AO154" t="s">
        <v>68</v>
      </c>
      <c r="AQ154" t="s">
        <v>1534</v>
      </c>
      <c r="AR154" t="s">
        <v>1535</v>
      </c>
      <c r="AS154" t="s">
        <v>1536</v>
      </c>
      <c r="AV154" s="14" t="s">
        <v>72</v>
      </c>
      <c r="AW154" s="14" t="s">
        <v>73</v>
      </c>
      <c r="AX154" s="14" t="s">
        <v>74</v>
      </c>
    </row>
    <row r="155" spans="1:50" ht="15" customHeight="1" x14ac:dyDescent="0.4">
      <c r="A155" s="12">
        <v>2577</v>
      </c>
      <c r="B155" t="s">
        <v>1537</v>
      </c>
      <c r="D155" t="s">
        <v>1538</v>
      </c>
      <c r="E155" s="13"/>
      <c r="F155" s="41"/>
      <c r="G155" s="65" t="s">
        <v>8185</v>
      </c>
      <c r="H155" s="14" t="s">
        <v>49</v>
      </c>
      <c r="I155" s="15">
        <v>42965</v>
      </c>
      <c r="J155" t="s">
        <v>1449</v>
      </c>
      <c r="K155" t="s">
        <v>51</v>
      </c>
      <c r="L155" t="s">
        <v>1450</v>
      </c>
      <c r="M155" t="s">
        <v>53</v>
      </c>
      <c r="N155" t="s">
        <v>1451</v>
      </c>
      <c r="O155" t="s">
        <v>1452</v>
      </c>
      <c r="P155" t="s">
        <v>56</v>
      </c>
      <c r="Q155" t="s">
        <v>1453</v>
      </c>
      <c r="R155" s="21" t="s">
        <v>1454</v>
      </c>
      <c r="T155" t="s">
        <v>1455</v>
      </c>
      <c r="U155">
        <v>45</v>
      </c>
      <c r="V155" s="13" t="s">
        <v>1539</v>
      </c>
      <c r="X155" t="s">
        <v>60</v>
      </c>
      <c r="Z155" s="15"/>
      <c r="AB155">
        <v>43.765639999999998</v>
      </c>
      <c r="AC155">
        <v>-103.3884</v>
      </c>
      <c r="AD155" t="s">
        <v>1540</v>
      </c>
      <c r="AE155" t="s">
        <v>1541</v>
      </c>
      <c r="AG155" t="s">
        <v>62</v>
      </c>
      <c r="AH155" t="s">
        <v>63</v>
      </c>
      <c r="AI155" t="s">
        <v>1542</v>
      </c>
      <c r="AJ155">
        <v>185949</v>
      </c>
      <c r="AL155" t="s">
        <v>1543</v>
      </c>
      <c r="AM155" t="s">
        <v>1544</v>
      </c>
      <c r="AN155" t="s">
        <v>1545</v>
      </c>
      <c r="AO155" t="s">
        <v>68</v>
      </c>
      <c r="AQ155" t="s">
        <v>1546</v>
      </c>
      <c r="AR155" t="s">
        <v>1547</v>
      </c>
      <c r="AS155" t="s">
        <v>1548</v>
      </c>
      <c r="AV155" s="14" t="s">
        <v>72</v>
      </c>
      <c r="AW155" s="14" t="s">
        <v>73</v>
      </c>
      <c r="AX155" s="14" t="s">
        <v>74</v>
      </c>
    </row>
    <row r="156" spans="1:50" ht="15" customHeight="1" x14ac:dyDescent="0.4">
      <c r="A156" s="12">
        <v>2578</v>
      </c>
      <c r="B156" t="s">
        <v>1549</v>
      </c>
      <c r="D156" t="s">
        <v>1550</v>
      </c>
      <c r="E156" s="13"/>
      <c r="F156" s="41"/>
      <c r="G156" s="65" t="s">
        <v>8184</v>
      </c>
      <c r="H156" s="14" t="s">
        <v>49</v>
      </c>
      <c r="I156" s="15">
        <v>42965</v>
      </c>
      <c r="J156" t="s">
        <v>1449</v>
      </c>
      <c r="K156" t="s">
        <v>51</v>
      </c>
      <c r="L156" t="s">
        <v>1450</v>
      </c>
      <c r="M156" t="s">
        <v>53</v>
      </c>
      <c r="N156" t="s">
        <v>1451</v>
      </c>
      <c r="O156" t="s">
        <v>1452</v>
      </c>
      <c r="P156" t="s">
        <v>56</v>
      </c>
      <c r="R156" s="21" t="s">
        <v>1551</v>
      </c>
      <c r="T156" t="s">
        <v>1552</v>
      </c>
      <c r="U156">
        <v>25</v>
      </c>
      <c r="V156" s="13" t="s">
        <v>1553</v>
      </c>
      <c r="X156" t="s">
        <v>60</v>
      </c>
      <c r="Z156" s="15"/>
      <c r="AB156">
        <v>43.772779999999997</v>
      </c>
      <c r="AC156">
        <v>-103.33803</v>
      </c>
      <c r="AD156" t="s">
        <v>1554</v>
      </c>
      <c r="AE156">
        <v>6604</v>
      </c>
      <c r="AG156" t="s">
        <v>62</v>
      </c>
      <c r="AH156" t="s">
        <v>63</v>
      </c>
      <c r="AI156" t="s">
        <v>1555</v>
      </c>
      <c r="AJ156">
        <v>185950</v>
      </c>
      <c r="AL156" t="s">
        <v>1556</v>
      </c>
      <c r="AM156" t="s">
        <v>1557</v>
      </c>
      <c r="AN156" t="s">
        <v>1558</v>
      </c>
      <c r="AO156" t="s">
        <v>68</v>
      </c>
      <c r="AQ156" t="s">
        <v>1559</v>
      </c>
      <c r="AR156" t="s">
        <v>1560</v>
      </c>
      <c r="AS156" t="s">
        <v>1561</v>
      </c>
      <c r="AV156" s="14" t="s">
        <v>72</v>
      </c>
      <c r="AW156" s="14" t="s">
        <v>73</v>
      </c>
      <c r="AX156" s="14" t="s">
        <v>74</v>
      </c>
    </row>
    <row r="157" spans="1:50" ht="15" customHeight="1" x14ac:dyDescent="0.4">
      <c r="A157" s="12">
        <v>2580</v>
      </c>
      <c r="B157" t="s">
        <v>1577</v>
      </c>
      <c r="D157" t="s">
        <v>1578</v>
      </c>
      <c r="E157" s="13"/>
      <c r="F157" s="41"/>
      <c r="G157" s="65" t="s">
        <v>8185</v>
      </c>
      <c r="H157" s="14" t="s">
        <v>49</v>
      </c>
      <c r="I157" s="15">
        <v>42965</v>
      </c>
      <c r="J157" t="s">
        <v>1449</v>
      </c>
      <c r="K157" t="s">
        <v>51</v>
      </c>
      <c r="L157" t="s">
        <v>1450</v>
      </c>
      <c r="M157" t="s">
        <v>53</v>
      </c>
      <c r="N157" t="s">
        <v>1451</v>
      </c>
      <c r="O157" t="s">
        <v>1579</v>
      </c>
      <c r="P157" t="s">
        <v>56</v>
      </c>
      <c r="R157" s="21" t="s">
        <v>1580</v>
      </c>
      <c r="T157" t="s">
        <v>1581</v>
      </c>
      <c r="U157">
        <v>90</v>
      </c>
      <c r="V157" s="13" t="s">
        <v>1582</v>
      </c>
      <c r="X157" t="s">
        <v>60</v>
      </c>
      <c r="Z157" s="15"/>
      <c r="AB157">
        <v>44.474130000000002</v>
      </c>
      <c r="AC157">
        <v>-103.73782</v>
      </c>
      <c r="AD157" t="s">
        <v>1583</v>
      </c>
      <c r="AE157" t="s">
        <v>1584</v>
      </c>
      <c r="AG157" t="s">
        <v>62</v>
      </c>
      <c r="AH157" t="s">
        <v>63</v>
      </c>
      <c r="AI157" t="s">
        <v>1585</v>
      </c>
      <c r="AJ157" t="s">
        <v>48</v>
      </c>
      <c r="AL157" t="s">
        <v>48</v>
      </c>
      <c r="AM157" s="24" t="s">
        <v>1586</v>
      </c>
      <c r="AN157" t="s">
        <v>48</v>
      </c>
      <c r="AO157" t="s">
        <v>68</v>
      </c>
      <c r="AQ157" t="s">
        <v>1587</v>
      </c>
      <c r="AR157" t="s">
        <v>1588</v>
      </c>
      <c r="AS157" t="s">
        <v>1589</v>
      </c>
      <c r="AV157" s="14" t="s">
        <v>72</v>
      </c>
      <c r="AW157" s="14" t="s">
        <v>73</v>
      </c>
      <c r="AX157" s="14" t="s">
        <v>74</v>
      </c>
    </row>
    <row r="158" spans="1:50" ht="15" customHeight="1" x14ac:dyDescent="0.4">
      <c r="A158" s="12">
        <v>2581</v>
      </c>
      <c r="B158" t="s">
        <v>1590</v>
      </c>
      <c r="D158" t="s">
        <v>1591</v>
      </c>
      <c r="E158" s="13"/>
      <c r="F158" s="43" t="s">
        <v>49</v>
      </c>
      <c r="G158" s="65" t="s">
        <v>8152</v>
      </c>
      <c r="H158" s="14" t="s">
        <v>49</v>
      </c>
      <c r="I158" s="15">
        <v>42965</v>
      </c>
      <c r="J158" t="s">
        <v>1449</v>
      </c>
      <c r="K158" t="s">
        <v>51</v>
      </c>
      <c r="L158" t="s">
        <v>1450</v>
      </c>
      <c r="M158" t="s">
        <v>53</v>
      </c>
      <c r="N158" t="s">
        <v>1451</v>
      </c>
      <c r="O158" t="s">
        <v>1579</v>
      </c>
      <c r="P158" t="s">
        <v>56</v>
      </c>
      <c r="R158" s="21" t="s">
        <v>1592</v>
      </c>
      <c r="T158" t="s">
        <v>1581</v>
      </c>
      <c r="U158">
        <v>20</v>
      </c>
      <c r="V158" s="13" t="s">
        <v>1593</v>
      </c>
      <c r="W158" t="s">
        <v>1594</v>
      </c>
      <c r="X158" t="s">
        <v>78</v>
      </c>
      <c r="Y158" t="s">
        <v>79</v>
      </c>
      <c r="Z158" s="15">
        <v>45597</v>
      </c>
      <c r="AA158" t="s">
        <v>48</v>
      </c>
      <c r="AB158">
        <v>44.491329999999998</v>
      </c>
      <c r="AC158">
        <v>-103.80895</v>
      </c>
      <c r="AD158" t="s">
        <v>1595</v>
      </c>
      <c r="AE158" t="s">
        <v>1596</v>
      </c>
      <c r="AG158" t="s">
        <v>62</v>
      </c>
      <c r="AH158" t="s">
        <v>63</v>
      </c>
      <c r="AI158" t="s">
        <v>1597</v>
      </c>
      <c r="AJ158">
        <v>185952</v>
      </c>
      <c r="AL158" t="s">
        <v>1598</v>
      </c>
      <c r="AM158" t="s">
        <v>1599</v>
      </c>
      <c r="AN158" t="s">
        <v>1600</v>
      </c>
      <c r="AO158" t="s">
        <v>68</v>
      </c>
      <c r="AQ158" t="s">
        <v>1601</v>
      </c>
      <c r="AR158" t="s">
        <v>1602</v>
      </c>
      <c r="AS158" t="s">
        <v>1603</v>
      </c>
      <c r="AT158" s="31" t="s">
        <v>1604</v>
      </c>
      <c r="AU158" s="31" t="s">
        <v>85</v>
      </c>
      <c r="AV158" s="14" t="s">
        <v>72</v>
      </c>
      <c r="AW158" s="14" t="s">
        <v>73</v>
      </c>
      <c r="AX158" s="14" t="s">
        <v>74</v>
      </c>
    </row>
    <row r="159" spans="1:50" ht="15" customHeight="1" x14ac:dyDescent="0.4">
      <c r="A159" s="12">
        <v>2582</v>
      </c>
      <c r="B159" t="s">
        <v>1605</v>
      </c>
      <c r="D159" t="s">
        <v>1606</v>
      </c>
      <c r="E159" s="13"/>
      <c r="F159" s="43" t="s">
        <v>49</v>
      </c>
      <c r="G159" s="65" t="s">
        <v>8157</v>
      </c>
      <c r="H159" s="14" t="s">
        <v>49</v>
      </c>
      <c r="I159" s="15">
        <v>42965</v>
      </c>
      <c r="J159" t="s">
        <v>1449</v>
      </c>
      <c r="K159" t="s">
        <v>51</v>
      </c>
      <c r="L159" t="s">
        <v>1450</v>
      </c>
      <c r="M159" t="s">
        <v>53</v>
      </c>
      <c r="N159" t="s">
        <v>1451</v>
      </c>
      <c r="O159" t="s">
        <v>1579</v>
      </c>
      <c r="P159" t="s">
        <v>56</v>
      </c>
      <c r="R159" s="21" t="s">
        <v>1592</v>
      </c>
      <c r="T159" t="s">
        <v>1581</v>
      </c>
      <c r="U159">
        <v>60</v>
      </c>
      <c r="V159" s="13" t="s">
        <v>1582</v>
      </c>
      <c r="X159" t="s">
        <v>60</v>
      </c>
      <c r="Z159" s="15"/>
      <c r="AB159">
        <v>44.48498</v>
      </c>
      <c r="AC159">
        <v>-103.82365</v>
      </c>
      <c r="AD159" t="s">
        <v>1595</v>
      </c>
      <c r="AE159" t="s">
        <v>1607</v>
      </c>
      <c r="AG159" t="s">
        <v>62</v>
      </c>
      <c r="AH159" t="s">
        <v>63</v>
      </c>
      <c r="AI159" t="s">
        <v>1608</v>
      </c>
      <c r="AJ159">
        <v>185953</v>
      </c>
      <c r="AL159" t="s">
        <v>1609</v>
      </c>
      <c r="AM159" t="s">
        <v>1610</v>
      </c>
      <c r="AN159" t="s">
        <v>1611</v>
      </c>
      <c r="AO159" t="s">
        <v>68</v>
      </c>
      <c r="AQ159" t="s">
        <v>1612</v>
      </c>
      <c r="AR159" t="s">
        <v>1613</v>
      </c>
      <c r="AS159" t="s">
        <v>1614</v>
      </c>
      <c r="AV159" s="14" t="s">
        <v>72</v>
      </c>
      <c r="AW159" s="14" t="s">
        <v>73</v>
      </c>
      <c r="AX159" s="14" t="s">
        <v>74</v>
      </c>
    </row>
    <row r="160" spans="1:50" ht="15" customHeight="1" x14ac:dyDescent="0.4">
      <c r="A160" s="12">
        <v>2583</v>
      </c>
      <c r="B160" t="s">
        <v>1615</v>
      </c>
      <c r="D160" t="s">
        <v>1616</v>
      </c>
      <c r="E160" s="13"/>
      <c r="F160" s="43" t="s">
        <v>49</v>
      </c>
      <c r="G160" s="65" t="s">
        <v>8152</v>
      </c>
      <c r="H160" s="14" t="s">
        <v>49</v>
      </c>
      <c r="I160" s="15">
        <v>42965</v>
      </c>
      <c r="J160" t="s">
        <v>1449</v>
      </c>
      <c r="K160" t="s">
        <v>51</v>
      </c>
      <c r="L160" t="s">
        <v>1450</v>
      </c>
      <c r="M160" t="s">
        <v>53</v>
      </c>
      <c r="N160" t="s">
        <v>1451</v>
      </c>
      <c r="O160" t="s">
        <v>1579</v>
      </c>
      <c r="P160" t="s">
        <v>56</v>
      </c>
      <c r="R160" s="21" t="s">
        <v>1592</v>
      </c>
      <c r="T160" t="s">
        <v>1581</v>
      </c>
      <c r="U160" t="s">
        <v>1565</v>
      </c>
      <c r="V160" s="13" t="s">
        <v>1467</v>
      </c>
      <c r="W160" t="s">
        <v>1617</v>
      </c>
      <c r="X160" t="s">
        <v>60</v>
      </c>
      <c r="Z160" s="15"/>
      <c r="AB160">
        <v>44.479900000000001</v>
      </c>
      <c r="AC160">
        <v>-103.83083999999999</v>
      </c>
      <c r="AD160" t="s">
        <v>1618</v>
      </c>
      <c r="AE160" t="s">
        <v>1619</v>
      </c>
      <c r="AG160" t="s">
        <v>62</v>
      </c>
      <c r="AH160" t="s">
        <v>63</v>
      </c>
      <c r="AI160" t="s">
        <v>1620</v>
      </c>
      <c r="AJ160">
        <v>185954</v>
      </c>
      <c r="AL160" t="s">
        <v>1621</v>
      </c>
      <c r="AM160" t="s">
        <v>1622</v>
      </c>
      <c r="AN160" t="s">
        <v>1623</v>
      </c>
      <c r="AO160" t="s">
        <v>68</v>
      </c>
      <c r="AP160" t="s">
        <v>1624</v>
      </c>
      <c r="AQ160" t="s">
        <v>1625</v>
      </c>
      <c r="AR160" t="s">
        <v>1626</v>
      </c>
      <c r="AS160" t="s">
        <v>1627</v>
      </c>
      <c r="AT160" s="31" t="s">
        <v>1628</v>
      </c>
      <c r="AV160" s="14" t="s">
        <v>72</v>
      </c>
      <c r="AW160" s="14" t="s">
        <v>73</v>
      </c>
      <c r="AX160" s="14" t="s">
        <v>74</v>
      </c>
    </row>
    <row r="161" spans="1:50" ht="15" customHeight="1" x14ac:dyDescent="0.4">
      <c r="A161" s="12">
        <v>2584</v>
      </c>
      <c r="B161" t="s">
        <v>1629</v>
      </c>
      <c r="D161" t="s">
        <v>1630</v>
      </c>
      <c r="E161" s="13"/>
      <c r="F161" s="43" t="s">
        <v>49</v>
      </c>
      <c r="G161" s="65" t="s">
        <v>8152</v>
      </c>
      <c r="H161" s="14" t="s">
        <v>49</v>
      </c>
      <c r="I161" s="15">
        <v>42965</v>
      </c>
      <c r="J161" t="s">
        <v>1449</v>
      </c>
      <c r="K161" t="s">
        <v>51</v>
      </c>
      <c r="L161" t="s">
        <v>1450</v>
      </c>
      <c r="M161" t="s">
        <v>53</v>
      </c>
      <c r="N161" t="s">
        <v>1451</v>
      </c>
      <c r="O161" t="s">
        <v>1579</v>
      </c>
      <c r="P161" t="s">
        <v>56</v>
      </c>
      <c r="R161" s="21" t="s">
        <v>1592</v>
      </c>
      <c r="T161" t="s">
        <v>1581</v>
      </c>
      <c r="U161" t="s">
        <v>1631</v>
      </c>
      <c r="V161" s="13" t="s">
        <v>1467</v>
      </c>
      <c r="X161" t="s">
        <v>60</v>
      </c>
      <c r="Z161" s="15"/>
      <c r="AB161">
        <v>44.476500000000001</v>
      </c>
      <c r="AC161">
        <v>-103.84972</v>
      </c>
      <c r="AD161" t="s">
        <v>1632</v>
      </c>
      <c r="AE161" t="s">
        <v>1633</v>
      </c>
      <c r="AG161" t="s">
        <v>62</v>
      </c>
      <c r="AH161" t="s">
        <v>63</v>
      </c>
      <c r="AI161" t="s">
        <v>1634</v>
      </c>
      <c r="AJ161">
        <v>185955</v>
      </c>
      <c r="AL161" t="s">
        <v>1635</v>
      </c>
      <c r="AM161" t="s">
        <v>1636</v>
      </c>
      <c r="AN161" t="s">
        <v>1637</v>
      </c>
      <c r="AO161" t="s">
        <v>68</v>
      </c>
      <c r="AQ161" t="s">
        <v>1638</v>
      </c>
      <c r="AR161" t="s">
        <v>1639</v>
      </c>
      <c r="AS161" t="s">
        <v>1640</v>
      </c>
      <c r="AV161" s="14" t="s">
        <v>72</v>
      </c>
      <c r="AW161" s="14" t="s">
        <v>73</v>
      </c>
      <c r="AX161" s="14" t="s">
        <v>74</v>
      </c>
    </row>
    <row r="162" spans="1:50" ht="15" customHeight="1" x14ac:dyDescent="0.4">
      <c r="A162" s="12">
        <v>2585</v>
      </c>
      <c r="B162" t="s">
        <v>1641</v>
      </c>
      <c r="D162" t="s">
        <v>1642</v>
      </c>
      <c r="E162" s="13"/>
      <c r="F162" s="43" t="s">
        <v>49</v>
      </c>
      <c r="G162" s="65" t="s">
        <v>8157</v>
      </c>
      <c r="H162" s="14" t="s">
        <v>49</v>
      </c>
      <c r="I162" s="15">
        <v>42965</v>
      </c>
      <c r="J162" t="s">
        <v>1449</v>
      </c>
      <c r="K162" t="s">
        <v>51</v>
      </c>
      <c r="L162" t="s">
        <v>1450</v>
      </c>
      <c r="M162" t="s">
        <v>53</v>
      </c>
      <c r="N162" t="s">
        <v>1451</v>
      </c>
      <c r="O162" t="s">
        <v>1579</v>
      </c>
      <c r="P162" t="s">
        <v>56</v>
      </c>
      <c r="R162" s="21" t="s">
        <v>1592</v>
      </c>
      <c r="T162" t="s">
        <v>1581</v>
      </c>
      <c r="U162">
        <v>30</v>
      </c>
      <c r="V162" s="13" t="s">
        <v>1479</v>
      </c>
      <c r="X162" t="s">
        <v>78</v>
      </c>
      <c r="Y162" t="s">
        <v>562</v>
      </c>
      <c r="Z162" s="15">
        <v>45597</v>
      </c>
      <c r="AA162" t="s">
        <v>48</v>
      </c>
      <c r="AB162">
        <v>44.467329999999997</v>
      </c>
      <c r="AC162">
        <v>-103.84975</v>
      </c>
      <c r="AD162" t="s">
        <v>1643</v>
      </c>
      <c r="AE162" t="s">
        <v>1644</v>
      </c>
      <c r="AG162" t="s">
        <v>62</v>
      </c>
      <c r="AH162" t="s">
        <v>63</v>
      </c>
      <c r="AI162" t="s">
        <v>1645</v>
      </c>
      <c r="AJ162">
        <v>185956</v>
      </c>
      <c r="AL162" t="s">
        <v>1646</v>
      </c>
      <c r="AM162" t="s">
        <v>1647</v>
      </c>
      <c r="AN162" t="s">
        <v>1648</v>
      </c>
      <c r="AO162" t="s">
        <v>68</v>
      </c>
      <c r="AQ162" t="s">
        <v>1649</v>
      </c>
      <c r="AR162" t="s">
        <v>1650</v>
      </c>
      <c r="AS162" t="s">
        <v>1651</v>
      </c>
      <c r="AT162" s="31" t="s">
        <v>1652</v>
      </c>
      <c r="AU162" s="31" t="s">
        <v>85</v>
      </c>
      <c r="AV162" s="14" t="s">
        <v>72</v>
      </c>
      <c r="AW162" s="14" t="s">
        <v>73</v>
      </c>
      <c r="AX162" s="14" t="s">
        <v>74</v>
      </c>
    </row>
    <row r="163" spans="1:50" ht="15" customHeight="1" x14ac:dyDescent="0.4">
      <c r="A163" s="12">
        <v>2586</v>
      </c>
      <c r="B163" t="s">
        <v>1653</v>
      </c>
      <c r="D163" t="s">
        <v>1654</v>
      </c>
      <c r="E163" s="13"/>
      <c r="F163" s="43" t="s">
        <v>49</v>
      </c>
      <c r="G163" s="65" t="s">
        <v>8157</v>
      </c>
      <c r="H163" s="14" t="s">
        <v>49</v>
      </c>
      <c r="I163" s="15">
        <v>42965</v>
      </c>
      <c r="J163" t="s">
        <v>1449</v>
      </c>
      <c r="K163" t="s">
        <v>51</v>
      </c>
      <c r="L163" t="s">
        <v>1450</v>
      </c>
      <c r="M163" t="s">
        <v>53</v>
      </c>
      <c r="N163" t="s">
        <v>1451</v>
      </c>
      <c r="O163" t="s">
        <v>1579</v>
      </c>
      <c r="P163" t="s">
        <v>56</v>
      </c>
      <c r="Q163" t="s">
        <v>1655</v>
      </c>
      <c r="R163" s="21" t="s">
        <v>1656</v>
      </c>
      <c r="T163" t="s">
        <v>1581</v>
      </c>
      <c r="U163">
        <v>25</v>
      </c>
      <c r="V163" s="13" t="s">
        <v>1593</v>
      </c>
      <c r="X163" t="s">
        <v>60</v>
      </c>
      <c r="Z163" s="15"/>
      <c r="AB163">
        <v>44.463079999999998</v>
      </c>
      <c r="AC163">
        <v>-103.85467</v>
      </c>
      <c r="AD163" t="s">
        <v>1657</v>
      </c>
      <c r="AE163" t="s">
        <v>1658</v>
      </c>
      <c r="AG163" t="s">
        <v>62</v>
      </c>
      <c r="AH163" t="s">
        <v>63</v>
      </c>
      <c r="AI163" t="s">
        <v>1659</v>
      </c>
      <c r="AJ163">
        <v>185957</v>
      </c>
      <c r="AL163" t="s">
        <v>1660</v>
      </c>
      <c r="AM163" t="s">
        <v>1661</v>
      </c>
      <c r="AN163" t="s">
        <v>1662</v>
      </c>
      <c r="AO163" t="s">
        <v>68</v>
      </c>
      <c r="AQ163" t="s">
        <v>1663</v>
      </c>
      <c r="AR163" t="s">
        <v>1664</v>
      </c>
      <c r="AS163" t="s">
        <v>1665</v>
      </c>
      <c r="AV163" s="14" t="s">
        <v>72</v>
      </c>
      <c r="AW163" s="14" t="s">
        <v>73</v>
      </c>
      <c r="AX163" s="14" t="s">
        <v>74</v>
      </c>
    </row>
    <row r="164" spans="1:50" ht="15" customHeight="1" x14ac:dyDescent="0.4">
      <c r="A164" s="12">
        <v>2587</v>
      </c>
      <c r="B164" t="s">
        <v>1666</v>
      </c>
      <c r="D164" t="s">
        <v>1667</v>
      </c>
      <c r="E164" s="13"/>
      <c r="F164" s="43" t="s">
        <v>49</v>
      </c>
      <c r="G164" s="65" t="s">
        <v>8185</v>
      </c>
      <c r="H164" s="14" t="s">
        <v>49</v>
      </c>
      <c r="I164" s="15">
        <v>42965</v>
      </c>
      <c r="J164" t="s">
        <v>1449</v>
      </c>
      <c r="K164" t="s">
        <v>51</v>
      </c>
      <c r="L164" t="s">
        <v>1450</v>
      </c>
      <c r="M164" t="s">
        <v>53</v>
      </c>
      <c r="N164" t="s">
        <v>1451</v>
      </c>
      <c r="O164" t="s">
        <v>1579</v>
      </c>
      <c r="P164" t="s">
        <v>56</v>
      </c>
      <c r="Q164" t="s">
        <v>1655</v>
      </c>
      <c r="R164" s="21" t="s">
        <v>1656</v>
      </c>
      <c r="T164" t="s">
        <v>1581</v>
      </c>
      <c r="U164">
        <v>25</v>
      </c>
      <c r="V164" s="13" t="s">
        <v>1456</v>
      </c>
      <c r="X164" t="s">
        <v>60</v>
      </c>
      <c r="Z164" s="15"/>
      <c r="AB164">
        <v>44.456159999999997</v>
      </c>
      <c r="AC164">
        <v>-103.86291</v>
      </c>
      <c r="AD164" t="s">
        <v>1657</v>
      </c>
      <c r="AE164" t="s">
        <v>1668</v>
      </c>
      <c r="AG164" t="s">
        <v>62</v>
      </c>
      <c r="AH164" t="s">
        <v>63</v>
      </c>
      <c r="AI164" t="s">
        <v>1669</v>
      </c>
      <c r="AJ164">
        <v>185958</v>
      </c>
      <c r="AL164" t="s">
        <v>1670</v>
      </c>
      <c r="AM164" t="s">
        <v>1671</v>
      </c>
      <c r="AN164" t="s">
        <v>1672</v>
      </c>
      <c r="AO164" t="s">
        <v>68</v>
      </c>
      <c r="AQ164" t="s">
        <v>1673</v>
      </c>
      <c r="AR164" t="s">
        <v>1674</v>
      </c>
      <c r="AS164" t="s">
        <v>1675</v>
      </c>
      <c r="AV164" s="14" t="s">
        <v>72</v>
      </c>
      <c r="AW164" s="14" t="s">
        <v>73</v>
      </c>
      <c r="AX164" s="14" t="s">
        <v>74</v>
      </c>
    </row>
    <row r="165" spans="1:50" ht="15" customHeight="1" x14ac:dyDescent="0.4">
      <c r="A165" s="12">
        <v>2588</v>
      </c>
      <c r="B165" t="s">
        <v>1676</v>
      </c>
      <c r="D165" t="s">
        <v>1677</v>
      </c>
      <c r="E165" s="13"/>
      <c r="F165" s="43" t="s">
        <v>49</v>
      </c>
      <c r="G165" s="65" t="s">
        <v>8152</v>
      </c>
      <c r="H165" s="14" t="s">
        <v>49</v>
      </c>
      <c r="I165" s="15">
        <v>42965</v>
      </c>
      <c r="J165" t="s">
        <v>1449</v>
      </c>
      <c r="K165" t="s">
        <v>51</v>
      </c>
      <c r="L165" t="s">
        <v>1450</v>
      </c>
      <c r="M165" t="s">
        <v>53</v>
      </c>
      <c r="N165" t="s">
        <v>1451</v>
      </c>
      <c r="O165" t="s">
        <v>1579</v>
      </c>
      <c r="P165" t="s">
        <v>56</v>
      </c>
      <c r="Q165" t="s">
        <v>1655</v>
      </c>
      <c r="R165" s="21" t="s">
        <v>1656</v>
      </c>
      <c r="T165" t="s">
        <v>1581</v>
      </c>
      <c r="U165">
        <v>25</v>
      </c>
      <c r="V165" s="13" t="s">
        <v>1582</v>
      </c>
      <c r="X165" t="s">
        <v>60</v>
      </c>
      <c r="Z165" s="15"/>
      <c r="AB165">
        <v>44.450530000000001</v>
      </c>
      <c r="AC165">
        <v>-103.86418999999999</v>
      </c>
      <c r="AD165" t="s">
        <v>1678</v>
      </c>
      <c r="AE165" t="s">
        <v>1679</v>
      </c>
      <c r="AG165" t="s">
        <v>62</v>
      </c>
      <c r="AH165" t="s">
        <v>63</v>
      </c>
      <c r="AI165" t="s">
        <v>1680</v>
      </c>
      <c r="AJ165">
        <v>185959</v>
      </c>
      <c r="AL165" t="s">
        <v>1681</v>
      </c>
      <c r="AM165" t="s">
        <v>1682</v>
      </c>
      <c r="AN165" t="s">
        <v>1683</v>
      </c>
      <c r="AO165" t="s">
        <v>68</v>
      </c>
      <c r="AQ165" t="s">
        <v>1684</v>
      </c>
      <c r="AR165" t="s">
        <v>1685</v>
      </c>
      <c r="AS165" t="s">
        <v>1686</v>
      </c>
      <c r="AV165" s="14" t="s">
        <v>72</v>
      </c>
      <c r="AW165" s="14" t="s">
        <v>73</v>
      </c>
      <c r="AX165" s="14" t="s">
        <v>74</v>
      </c>
    </row>
    <row r="166" spans="1:50" ht="15" customHeight="1" x14ac:dyDescent="0.4">
      <c r="A166" s="12">
        <v>2589</v>
      </c>
      <c r="B166" t="s">
        <v>1687</v>
      </c>
      <c r="D166" t="s">
        <v>1688</v>
      </c>
      <c r="E166" s="13"/>
      <c r="F166" s="43" t="s">
        <v>49</v>
      </c>
      <c r="G166" s="65" t="s">
        <v>8152</v>
      </c>
      <c r="H166" s="14" t="s">
        <v>49</v>
      </c>
      <c r="I166" s="15">
        <v>42965</v>
      </c>
      <c r="J166" t="s">
        <v>1449</v>
      </c>
      <c r="K166" t="s">
        <v>51</v>
      </c>
      <c r="L166" t="s">
        <v>1450</v>
      </c>
      <c r="M166" t="s">
        <v>53</v>
      </c>
      <c r="N166" t="s">
        <v>1451</v>
      </c>
      <c r="O166" t="s">
        <v>1579</v>
      </c>
      <c r="P166" t="s">
        <v>56</v>
      </c>
      <c r="Q166" t="s">
        <v>1655</v>
      </c>
      <c r="R166" s="21" t="s">
        <v>1656</v>
      </c>
      <c r="T166" t="s">
        <v>1581</v>
      </c>
      <c r="U166">
        <v>30</v>
      </c>
      <c r="V166" s="13" t="s">
        <v>1689</v>
      </c>
      <c r="X166" t="s">
        <v>78</v>
      </c>
      <c r="Y166" t="s">
        <v>562</v>
      </c>
      <c r="Z166" s="15">
        <v>45597</v>
      </c>
      <c r="AA166" t="s">
        <v>48</v>
      </c>
      <c r="AB166">
        <v>44.433700000000002</v>
      </c>
      <c r="AC166">
        <v>-103.87411</v>
      </c>
      <c r="AD166" t="s">
        <v>1690</v>
      </c>
      <c r="AE166" t="s">
        <v>1691</v>
      </c>
      <c r="AG166" t="s">
        <v>62</v>
      </c>
      <c r="AH166" t="s">
        <v>63</v>
      </c>
      <c r="AI166" t="s">
        <v>1692</v>
      </c>
      <c r="AJ166">
        <v>185960</v>
      </c>
      <c r="AL166" t="s">
        <v>1693</v>
      </c>
      <c r="AM166" t="s">
        <v>1694</v>
      </c>
      <c r="AN166" t="s">
        <v>1695</v>
      </c>
      <c r="AO166" t="s">
        <v>68</v>
      </c>
      <c r="AQ166" t="s">
        <v>1696</v>
      </c>
      <c r="AR166" t="s">
        <v>1697</v>
      </c>
      <c r="AS166" t="s">
        <v>1698</v>
      </c>
      <c r="AT166" s="31" t="s">
        <v>1699</v>
      </c>
      <c r="AU166" s="31" t="s">
        <v>85</v>
      </c>
      <c r="AV166" s="14" t="s">
        <v>72</v>
      </c>
      <c r="AW166" s="14" t="s">
        <v>73</v>
      </c>
      <c r="AX166" s="14" t="s">
        <v>74</v>
      </c>
    </row>
    <row r="167" spans="1:50" ht="15" customHeight="1" x14ac:dyDescent="0.4">
      <c r="A167" s="12">
        <v>2579</v>
      </c>
      <c r="B167" t="s">
        <v>1562</v>
      </c>
      <c r="D167" t="s">
        <v>1563</v>
      </c>
      <c r="E167" s="13"/>
      <c r="F167" s="41"/>
      <c r="G167" s="65" t="s">
        <v>8185</v>
      </c>
      <c r="H167" s="14" t="s">
        <v>49</v>
      </c>
      <c r="I167" s="15">
        <v>42965</v>
      </c>
      <c r="J167" t="s">
        <v>1449</v>
      </c>
      <c r="K167" t="s">
        <v>51</v>
      </c>
      <c r="L167" t="s">
        <v>1450</v>
      </c>
      <c r="M167" t="s">
        <v>53</v>
      </c>
      <c r="N167" t="s">
        <v>1451</v>
      </c>
      <c r="O167" t="s">
        <v>1452</v>
      </c>
      <c r="P167" t="s">
        <v>56</v>
      </c>
      <c r="R167" s="21" t="s">
        <v>1564</v>
      </c>
      <c r="T167" t="s">
        <v>1455</v>
      </c>
      <c r="U167" t="s">
        <v>1565</v>
      </c>
      <c r="V167" s="13" t="s">
        <v>1566</v>
      </c>
      <c r="X167" t="s">
        <v>60</v>
      </c>
      <c r="Z167" s="15"/>
      <c r="AB167">
        <v>43.816839999999999</v>
      </c>
      <c r="AC167">
        <v>-103.25005</v>
      </c>
      <c r="AD167" t="s">
        <v>1567</v>
      </c>
      <c r="AE167" t="s">
        <v>1568</v>
      </c>
      <c r="AG167" t="s">
        <v>62</v>
      </c>
      <c r="AH167" t="s">
        <v>63</v>
      </c>
      <c r="AI167" t="s">
        <v>1569</v>
      </c>
      <c r="AJ167">
        <v>185951</v>
      </c>
      <c r="AL167" t="s">
        <v>1570</v>
      </c>
      <c r="AM167" t="s">
        <v>1571</v>
      </c>
      <c r="AN167" t="s">
        <v>1572</v>
      </c>
      <c r="AO167" t="s">
        <v>68</v>
      </c>
      <c r="AQ167" t="s">
        <v>1573</v>
      </c>
      <c r="AR167" t="s">
        <v>1574</v>
      </c>
      <c r="AS167" t="s">
        <v>1575</v>
      </c>
      <c r="AT167" s="31" t="s">
        <v>1576</v>
      </c>
      <c r="AU167" s="31" t="s">
        <v>85</v>
      </c>
      <c r="AV167" s="14" t="s">
        <v>72</v>
      </c>
      <c r="AW167" s="14" t="s">
        <v>73</v>
      </c>
      <c r="AX167" s="14" t="s">
        <v>74</v>
      </c>
    </row>
    <row r="168" spans="1:50" s="34" customFormat="1" ht="15" customHeight="1" x14ac:dyDescent="0.4">
      <c r="A168" s="33">
        <v>3798</v>
      </c>
      <c r="B168" s="37" t="s">
        <v>5448</v>
      </c>
      <c r="C168" s="35" t="s">
        <v>5449</v>
      </c>
      <c r="D168" s="55" t="s">
        <v>5449</v>
      </c>
      <c r="E168" s="35"/>
      <c r="F168" s="42" t="s">
        <v>1829</v>
      </c>
      <c r="G168" s="65" t="s">
        <v>8145</v>
      </c>
      <c r="H168" s="34" t="s">
        <v>3090</v>
      </c>
      <c r="I168" s="15">
        <v>44776</v>
      </c>
      <c r="J168" t="s">
        <v>2719</v>
      </c>
      <c r="K168" t="s">
        <v>51</v>
      </c>
      <c r="L168" t="s">
        <v>52</v>
      </c>
      <c r="M168" t="s">
        <v>53</v>
      </c>
      <c r="N168" t="s">
        <v>651</v>
      </c>
      <c r="O168" t="s">
        <v>1708</v>
      </c>
      <c r="P168" t="s">
        <v>56</v>
      </c>
      <c r="Q168" s="21" t="s">
        <v>5450</v>
      </c>
      <c r="R168" s="21"/>
      <c r="S168" t="s">
        <v>3394</v>
      </c>
      <c r="T168" t="s">
        <v>5451</v>
      </c>
      <c r="U168"/>
      <c r="V168"/>
      <c r="W168" t="s">
        <v>1758</v>
      </c>
      <c r="X168" s="34" t="s">
        <v>3096</v>
      </c>
      <c r="Z168" s="36"/>
      <c r="AB168" s="34">
        <v>38.917271999999997</v>
      </c>
      <c r="AC168" s="34">
        <v>-94.973530999999994</v>
      </c>
      <c r="AD168" s="34" t="s">
        <v>1406</v>
      </c>
      <c r="AG168" s="34" t="s">
        <v>1715</v>
      </c>
      <c r="AH168" s="34" t="s">
        <v>63</v>
      </c>
      <c r="AI168" s="34" t="s">
        <v>5452</v>
      </c>
      <c r="AJ168" s="34">
        <v>194554</v>
      </c>
      <c r="AL168" s="34" t="s">
        <v>5453</v>
      </c>
      <c r="AM168" s="34" t="s">
        <v>5454</v>
      </c>
      <c r="AN168" s="34" t="s">
        <v>5455</v>
      </c>
      <c r="AO168" s="34" t="s">
        <v>68</v>
      </c>
      <c r="AQ168" s="34" t="s">
        <v>5456</v>
      </c>
      <c r="AR168" s="34" t="s">
        <v>5457</v>
      </c>
      <c r="AS168" s="34" t="s">
        <v>5458</v>
      </c>
      <c r="AV168" s="34" t="s">
        <v>72</v>
      </c>
      <c r="AW168" s="34" t="s">
        <v>73</v>
      </c>
      <c r="AX168" s="34" t="s">
        <v>74</v>
      </c>
    </row>
    <row r="169" spans="1:50" ht="15" customHeight="1" x14ac:dyDescent="0.4">
      <c r="A169" s="12">
        <v>3799</v>
      </c>
      <c r="B169" s="21" t="s">
        <v>5459</v>
      </c>
      <c r="C169" s="13" t="s">
        <v>5460</v>
      </c>
      <c r="D169" s="25" t="s">
        <v>5460</v>
      </c>
      <c r="E169" s="13"/>
      <c r="F169" s="41"/>
      <c r="G169" s="65" t="s">
        <v>8180</v>
      </c>
      <c r="H169" s="14" t="s">
        <v>3090</v>
      </c>
      <c r="I169" s="15">
        <v>44776</v>
      </c>
      <c r="J169" t="s">
        <v>2719</v>
      </c>
      <c r="K169" t="s">
        <v>51</v>
      </c>
      <c r="L169" t="s">
        <v>52</v>
      </c>
      <c r="M169" t="s">
        <v>53</v>
      </c>
      <c r="N169" t="s">
        <v>651</v>
      </c>
      <c r="O169" t="s">
        <v>1708</v>
      </c>
      <c r="P169" t="s">
        <v>56</v>
      </c>
      <c r="Q169" s="21" t="s">
        <v>5450</v>
      </c>
      <c r="R169" s="21"/>
      <c r="S169" t="s">
        <v>5461</v>
      </c>
      <c r="T169" t="s">
        <v>5462</v>
      </c>
      <c r="W169" t="s">
        <v>1758</v>
      </c>
      <c r="X169" t="s">
        <v>3096</v>
      </c>
      <c r="Z169" s="15"/>
      <c r="AB169">
        <v>38.917033000000004</v>
      </c>
      <c r="AC169">
        <v>-94.973636999999997</v>
      </c>
      <c r="AD169" t="s">
        <v>4892</v>
      </c>
      <c r="AG169" t="s">
        <v>1715</v>
      </c>
      <c r="AH169" t="s">
        <v>63</v>
      </c>
      <c r="AI169" t="s">
        <v>5463</v>
      </c>
      <c r="AJ169">
        <v>194553</v>
      </c>
      <c r="AL169" t="s">
        <v>5464</v>
      </c>
      <c r="AM169" t="s">
        <v>5465</v>
      </c>
      <c r="AN169" t="s">
        <v>5466</v>
      </c>
      <c r="AO169" t="s">
        <v>68</v>
      </c>
      <c r="AQ169" t="s">
        <v>5467</v>
      </c>
      <c r="AR169" t="s">
        <v>5468</v>
      </c>
      <c r="AS169" t="s">
        <v>5469</v>
      </c>
      <c r="AV169" s="14" t="s">
        <v>72</v>
      </c>
      <c r="AW169" s="14" t="s">
        <v>73</v>
      </c>
      <c r="AX169" s="14" t="s">
        <v>74</v>
      </c>
    </row>
    <row r="170" spans="1:50" ht="15" customHeight="1" x14ac:dyDescent="0.4">
      <c r="A170" s="12">
        <v>3800</v>
      </c>
      <c r="B170" s="21" t="s">
        <v>5470</v>
      </c>
      <c r="C170" s="13" t="s">
        <v>5471</v>
      </c>
      <c r="D170" s="25" t="s">
        <v>5471</v>
      </c>
      <c r="E170" s="13"/>
      <c r="F170" s="41"/>
      <c r="G170" s="65" t="s">
        <v>8185</v>
      </c>
      <c r="H170" s="14" t="s">
        <v>49</v>
      </c>
      <c r="I170" s="15">
        <v>44777</v>
      </c>
      <c r="J170" t="s">
        <v>2719</v>
      </c>
      <c r="K170" t="s">
        <v>51</v>
      </c>
      <c r="L170" t="s">
        <v>52</v>
      </c>
      <c r="M170" t="s">
        <v>53</v>
      </c>
      <c r="N170" t="s">
        <v>651</v>
      </c>
      <c r="O170" t="s">
        <v>5472</v>
      </c>
      <c r="P170" t="s">
        <v>56</v>
      </c>
      <c r="Q170" s="21" t="s">
        <v>5473</v>
      </c>
      <c r="R170" s="21"/>
      <c r="S170" t="s">
        <v>5474</v>
      </c>
      <c r="T170" t="s">
        <v>5475</v>
      </c>
      <c r="X170" t="s">
        <v>60</v>
      </c>
      <c r="Z170" s="15"/>
      <c r="AB170">
        <v>39.106898999999999</v>
      </c>
      <c r="AC170">
        <v>-96.607647</v>
      </c>
      <c r="AD170" t="s">
        <v>5476</v>
      </c>
      <c r="AG170" t="s">
        <v>1715</v>
      </c>
      <c r="AH170" t="s">
        <v>63</v>
      </c>
      <c r="AI170" t="s">
        <v>5477</v>
      </c>
      <c r="AJ170">
        <v>194456</v>
      </c>
      <c r="AL170" t="s">
        <v>5478</v>
      </c>
      <c r="AM170" t="s">
        <v>5479</v>
      </c>
      <c r="AN170" t="s">
        <v>5480</v>
      </c>
      <c r="AO170" t="s">
        <v>68</v>
      </c>
      <c r="AQ170" t="s">
        <v>5481</v>
      </c>
      <c r="AR170" t="s">
        <v>5482</v>
      </c>
      <c r="AS170" t="s">
        <v>5483</v>
      </c>
      <c r="AV170" s="14" t="s">
        <v>72</v>
      </c>
      <c r="AW170" s="14" t="s">
        <v>73</v>
      </c>
      <c r="AX170" s="14" t="s">
        <v>74</v>
      </c>
    </row>
    <row r="171" spans="1:50" ht="15" customHeight="1" x14ac:dyDescent="0.4">
      <c r="A171" s="12">
        <v>3801</v>
      </c>
      <c r="B171" s="21" t="s">
        <v>5484</v>
      </c>
      <c r="C171" s="13" t="s">
        <v>5485</v>
      </c>
      <c r="D171" s="25" t="s">
        <v>5485</v>
      </c>
      <c r="E171" s="13"/>
      <c r="F171" s="41"/>
      <c r="G171" s="65" t="s">
        <v>8185</v>
      </c>
      <c r="H171" s="14" t="s">
        <v>49</v>
      </c>
      <c r="I171" s="15">
        <v>44777</v>
      </c>
      <c r="J171" t="s">
        <v>2719</v>
      </c>
      <c r="K171" t="s">
        <v>51</v>
      </c>
      <c r="L171" t="s">
        <v>52</v>
      </c>
      <c r="M171" t="s">
        <v>53</v>
      </c>
      <c r="N171" t="s">
        <v>651</v>
      </c>
      <c r="O171" t="s">
        <v>5472</v>
      </c>
      <c r="P171" t="s">
        <v>56</v>
      </c>
      <c r="Q171" s="21" t="s">
        <v>5473</v>
      </c>
      <c r="R171" s="21"/>
      <c r="S171" t="s">
        <v>5486</v>
      </c>
      <c r="T171" t="s">
        <v>5487</v>
      </c>
      <c r="W171" t="s">
        <v>1758</v>
      </c>
      <c r="X171" t="s">
        <v>60</v>
      </c>
      <c r="Z171" s="15"/>
      <c r="AB171">
        <v>39.107655999999999</v>
      </c>
      <c r="AC171">
        <v>-96.606831999999997</v>
      </c>
      <c r="AD171" t="s">
        <v>5488</v>
      </c>
      <c r="AG171" t="s">
        <v>1715</v>
      </c>
      <c r="AH171" t="s">
        <v>63</v>
      </c>
      <c r="AI171" t="s">
        <v>5489</v>
      </c>
      <c r="AJ171">
        <v>194453</v>
      </c>
      <c r="AL171" t="s">
        <v>5490</v>
      </c>
      <c r="AM171" t="s">
        <v>5491</v>
      </c>
      <c r="AN171" t="s">
        <v>5492</v>
      </c>
      <c r="AO171" t="s">
        <v>68</v>
      </c>
      <c r="AQ171" t="s">
        <v>5493</v>
      </c>
      <c r="AR171" t="s">
        <v>5494</v>
      </c>
      <c r="AS171" t="s">
        <v>5495</v>
      </c>
      <c r="AV171" s="14" t="s">
        <v>72</v>
      </c>
      <c r="AW171" s="14" t="s">
        <v>73</v>
      </c>
      <c r="AX171" s="14" t="s">
        <v>74</v>
      </c>
    </row>
    <row r="172" spans="1:50" ht="15" customHeight="1" x14ac:dyDescent="0.4">
      <c r="A172" s="12">
        <v>3802</v>
      </c>
      <c r="B172" s="21" t="s">
        <v>5496</v>
      </c>
      <c r="C172" s="13" t="s">
        <v>5497</v>
      </c>
      <c r="D172" s="25" t="s">
        <v>5497</v>
      </c>
      <c r="E172" s="13"/>
      <c r="F172" s="41"/>
      <c r="G172" s="65" t="s">
        <v>8178</v>
      </c>
      <c r="H172" s="14" t="s">
        <v>1829</v>
      </c>
      <c r="I172" s="15">
        <v>44777</v>
      </c>
      <c r="J172" t="s">
        <v>2719</v>
      </c>
      <c r="K172" t="s">
        <v>51</v>
      </c>
      <c r="L172" t="s">
        <v>52</v>
      </c>
      <c r="M172" t="s">
        <v>53</v>
      </c>
      <c r="N172" t="s">
        <v>651</v>
      </c>
      <c r="O172" t="s">
        <v>5472</v>
      </c>
      <c r="P172" t="s">
        <v>56</v>
      </c>
      <c r="Q172" s="21" t="s">
        <v>5473</v>
      </c>
      <c r="R172" s="21"/>
      <c r="S172" t="s">
        <v>5498</v>
      </c>
      <c r="T172" t="s">
        <v>5499</v>
      </c>
      <c r="W172" t="s">
        <v>2336</v>
      </c>
      <c r="X172" t="s">
        <v>1832</v>
      </c>
      <c r="Z172" s="15"/>
      <c r="AB172">
        <v>39.107928999999999</v>
      </c>
      <c r="AC172">
        <v>-96.605811000000003</v>
      </c>
      <c r="AD172" t="s">
        <v>5500</v>
      </c>
      <c r="AG172" t="s">
        <v>1715</v>
      </c>
      <c r="AH172" t="s">
        <v>63</v>
      </c>
      <c r="AI172" t="s">
        <v>5501</v>
      </c>
      <c r="AJ172">
        <v>194492</v>
      </c>
      <c r="AL172" t="s">
        <v>5502</v>
      </c>
      <c r="AM172" t="s">
        <v>5503</v>
      </c>
      <c r="AN172" t="s">
        <v>5504</v>
      </c>
      <c r="AO172" t="s">
        <v>68</v>
      </c>
      <c r="AQ172" t="s">
        <v>5505</v>
      </c>
      <c r="AR172" t="s">
        <v>5506</v>
      </c>
      <c r="AS172" t="s">
        <v>5507</v>
      </c>
      <c r="AV172" s="14" t="s">
        <v>72</v>
      </c>
      <c r="AW172" s="14" t="s">
        <v>73</v>
      </c>
      <c r="AX172" s="14" t="s">
        <v>74</v>
      </c>
    </row>
    <row r="173" spans="1:50" ht="15" customHeight="1" x14ac:dyDescent="0.4">
      <c r="A173" s="12">
        <v>3803</v>
      </c>
      <c r="B173" s="21" t="s">
        <v>5508</v>
      </c>
      <c r="C173" s="13" t="s">
        <v>5509</v>
      </c>
      <c r="D173" s="25" t="s">
        <v>5509</v>
      </c>
      <c r="E173" s="13"/>
      <c r="F173" s="41"/>
      <c r="G173" s="65" t="s">
        <v>8185</v>
      </c>
      <c r="H173" s="14" t="s">
        <v>49</v>
      </c>
      <c r="I173" s="15">
        <v>44777</v>
      </c>
      <c r="J173" t="s">
        <v>2719</v>
      </c>
      <c r="K173" t="s">
        <v>51</v>
      </c>
      <c r="L173" t="s">
        <v>52</v>
      </c>
      <c r="M173" t="s">
        <v>53</v>
      </c>
      <c r="N173" t="s">
        <v>651</v>
      </c>
      <c r="O173" t="s">
        <v>5472</v>
      </c>
      <c r="P173" t="s">
        <v>56</v>
      </c>
      <c r="Q173" s="21" t="s">
        <v>5473</v>
      </c>
      <c r="R173" s="21"/>
      <c r="S173" t="s">
        <v>5510</v>
      </c>
      <c r="T173" t="s">
        <v>5511</v>
      </c>
      <c r="W173" t="s">
        <v>1758</v>
      </c>
      <c r="X173" t="s">
        <v>60</v>
      </c>
      <c r="Z173" s="15"/>
      <c r="AB173">
        <v>39.107911000000001</v>
      </c>
      <c r="AC173">
        <v>-96.604941999999994</v>
      </c>
      <c r="AD173" t="s">
        <v>5512</v>
      </c>
      <c r="AG173" t="s">
        <v>1715</v>
      </c>
      <c r="AH173" t="s">
        <v>63</v>
      </c>
      <c r="AI173" t="s">
        <v>5513</v>
      </c>
      <c r="AJ173">
        <v>194452</v>
      </c>
      <c r="AL173" t="s">
        <v>5514</v>
      </c>
      <c r="AM173" t="s">
        <v>5515</v>
      </c>
      <c r="AN173" t="s">
        <v>5516</v>
      </c>
      <c r="AO173" t="s">
        <v>68</v>
      </c>
      <c r="AQ173" t="s">
        <v>5517</v>
      </c>
      <c r="AR173" t="s">
        <v>5518</v>
      </c>
      <c r="AS173" t="s">
        <v>5519</v>
      </c>
      <c r="AV173" s="14" t="s">
        <v>72</v>
      </c>
      <c r="AW173" s="14" t="s">
        <v>73</v>
      </c>
      <c r="AX173" s="14" t="s">
        <v>74</v>
      </c>
    </row>
    <row r="174" spans="1:50" ht="15" customHeight="1" x14ac:dyDescent="0.4">
      <c r="A174" s="12">
        <v>3804</v>
      </c>
      <c r="B174" s="21" t="s">
        <v>5520</v>
      </c>
      <c r="C174" s="13" t="s">
        <v>5521</v>
      </c>
      <c r="D174" s="25" t="s">
        <v>5521</v>
      </c>
      <c r="E174" s="13"/>
      <c r="F174" s="41"/>
      <c r="G174" s="65" t="s">
        <v>8185</v>
      </c>
      <c r="H174" s="14" t="s">
        <v>1829</v>
      </c>
      <c r="I174" s="15">
        <v>44777</v>
      </c>
      <c r="J174" t="s">
        <v>2719</v>
      </c>
      <c r="K174" t="s">
        <v>51</v>
      </c>
      <c r="L174" t="s">
        <v>52</v>
      </c>
      <c r="M174" t="s">
        <v>53</v>
      </c>
      <c r="N174" t="s">
        <v>651</v>
      </c>
      <c r="O174" t="s">
        <v>5472</v>
      </c>
      <c r="P174" t="s">
        <v>56</v>
      </c>
      <c r="Q174" s="21" t="s">
        <v>5473</v>
      </c>
      <c r="R174" s="21"/>
      <c r="S174" t="s">
        <v>5522</v>
      </c>
      <c r="T174" t="s">
        <v>5523</v>
      </c>
      <c r="W174" t="s">
        <v>1758</v>
      </c>
      <c r="X174" t="s">
        <v>1832</v>
      </c>
      <c r="Z174" s="15"/>
      <c r="AB174">
        <v>39.107902000000003</v>
      </c>
      <c r="AC174">
        <v>-96.604707000000005</v>
      </c>
      <c r="AD174" t="s">
        <v>143</v>
      </c>
      <c r="AG174" t="s">
        <v>1715</v>
      </c>
      <c r="AH174" t="s">
        <v>63</v>
      </c>
      <c r="AI174" t="s">
        <v>5524</v>
      </c>
      <c r="AJ174">
        <v>194489</v>
      </c>
      <c r="AL174" t="s">
        <v>5525</v>
      </c>
      <c r="AM174" t="s">
        <v>5526</v>
      </c>
      <c r="AN174" t="s">
        <v>5527</v>
      </c>
      <c r="AO174" t="s">
        <v>68</v>
      </c>
      <c r="AQ174" t="s">
        <v>5528</v>
      </c>
      <c r="AR174" t="s">
        <v>5529</v>
      </c>
      <c r="AS174" t="s">
        <v>5530</v>
      </c>
      <c r="AV174" s="14" t="s">
        <v>72</v>
      </c>
      <c r="AW174" s="14" t="s">
        <v>73</v>
      </c>
      <c r="AX174" s="14" t="s">
        <v>74</v>
      </c>
    </row>
    <row r="175" spans="1:50" ht="15" customHeight="1" x14ac:dyDescent="0.4">
      <c r="A175" s="12">
        <v>3805</v>
      </c>
      <c r="B175" s="21" t="s">
        <v>5531</v>
      </c>
      <c r="C175" s="13" t="s">
        <v>5532</v>
      </c>
      <c r="D175" s="25" t="s">
        <v>5532</v>
      </c>
      <c r="E175" s="13"/>
      <c r="F175" s="41"/>
      <c r="G175" s="65" t="s">
        <v>8185</v>
      </c>
      <c r="H175" s="14" t="s">
        <v>49</v>
      </c>
      <c r="I175" s="15">
        <v>44777</v>
      </c>
      <c r="J175" t="s">
        <v>2719</v>
      </c>
      <c r="K175" t="s">
        <v>51</v>
      </c>
      <c r="L175" t="s">
        <v>52</v>
      </c>
      <c r="M175" t="s">
        <v>53</v>
      </c>
      <c r="N175" t="s">
        <v>651</v>
      </c>
      <c r="O175" t="s">
        <v>5472</v>
      </c>
      <c r="P175" t="s">
        <v>56</v>
      </c>
      <c r="Q175" s="21" t="s">
        <v>5473</v>
      </c>
      <c r="R175" s="21"/>
      <c r="S175" t="s">
        <v>5533</v>
      </c>
      <c r="T175" t="s">
        <v>5534</v>
      </c>
      <c r="X175" t="s">
        <v>60</v>
      </c>
      <c r="Z175" s="15"/>
      <c r="AB175">
        <v>39.107838999999998</v>
      </c>
      <c r="AC175">
        <v>-96.604185000000001</v>
      </c>
      <c r="AD175" t="s">
        <v>5535</v>
      </c>
      <c r="AG175" t="s">
        <v>1715</v>
      </c>
      <c r="AH175" t="s">
        <v>63</v>
      </c>
      <c r="AI175" t="s">
        <v>5536</v>
      </c>
      <c r="AJ175">
        <v>194455</v>
      </c>
      <c r="AL175" t="s">
        <v>5537</v>
      </c>
      <c r="AM175" t="s">
        <v>5538</v>
      </c>
      <c r="AN175" t="s">
        <v>5539</v>
      </c>
      <c r="AO175" t="s">
        <v>68</v>
      </c>
      <c r="AQ175" t="s">
        <v>5540</v>
      </c>
      <c r="AR175" t="s">
        <v>5541</v>
      </c>
      <c r="AS175" t="s">
        <v>5542</v>
      </c>
      <c r="AV175" s="14" t="s">
        <v>72</v>
      </c>
      <c r="AW175" s="14" t="s">
        <v>73</v>
      </c>
      <c r="AX175" s="14" t="s">
        <v>74</v>
      </c>
    </row>
    <row r="176" spans="1:50" ht="15" customHeight="1" x14ac:dyDescent="0.4">
      <c r="A176" s="12">
        <v>3806</v>
      </c>
      <c r="B176" s="21" t="s">
        <v>5543</v>
      </c>
      <c r="C176" s="13" t="s">
        <v>5544</v>
      </c>
      <c r="D176" s="25" t="s">
        <v>5544</v>
      </c>
      <c r="E176" s="13"/>
      <c r="F176" s="41"/>
      <c r="G176" s="65" t="s">
        <v>8185</v>
      </c>
      <c r="H176" s="14" t="s">
        <v>1829</v>
      </c>
      <c r="I176" s="15">
        <v>44777</v>
      </c>
      <c r="J176" t="s">
        <v>2719</v>
      </c>
      <c r="K176" t="s">
        <v>51</v>
      </c>
      <c r="L176" t="s">
        <v>52</v>
      </c>
      <c r="M176" t="s">
        <v>53</v>
      </c>
      <c r="N176" t="s">
        <v>651</v>
      </c>
      <c r="O176" t="s">
        <v>5472</v>
      </c>
      <c r="P176" t="s">
        <v>56</v>
      </c>
      <c r="Q176" s="21" t="s">
        <v>5473</v>
      </c>
      <c r="R176" s="21"/>
      <c r="S176" t="s">
        <v>5545</v>
      </c>
      <c r="T176" t="s">
        <v>5546</v>
      </c>
      <c r="W176" t="s">
        <v>1758</v>
      </c>
      <c r="X176" t="s">
        <v>1832</v>
      </c>
      <c r="Z176" s="15"/>
      <c r="AB176">
        <v>39.107810999999998</v>
      </c>
      <c r="AC176">
        <v>-96.603104000000002</v>
      </c>
      <c r="AD176" t="s">
        <v>1156</v>
      </c>
      <c r="AG176" t="s">
        <v>1715</v>
      </c>
      <c r="AH176" t="s">
        <v>63</v>
      </c>
      <c r="AI176" t="s">
        <v>5547</v>
      </c>
      <c r="AJ176">
        <v>194490</v>
      </c>
      <c r="AL176" t="s">
        <v>5548</v>
      </c>
      <c r="AM176" t="s">
        <v>5549</v>
      </c>
      <c r="AN176" t="s">
        <v>5550</v>
      </c>
      <c r="AO176" t="s">
        <v>68</v>
      </c>
      <c r="AQ176" t="s">
        <v>5551</v>
      </c>
      <c r="AR176" t="s">
        <v>5552</v>
      </c>
      <c r="AS176" t="s">
        <v>5553</v>
      </c>
      <c r="AV176" s="14" t="s">
        <v>72</v>
      </c>
      <c r="AW176" s="14" t="s">
        <v>73</v>
      </c>
      <c r="AX176" s="14" t="s">
        <v>74</v>
      </c>
    </row>
    <row r="177" spans="1:50" ht="15" customHeight="1" x14ac:dyDescent="0.4">
      <c r="A177" s="12">
        <v>3807</v>
      </c>
      <c r="B177" s="21" t="s">
        <v>5554</v>
      </c>
      <c r="C177" s="13" t="s">
        <v>5555</v>
      </c>
      <c r="D177" s="25" t="s">
        <v>5555</v>
      </c>
      <c r="E177" s="13"/>
      <c r="F177" s="41"/>
      <c r="G177" s="65" t="s">
        <v>8185</v>
      </c>
      <c r="H177" s="14" t="s">
        <v>1829</v>
      </c>
      <c r="I177" s="15">
        <v>44777</v>
      </c>
      <c r="J177" t="s">
        <v>2719</v>
      </c>
      <c r="K177" t="s">
        <v>51</v>
      </c>
      <c r="L177" t="s">
        <v>52</v>
      </c>
      <c r="M177" t="s">
        <v>53</v>
      </c>
      <c r="N177" t="s">
        <v>651</v>
      </c>
      <c r="O177" t="s">
        <v>5472</v>
      </c>
      <c r="P177" t="s">
        <v>56</v>
      </c>
      <c r="Q177" s="21" t="s">
        <v>5473</v>
      </c>
      <c r="R177" s="21"/>
      <c r="S177" t="s">
        <v>5556</v>
      </c>
      <c r="T177" t="s">
        <v>5557</v>
      </c>
      <c r="W177" t="s">
        <v>1758</v>
      </c>
      <c r="X177" t="s">
        <v>1832</v>
      </c>
      <c r="Z177" s="15"/>
      <c r="AB177">
        <v>39.107945999999998</v>
      </c>
      <c r="AC177">
        <v>-96.602301999999995</v>
      </c>
      <c r="AD177" t="s">
        <v>5558</v>
      </c>
      <c r="AG177" t="s">
        <v>1715</v>
      </c>
      <c r="AH177" t="s">
        <v>63</v>
      </c>
      <c r="AI177" t="s">
        <v>5559</v>
      </c>
      <c r="AJ177">
        <v>194491</v>
      </c>
      <c r="AL177" t="s">
        <v>5560</v>
      </c>
      <c r="AM177" t="s">
        <v>5561</v>
      </c>
      <c r="AN177" t="s">
        <v>5562</v>
      </c>
      <c r="AO177" t="s">
        <v>68</v>
      </c>
      <c r="AQ177" t="s">
        <v>5563</v>
      </c>
      <c r="AR177" t="s">
        <v>5564</v>
      </c>
      <c r="AS177" t="s">
        <v>5565</v>
      </c>
      <c r="AV177" s="14" t="s">
        <v>72</v>
      </c>
      <c r="AW177" s="14" t="s">
        <v>73</v>
      </c>
      <c r="AX177" s="14" t="s">
        <v>74</v>
      </c>
    </row>
    <row r="178" spans="1:50" ht="15" customHeight="1" x14ac:dyDescent="0.4">
      <c r="A178" s="12">
        <v>3808</v>
      </c>
      <c r="B178" s="21" t="s">
        <v>5566</v>
      </c>
      <c r="C178" s="13" t="s">
        <v>5567</v>
      </c>
      <c r="D178" s="25" t="s">
        <v>5567</v>
      </c>
      <c r="E178" s="13"/>
      <c r="F178" s="41"/>
      <c r="G178" s="65" t="s">
        <v>8185</v>
      </c>
      <c r="H178" s="14" t="s">
        <v>49</v>
      </c>
      <c r="I178" s="15">
        <v>44777</v>
      </c>
      <c r="J178" t="s">
        <v>2719</v>
      </c>
      <c r="K178" t="s">
        <v>51</v>
      </c>
      <c r="L178" t="s">
        <v>52</v>
      </c>
      <c r="M178" t="s">
        <v>53</v>
      </c>
      <c r="N178" t="s">
        <v>651</v>
      </c>
      <c r="O178" t="s">
        <v>5472</v>
      </c>
      <c r="P178" t="s">
        <v>56</v>
      </c>
      <c r="Q178" s="21" t="s">
        <v>5473</v>
      </c>
      <c r="R178" s="21"/>
      <c r="S178" t="s">
        <v>5568</v>
      </c>
      <c r="T178" t="s">
        <v>5569</v>
      </c>
      <c r="W178" t="s">
        <v>1758</v>
      </c>
      <c r="X178" t="s">
        <v>60</v>
      </c>
      <c r="Z178" s="15"/>
      <c r="AB178">
        <v>39.108091999999999</v>
      </c>
      <c r="AC178">
        <v>-96.602193999999997</v>
      </c>
      <c r="AD178" t="s">
        <v>1134</v>
      </c>
      <c r="AG178" t="s">
        <v>1715</v>
      </c>
      <c r="AH178" t="s">
        <v>63</v>
      </c>
      <c r="AI178" t="s">
        <v>5570</v>
      </c>
      <c r="AJ178">
        <v>194451</v>
      </c>
      <c r="AL178" t="s">
        <v>5571</v>
      </c>
      <c r="AM178" t="s">
        <v>5572</v>
      </c>
      <c r="AN178" t="s">
        <v>5573</v>
      </c>
      <c r="AO178" t="s">
        <v>68</v>
      </c>
      <c r="AQ178" t="s">
        <v>5574</v>
      </c>
      <c r="AR178" t="s">
        <v>5575</v>
      </c>
      <c r="AS178" t="s">
        <v>5576</v>
      </c>
      <c r="AV178" s="14" t="s">
        <v>72</v>
      </c>
      <c r="AW178" s="14" t="s">
        <v>73</v>
      </c>
      <c r="AX178" s="14" t="s">
        <v>74</v>
      </c>
    </row>
    <row r="179" spans="1:50" ht="15" customHeight="1" x14ac:dyDescent="0.4">
      <c r="A179" s="12">
        <v>3809</v>
      </c>
      <c r="B179" s="21" t="s">
        <v>5577</v>
      </c>
      <c r="C179" s="13" t="s">
        <v>5578</v>
      </c>
      <c r="D179" s="25" t="s">
        <v>5578</v>
      </c>
      <c r="E179" s="13"/>
      <c r="F179" s="41"/>
      <c r="G179" s="65" t="s">
        <v>8178</v>
      </c>
      <c r="H179" s="14" t="s">
        <v>1829</v>
      </c>
      <c r="I179" s="15">
        <v>44777</v>
      </c>
      <c r="J179" t="s">
        <v>2719</v>
      </c>
      <c r="K179" t="s">
        <v>51</v>
      </c>
      <c r="L179" t="s">
        <v>52</v>
      </c>
      <c r="M179" t="s">
        <v>53</v>
      </c>
      <c r="N179" t="s">
        <v>651</v>
      </c>
      <c r="O179" t="s">
        <v>5472</v>
      </c>
      <c r="P179" t="s">
        <v>56</v>
      </c>
      <c r="Q179" s="21" t="s">
        <v>5473</v>
      </c>
      <c r="R179" s="21"/>
      <c r="S179" t="s">
        <v>5579</v>
      </c>
      <c r="T179" t="s">
        <v>5580</v>
      </c>
      <c r="W179" t="s">
        <v>1758</v>
      </c>
      <c r="X179" t="s">
        <v>1832</v>
      </c>
      <c r="Z179" s="15"/>
      <c r="AB179">
        <v>39.106907</v>
      </c>
      <c r="AC179">
        <v>-96.603869000000003</v>
      </c>
      <c r="AD179" t="s">
        <v>5581</v>
      </c>
      <c r="AG179" t="s">
        <v>1715</v>
      </c>
      <c r="AH179" t="s">
        <v>63</v>
      </c>
      <c r="AI179" t="s">
        <v>5582</v>
      </c>
      <c r="AJ179">
        <v>194488</v>
      </c>
      <c r="AL179" t="s">
        <v>5583</v>
      </c>
      <c r="AM179" t="s">
        <v>5584</v>
      </c>
      <c r="AN179" t="s">
        <v>5585</v>
      </c>
      <c r="AO179" t="s">
        <v>68</v>
      </c>
      <c r="AQ179" t="s">
        <v>5586</v>
      </c>
      <c r="AR179" t="s">
        <v>5587</v>
      </c>
      <c r="AS179" t="s">
        <v>5588</v>
      </c>
      <c r="AV179" s="14" t="s">
        <v>72</v>
      </c>
      <c r="AW179" s="14" t="s">
        <v>73</v>
      </c>
      <c r="AX179" s="14" t="s">
        <v>74</v>
      </c>
    </row>
    <row r="180" spans="1:50" ht="15" customHeight="1" x14ac:dyDescent="0.4">
      <c r="A180" s="12">
        <v>3778</v>
      </c>
      <c r="B180" s="21" t="s">
        <v>5216</v>
      </c>
      <c r="C180" s="13" t="s">
        <v>5217</v>
      </c>
      <c r="D180" s="25" t="s">
        <v>5217</v>
      </c>
      <c r="E180" s="13"/>
      <c r="F180" s="41"/>
      <c r="G180" s="65" t="s">
        <v>8178</v>
      </c>
      <c r="H180" s="14" t="s">
        <v>1829</v>
      </c>
      <c r="I180" s="15">
        <v>44775</v>
      </c>
      <c r="J180" t="s">
        <v>2719</v>
      </c>
      <c r="K180" t="s">
        <v>51</v>
      </c>
      <c r="L180" t="s">
        <v>52</v>
      </c>
      <c r="M180" t="s">
        <v>53</v>
      </c>
      <c r="N180" t="s">
        <v>651</v>
      </c>
      <c r="O180" t="s">
        <v>1708</v>
      </c>
      <c r="P180" t="s">
        <v>56</v>
      </c>
      <c r="Q180" s="21" t="s">
        <v>5218</v>
      </c>
      <c r="R180" s="21"/>
      <c r="S180" t="s">
        <v>5219</v>
      </c>
      <c r="T180" t="s">
        <v>5220</v>
      </c>
      <c r="W180" t="s">
        <v>1758</v>
      </c>
      <c r="X180" t="s">
        <v>1832</v>
      </c>
      <c r="Z180" s="15"/>
      <c r="AB180">
        <v>38.980761999999999</v>
      </c>
      <c r="AC180">
        <v>-94.789191000000002</v>
      </c>
      <c r="AD180" t="s">
        <v>5221</v>
      </c>
      <c r="AG180" t="s">
        <v>1715</v>
      </c>
      <c r="AH180" t="s">
        <v>63</v>
      </c>
      <c r="AI180" t="s">
        <v>5222</v>
      </c>
      <c r="AJ180">
        <v>194534</v>
      </c>
      <c r="AL180" t="s">
        <v>5223</v>
      </c>
      <c r="AM180" t="s">
        <v>5224</v>
      </c>
      <c r="AN180" t="s">
        <v>5225</v>
      </c>
      <c r="AO180" t="s">
        <v>68</v>
      </c>
      <c r="AQ180" t="s">
        <v>5226</v>
      </c>
      <c r="AR180" t="s">
        <v>5227</v>
      </c>
      <c r="AS180" t="s">
        <v>5228</v>
      </c>
      <c r="AV180" s="14" t="s">
        <v>72</v>
      </c>
      <c r="AW180" s="14" t="s">
        <v>73</v>
      </c>
      <c r="AX180" s="14" t="s">
        <v>74</v>
      </c>
    </row>
    <row r="181" spans="1:50" ht="15" customHeight="1" x14ac:dyDescent="0.4">
      <c r="A181" s="12">
        <v>3779</v>
      </c>
      <c r="B181" s="21" t="s">
        <v>5229</v>
      </c>
      <c r="C181" s="13" t="s">
        <v>5230</v>
      </c>
      <c r="D181" s="25" t="s">
        <v>5230</v>
      </c>
      <c r="E181" s="13"/>
      <c r="F181" s="41"/>
      <c r="G181" s="65" t="s">
        <v>8185</v>
      </c>
      <c r="H181" s="14" t="s">
        <v>49</v>
      </c>
      <c r="I181" s="15">
        <v>44775</v>
      </c>
      <c r="J181" t="s">
        <v>2719</v>
      </c>
      <c r="K181" t="s">
        <v>51</v>
      </c>
      <c r="L181" t="s">
        <v>52</v>
      </c>
      <c r="M181" t="s">
        <v>53</v>
      </c>
      <c r="N181" t="s">
        <v>651</v>
      </c>
      <c r="O181" t="s">
        <v>1708</v>
      </c>
      <c r="P181" t="s">
        <v>56</v>
      </c>
      <c r="Q181" s="21" t="s">
        <v>5218</v>
      </c>
      <c r="R181" s="21"/>
      <c r="S181" t="s">
        <v>5231</v>
      </c>
      <c r="T181" t="s">
        <v>5232</v>
      </c>
      <c r="X181" t="s">
        <v>60</v>
      </c>
      <c r="Z181" s="15"/>
      <c r="AB181">
        <v>38.980803999999999</v>
      </c>
      <c r="AC181">
        <v>-94.789401999999995</v>
      </c>
      <c r="AD181" t="s">
        <v>5233</v>
      </c>
      <c r="AG181" t="s">
        <v>1715</v>
      </c>
      <c r="AH181" t="s">
        <v>63</v>
      </c>
      <c r="AI181" t="s">
        <v>5234</v>
      </c>
      <c r="AJ181">
        <v>194457</v>
      </c>
      <c r="AL181" t="s">
        <v>5235</v>
      </c>
      <c r="AM181" t="s">
        <v>5236</v>
      </c>
      <c r="AN181" t="s">
        <v>5237</v>
      </c>
      <c r="AO181" t="s">
        <v>68</v>
      </c>
      <c r="AQ181" t="s">
        <v>5238</v>
      </c>
      <c r="AR181" t="s">
        <v>5239</v>
      </c>
      <c r="AS181" t="s">
        <v>5240</v>
      </c>
      <c r="AV181" s="14" t="s">
        <v>72</v>
      </c>
      <c r="AW181" s="14" t="s">
        <v>73</v>
      </c>
      <c r="AX181" s="14" t="s">
        <v>74</v>
      </c>
    </row>
    <row r="182" spans="1:50" ht="15" customHeight="1" x14ac:dyDescent="0.4">
      <c r="A182" s="12">
        <v>3780</v>
      </c>
      <c r="B182" s="21" t="s">
        <v>5241</v>
      </c>
      <c r="C182" s="13" t="s">
        <v>5242</v>
      </c>
      <c r="D182" s="25" t="s">
        <v>5242</v>
      </c>
      <c r="E182" s="13"/>
      <c r="F182" s="41"/>
      <c r="G182" s="65" t="s">
        <v>8178</v>
      </c>
      <c r="H182" s="14" t="s">
        <v>1829</v>
      </c>
      <c r="I182" s="15">
        <v>44775</v>
      </c>
      <c r="J182" t="s">
        <v>2719</v>
      </c>
      <c r="K182" t="s">
        <v>51</v>
      </c>
      <c r="L182" t="s">
        <v>52</v>
      </c>
      <c r="M182" t="s">
        <v>53</v>
      </c>
      <c r="N182" t="s">
        <v>651</v>
      </c>
      <c r="O182" t="s">
        <v>1708</v>
      </c>
      <c r="P182" t="s">
        <v>56</v>
      </c>
      <c r="Q182" s="21" t="s">
        <v>5218</v>
      </c>
      <c r="R182" s="21"/>
      <c r="S182" t="s">
        <v>5243</v>
      </c>
      <c r="T182" t="s">
        <v>5244</v>
      </c>
      <c r="X182" t="s">
        <v>1832</v>
      </c>
      <c r="Z182" s="15"/>
      <c r="AB182">
        <v>38.981130999999998</v>
      </c>
      <c r="AC182">
        <v>-94.790356000000003</v>
      </c>
      <c r="AD182" t="s">
        <v>5245</v>
      </c>
      <c r="AG182" t="s">
        <v>1715</v>
      </c>
      <c r="AH182" t="s">
        <v>63</v>
      </c>
      <c r="AI182" t="s">
        <v>5246</v>
      </c>
      <c r="AJ182">
        <v>194535</v>
      </c>
      <c r="AL182" t="s">
        <v>5247</v>
      </c>
      <c r="AM182" t="s">
        <v>5248</v>
      </c>
      <c r="AN182" t="s">
        <v>5249</v>
      </c>
      <c r="AO182" t="s">
        <v>68</v>
      </c>
      <c r="AQ182" t="s">
        <v>5250</v>
      </c>
      <c r="AR182" t="s">
        <v>5251</v>
      </c>
      <c r="AS182" t="s">
        <v>5252</v>
      </c>
      <c r="AV182" s="14" t="s">
        <v>72</v>
      </c>
      <c r="AW182" s="14" t="s">
        <v>73</v>
      </c>
      <c r="AX182" s="14" t="s">
        <v>74</v>
      </c>
    </row>
    <row r="183" spans="1:50" ht="15" customHeight="1" x14ac:dyDescent="0.4">
      <c r="A183" s="12">
        <v>3781</v>
      </c>
      <c r="B183" s="21" t="s">
        <v>5253</v>
      </c>
      <c r="C183" s="13" t="s">
        <v>5254</v>
      </c>
      <c r="D183" s="25" t="s">
        <v>5254</v>
      </c>
      <c r="E183" s="13"/>
      <c r="F183" s="41"/>
      <c r="G183" s="65" t="s">
        <v>8185</v>
      </c>
      <c r="H183" s="14" t="s">
        <v>49</v>
      </c>
      <c r="I183" s="15">
        <v>44775</v>
      </c>
      <c r="J183" t="s">
        <v>2719</v>
      </c>
      <c r="K183" t="s">
        <v>51</v>
      </c>
      <c r="L183" t="s">
        <v>52</v>
      </c>
      <c r="M183" t="s">
        <v>53</v>
      </c>
      <c r="N183" t="s">
        <v>651</v>
      </c>
      <c r="O183" t="s">
        <v>1708</v>
      </c>
      <c r="P183" t="s">
        <v>56</v>
      </c>
      <c r="Q183" s="21" t="s">
        <v>5218</v>
      </c>
      <c r="R183" s="21"/>
      <c r="S183" t="s">
        <v>5255</v>
      </c>
      <c r="T183" t="s">
        <v>5256</v>
      </c>
      <c r="X183" t="s">
        <v>60</v>
      </c>
      <c r="Z183" s="15"/>
      <c r="AB183">
        <v>38.981180999999999</v>
      </c>
      <c r="AC183">
        <v>-94.790358999999995</v>
      </c>
      <c r="AD183" t="s">
        <v>5257</v>
      </c>
      <c r="AG183" t="s">
        <v>1715</v>
      </c>
      <c r="AH183" t="s">
        <v>63</v>
      </c>
      <c r="AI183" t="s">
        <v>5258</v>
      </c>
      <c r="AJ183">
        <v>192652</v>
      </c>
      <c r="AL183" t="s">
        <v>5259</v>
      </c>
      <c r="AM183" t="s">
        <v>5260</v>
      </c>
      <c r="AN183" t="s">
        <v>5261</v>
      </c>
      <c r="AO183" t="s">
        <v>68</v>
      </c>
      <c r="AQ183" t="s">
        <v>5262</v>
      </c>
      <c r="AR183" t="s">
        <v>5263</v>
      </c>
      <c r="AS183" t="s">
        <v>5264</v>
      </c>
      <c r="AV183" s="14" t="s">
        <v>72</v>
      </c>
      <c r="AW183" s="14" t="s">
        <v>73</v>
      </c>
      <c r="AX183" s="14" t="s">
        <v>74</v>
      </c>
    </row>
    <row r="184" spans="1:50" ht="15" customHeight="1" x14ac:dyDescent="0.4">
      <c r="A184" s="12">
        <v>3782</v>
      </c>
      <c r="B184" s="21" t="s">
        <v>5265</v>
      </c>
      <c r="C184" s="13" t="s">
        <v>5266</v>
      </c>
      <c r="D184" s="25" t="s">
        <v>5266</v>
      </c>
      <c r="E184" s="13"/>
      <c r="F184" s="41"/>
      <c r="G184" s="65" t="s">
        <v>8185</v>
      </c>
      <c r="H184" s="14" t="s">
        <v>1752</v>
      </c>
      <c r="I184" s="15">
        <v>44775</v>
      </c>
      <c r="J184" t="s">
        <v>2719</v>
      </c>
      <c r="K184" t="s">
        <v>51</v>
      </c>
      <c r="L184" t="s">
        <v>52</v>
      </c>
      <c r="M184" t="s">
        <v>53</v>
      </c>
      <c r="N184" t="s">
        <v>651</v>
      </c>
      <c r="O184" t="s">
        <v>1708</v>
      </c>
      <c r="P184" t="s">
        <v>56</v>
      </c>
      <c r="Q184" s="21" t="s">
        <v>5218</v>
      </c>
      <c r="R184" s="21"/>
      <c r="S184" t="s">
        <v>5267</v>
      </c>
      <c r="T184" t="s">
        <v>5268</v>
      </c>
      <c r="W184" t="s">
        <v>2321</v>
      </c>
      <c r="X184" t="s">
        <v>1759</v>
      </c>
      <c r="Z184" s="15"/>
      <c r="AB184">
        <v>38.981382000000004</v>
      </c>
      <c r="AC184">
        <v>-94.791557999999995</v>
      </c>
      <c r="AD184" t="s">
        <v>5269</v>
      </c>
      <c r="AG184" t="s">
        <v>1715</v>
      </c>
      <c r="AH184" t="s">
        <v>63</v>
      </c>
      <c r="AI184" t="s">
        <v>5270</v>
      </c>
      <c r="AJ184">
        <v>193523</v>
      </c>
      <c r="AL184" t="s">
        <v>5271</v>
      </c>
      <c r="AM184" t="s">
        <v>5272</v>
      </c>
      <c r="AN184" t="s">
        <v>5273</v>
      </c>
      <c r="AO184" t="s">
        <v>68</v>
      </c>
      <c r="AQ184" t="s">
        <v>5274</v>
      </c>
      <c r="AR184" t="s">
        <v>5275</v>
      </c>
      <c r="AS184" t="s">
        <v>5276</v>
      </c>
      <c r="AV184" s="14" t="s">
        <v>72</v>
      </c>
      <c r="AW184" s="14" t="s">
        <v>73</v>
      </c>
      <c r="AX184" s="14" t="s">
        <v>1768</v>
      </c>
    </row>
    <row r="185" spans="1:50" ht="15" customHeight="1" x14ac:dyDescent="0.4">
      <c r="A185" s="12">
        <v>3783</v>
      </c>
      <c r="B185" s="21" t="s">
        <v>5277</v>
      </c>
      <c r="C185" s="13" t="s">
        <v>5278</v>
      </c>
      <c r="D185" s="25" t="s">
        <v>5278</v>
      </c>
      <c r="E185" s="13"/>
      <c r="F185" s="41"/>
      <c r="G185" s="65" t="s">
        <v>8185</v>
      </c>
      <c r="H185" s="14" t="s">
        <v>49</v>
      </c>
      <c r="I185" s="15">
        <v>44775</v>
      </c>
      <c r="J185" t="s">
        <v>2719</v>
      </c>
      <c r="K185" t="s">
        <v>51</v>
      </c>
      <c r="L185" t="s">
        <v>52</v>
      </c>
      <c r="M185" t="s">
        <v>53</v>
      </c>
      <c r="N185" t="s">
        <v>651</v>
      </c>
      <c r="O185" t="s">
        <v>1708</v>
      </c>
      <c r="P185" t="s">
        <v>56</v>
      </c>
      <c r="Q185" s="21" t="s">
        <v>5218</v>
      </c>
      <c r="R185" s="21"/>
      <c r="S185" t="s">
        <v>5279</v>
      </c>
      <c r="T185" t="s">
        <v>5280</v>
      </c>
      <c r="X185" t="s">
        <v>60</v>
      </c>
      <c r="Z185" s="15"/>
      <c r="AB185">
        <v>38.981467000000002</v>
      </c>
      <c r="AC185">
        <v>-94.791895999999994</v>
      </c>
      <c r="AD185" t="s">
        <v>5281</v>
      </c>
      <c r="AG185" t="s">
        <v>1715</v>
      </c>
      <c r="AH185" t="s">
        <v>63</v>
      </c>
      <c r="AI185" t="s">
        <v>5282</v>
      </c>
      <c r="AJ185">
        <v>192645</v>
      </c>
      <c r="AL185" t="s">
        <v>5283</v>
      </c>
      <c r="AM185" t="s">
        <v>5284</v>
      </c>
      <c r="AN185" t="s">
        <v>5285</v>
      </c>
      <c r="AO185" t="s">
        <v>68</v>
      </c>
      <c r="AQ185" t="s">
        <v>5286</v>
      </c>
      <c r="AR185" t="s">
        <v>5287</v>
      </c>
      <c r="AS185" t="s">
        <v>5288</v>
      </c>
      <c r="AV185" s="14" t="s">
        <v>72</v>
      </c>
      <c r="AW185" s="14" t="s">
        <v>73</v>
      </c>
      <c r="AX185" s="14" t="s">
        <v>74</v>
      </c>
    </row>
    <row r="186" spans="1:50" ht="15" customHeight="1" x14ac:dyDescent="0.4">
      <c r="A186" s="12">
        <v>3784</v>
      </c>
      <c r="B186" s="21" t="s">
        <v>5289</v>
      </c>
      <c r="C186" s="13" t="s">
        <v>5290</v>
      </c>
      <c r="D186" s="25" t="s">
        <v>5290</v>
      </c>
      <c r="E186" s="13"/>
      <c r="F186" s="41"/>
      <c r="G186" s="65" t="s">
        <v>8185</v>
      </c>
      <c r="H186" s="14" t="s">
        <v>1829</v>
      </c>
      <c r="I186" s="15">
        <v>44775</v>
      </c>
      <c r="J186" t="s">
        <v>2719</v>
      </c>
      <c r="K186" t="s">
        <v>51</v>
      </c>
      <c r="L186" t="s">
        <v>52</v>
      </c>
      <c r="M186" t="s">
        <v>53</v>
      </c>
      <c r="N186" t="s">
        <v>651</v>
      </c>
      <c r="O186" t="s">
        <v>1708</v>
      </c>
      <c r="P186" t="s">
        <v>56</v>
      </c>
      <c r="Q186" s="21" t="s">
        <v>5218</v>
      </c>
      <c r="R186" s="21"/>
      <c r="S186" t="s">
        <v>5291</v>
      </c>
      <c r="T186" t="s">
        <v>5292</v>
      </c>
      <c r="W186" t="s">
        <v>1758</v>
      </c>
      <c r="X186" t="s">
        <v>1832</v>
      </c>
      <c r="Z186" s="15"/>
      <c r="AB186">
        <v>38.981538999999998</v>
      </c>
      <c r="AC186">
        <v>-94.792304999999999</v>
      </c>
      <c r="AD186" t="s">
        <v>5293</v>
      </c>
      <c r="AG186" t="s">
        <v>1715</v>
      </c>
      <c r="AH186" t="s">
        <v>63</v>
      </c>
      <c r="AI186" t="s">
        <v>5294</v>
      </c>
      <c r="AJ186">
        <v>194536</v>
      </c>
      <c r="AL186" t="s">
        <v>5295</v>
      </c>
      <c r="AM186" t="s">
        <v>5296</v>
      </c>
      <c r="AN186" t="s">
        <v>5297</v>
      </c>
      <c r="AO186" t="s">
        <v>68</v>
      </c>
      <c r="AQ186" t="s">
        <v>5298</v>
      </c>
      <c r="AR186" t="s">
        <v>5299</v>
      </c>
      <c r="AS186" t="s">
        <v>5300</v>
      </c>
      <c r="AV186" s="14" t="s">
        <v>72</v>
      </c>
      <c r="AW186" s="14" t="s">
        <v>73</v>
      </c>
      <c r="AX186" s="14" t="s">
        <v>74</v>
      </c>
    </row>
    <row r="187" spans="1:50" ht="15" customHeight="1" x14ac:dyDescent="0.4">
      <c r="A187" s="12">
        <v>3785</v>
      </c>
      <c r="B187" s="21" t="s">
        <v>5301</v>
      </c>
      <c r="C187" s="13" t="s">
        <v>5302</v>
      </c>
      <c r="D187" s="25" t="s">
        <v>5302</v>
      </c>
      <c r="E187" s="13"/>
      <c r="F187" s="41"/>
      <c r="G187" s="65" t="s">
        <v>8185</v>
      </c>
      <c r="H187" s="14" t="s">
        <v>49</v>
      </c>
      <c r="I187" s="15">
        <v>44775</v>
      </c>
      <c r="J187" t="s">
        <v>2719</v>
      </c>
      <c r="K187" t="s">
        <v>51</v>
      </c>
      <c r="L187" t="s">
        <v>52</v>
      </c>
      <c r="M187" t="s">
        <v>53</v>
      </c>
      <c r="N187" t="s">
        <v>651</v>
      </c>
      <c r="O187" t="s">
        <v>1708</v>
      </c>
      <c r="P187" t="s">
        <v>56</v>
      </c>
      <c r="Q187" s="21" t="s">
        <v>5218</v>
      </c>
      <c r="R187" s="21"/>
      <c r="S187" t="s">
        <v>5303</v>
      </c>
      <c r="T187" t="s">
        <v>5304</v>
      </c>
      <c r="X187" t="s">
        <v>60</v>
      </c>
      <c r="Z187" s="15"/>
      <c r="AB187">
        <v>38.981904</v>
      </c>
      <c r="AC187">
        <v>-94.793730999999994</v>
      </c>
      <c r="AD187" t="s">
        <v>5305</v>
      </c>
      <c r="AG187" t="s">
        <v>1715</v>
      </c>
      <c r="AH187" t="s">
        <v>63</v>
      </c>
      <c r="AI187" t="s">
        <v>5306</v>
      </c>
      <c r="AJ187">
        <v>192651</v>
      </c>
      <c r="AL187" t="s">
        <v>5307</v>
      </c>
      <c r="AM187" t="s">
        <v>5308</v>
      </c>
      <c r="AN187" t="s">
        <v>5309</v>
      </c>
      <c r="AO187" t="s">
        <v>68</v>
      </c>
      <c r="AQ187" t="s">
        <v>5310</v>
      </c>
      <c r="AR187" t="s">
        <v>5311</v>
      </c>
      <c r="AS187" t="s">
        <v>5312</v>
      </c>
      <c r="AV187" s="14" t="s">
        <v>72</v>
      </c>
      <c r="AW187" s="14" t="s">
        <v>73</v>
      </c>
      <c r="AX187" s="14" t="s">
        <v>74</v>
      </c>
    </row>
    <row r="188" spans="1:50" ht="15" customHeight="1" x14ac:dyDescent="0.4">
      <c r="A188" s="12">
        <v>3786</v>
      </c>
      <c r="B188" s="21" t="s">
        <v>5313</v>
      </c>
      <c r="C188" s="13" t="s">
        <v>5314</v>
      </c>
      <c r="D188" s="25" t="s">
        <v>5314</v>
      </c>
      <c r="E188" s="13"/>
      <c r="F188" s="41"/>
      <c r="G188" s="65" t="s">
        <v>8178</v>
      </c>
      <c r="H188" s="14" t="s">
        <v>1829</v>
      </c>
      <c r="I188" s="15">
        <v>44775</v>
      </c>
      <c r="J188" t="s">
        <v>2719</v>
      </c>
      <c r="K188" t="s">
        <v>51</v>
      </c>
      <c r="L188" t="s">
        <v>52</v>
      </c>
      <c r="M188" t="s">
        <v>53</v>
      </c>
      <c r="N188" t="s">
        <v>651</v>
      </c>
      <c r="O188" t="s">
        <v>1708</v>
      </c>
      <c r="P188" t="s">
        <v>56</v>
      </c>
      <c r="Q188" s="21" t="s">
        <v>5218</v>
      </c>
      <c r="R188" s="21"/>
      <c r="S188" t="s">
        <v>5315</v>
      </c>
      <c r="T188" t="s">
        <v>5316</v>
      </c>
      <c r="W188" t="s">
        <v>1758</v>
      </c>
      <c r="X188" t="s">
        <v>1832</v>
      </c>
      <c r="Z188" s="15"/>
      <c r="AB188">
        <v>38.981892999999999</v>
      </c>
      <c r="AC188">
        <v>-94.793893999999995</v>
      </c>
      <c r="AD188" t="s">
        <v>5305</v>
      </c>
      <c r="AG188" t="s">
        <v>1715</v>
      </c>
      <c r="AH188" t="s">
        <v>63</v>
      </c>
      <c r="AI188" t="s">
        <v>5317</v>
      </c>
      <c r="AJ188">
        <v>194537</v>
      </c>
      <c r="AL188" t="s">
        <v>5318</v>
      </c>
      <c r="AM188" t="s">
        <v>5319</v>
      </c>
      <c r="AN188" t="s">
        <v>5320</v>
      </c>
      <c r="AO188" t="s">
        <v>68</v>
      </c>
      <c r="AQ188" t="s">
        <v>5321</v>
      </c>
      <c r="AR188" t="s">
        <v>5322</v>
      </c>
      <c r="AS188" t="s">
        <v>5323</v>
      </c>
      <c r="AV188" s="14" t="s">
        <v>72</v>
      </c>
      <c r="AW188" s="14" t="s">
        <v>73</v>
      </c>
      <c r="AX188" s="14" t="s">
        <v>74</v>
      </c>
    </row>
    <row r="189" spans="1:50" ht="15" customHeight="1" x14ac:dyDescent="0.4">
      <c r="A189" s="12">
        <v>3787</v>
      </c>
      <c r="B189" s="21" t="s">
        <v>5324</v>
      </c>
      <c r="C189" s="13" t="s">
        <v>5325</v>
      </c>
      <c r="D189" s="25" t="s">
        <v>5325</v>
      </c>
      <c r="E189" s="13"/>
      <c r="F189" s="41"/>
      <c r="G189" s="65" t="s">
        <v>8185</v>
      </c>
      <c r="H189" s="14" t="s">
        <v>49</v>
      </c>
      <c r="I189" s="15">
        <v>44775</v>
      </c>
      <c r="J189" t="s">
        <v>2719</v>
      </c>
      <c r="K189" t="s">
        <v>51</v>
      </c>
      <c r="L189" t="s">
        <v>52</v>
      </c>
      <c r="M189" t="s">
        <v>53</v>
      </c>
      <c r="N189" t="s">
        <v>651</v>
      </c>
      <c r="O189" t="s">
        <v>1708</v>
      </c>
      <c r="P189" t="s">
        <v>56</v>
      </c>
      <c r="Q189" s="21" t="s">
        <v>5218</v>
      </c>
      <c r="R189" s="21"/>
      <c r="S189" t="s">
        <v>5326</v>
      </c>
      <c r="T189" t="s">
        <v>5327</v>
      </c>
      <c r="W189" t="s">
        <v>1758</v>
      </c>
      <c r="X189" t="s">
        <v>60</v>
      </c>
      <c r="Z189" s="15"/>
      <c r="AB189">
        <v>38.981943999999999</v>
      </c>
      <c r="AC189">
        <v>-94.794163999999995</v>
      </c>
      <c r="AD189" t="s">
        <v>5305</v>
      </c>
      <c r="AG189" t="s">
        <v>1715</v>
      </c>
      <c r="AH189" t="s">
        <v>63</v>
      </c>
      <c r="AI189" t="s">
        <v>5328</v>
      </c>
      <c r="AJ189">
        <v>192660</v>
      </c>
      <c r="AL189" t="s">
        <v>5329</v>
      </c>
      <c r="AM189" t="s">
        <v>5330</v>
      </c>
      <c r="AN189" t="s">
        <v>5331</v>
      </c>
      <c r="AO189" t="s">
        <v>68</v>
      </c>
      <c r="AQ189" t="s">
        <v>5332</v>
      </c>
      <c r="AR189" t="s">
        <v>5333</v>
      </c>
      <c r="AS189" t="s">
        <v>5334</v>
      </c>
      <c r="AV189" s="14" t="s">
        <v>72</v>
      </c>
      <c r="AW189" s="14" t="s">
        <v>73</v>
      </c>
      <c r="AX189" s="14" t="s">
        <v>74</v>
      </c>
    </row>
    <row r="190" spans="1:50" ht="15" customHeight="1" x14ac:dyDescent="0.4">
      <c r="A190" s="12">
        <v>3788</v>
      </c>
      <c r="B190" s="21" t="s">
        <v>5335</v>
      </c>
      <c r="C190" s="13" t="s">
        <v>5336</v>
      </c>
      <c r="D190" s="25" t="s">
        <v>5336</v>
      </c>
      <c r="E190" s="13"/>
      <c r="F190" s="41"/>
      <c r="G190" s="65" t="s">
        <v>8178</v>
      </c>
      <c r="H190" s="14" t="s">
        <v>1829</v>
      </c>
      <c r="I190" s="15">
        <v>44775</v>
      </c>
      <c r="J190" t="s">
        <v>2719</v>
      </c>
      <c r="K190" t="s">
        <v>51</v>
      </c>
      <c r="L190" t="s">
        <v>52</v>
      </c>
      <c r="M190" t="s">
        <v>53</v>
      </c>
      <c r="N190" t="s">
        <v>651</v>
      </c>
      <c r="O190" t="s">
        <v>1708</v>
      </c>
      <c r="P190" t="s">
        <v>56</v>
      </c>
      <c r="Q190" s="21" t="s">
        <v>5218</v>
      </c>
      <c r="R190" s="21"/>
      <c r="S190" t="s">
        <v>5326</v>
      </c>
      <c r="T190" t="s">
        <v>5337</v>
      </c>
      <c r="X190" t="s">
        <v>1832</v>
      </c>
      <c r="Z190" s="15"/>
      <c r="AB190">
        <v>38.982532999999997</v>
      </c>
      <c r="AC190">
        <v>-94.795299</v>
      </c>
      <c r="AD190" t="s">
        <v>4916</v>
      </c>
      <c r="AG190" t="s">
        <v>1715</v>
      </c>
      <c r="AH190" t="s">
        <v>63</v>
      </c>
      <c r="AI190" t="s">
        <v>5338</v>
      </c>
      <c r="AJ190">
        <v>194538</v>
      </c>
      <c r="AL190" t="s">
        <v>5339</v>
      </c>
      <c r="AM190" t="s">
        <v>5340</v>
      </c>
      <c r="AN190" t="s">
        <v>5341</v>
      </c>
      <c r="AO190" t="s">
        <v>68</v>
      </c>
      <c r="AQ190" t="s">
        <v>5342</v>
      </c>
      <c r="AR190" t="s">
        <v>5343</v>
      </c>
      <c r="AS190" t="s">
        <v>5344</v>
      </c>
      <c r="AV190" s="14" t="s">
        <v>72</v>
      </c>
      <c r="AW190" s="14" t="s">
        <v>73</v>
      </c>
      <c r="AX190" s="14" t="s">
        <v>74</v>
      </c>
    </row>
    <row r="191" spans="1:50" ht="15" customHeight="1" x14ac:dyDescent="0.4">
      <c r="A191" s="12">
        <v>3789</v>
      </c>
      <c r="B191" s="21" t="s">
        <v>5345</v>
      </c>
      <c r="C191" s="13" t="s">
        <v>5346</v>
      </c>
      <c r="D191" s="25" t="s">
        <v>5346</v>
      </c>
      <c r="E191" s="13"/>
      <c r="F191" s="41"/>
      <c r="G191" s="65" t="s">
        <v>8185</v>
      </c>
      <c r="H191" s="14" t="s">
        <v>1752</v>
      </c>
      <c r="I191" s="15">
        <v>44775</v>
      </c>
      <c r="J191" t="s">
        <v>2719</v>
      </c>
      <c r="K191" t="s">
        <v>51</v>
      </c>
      <c r="L191" t="s">
        <v>52</v>
      </c>
      <c r="M191" t="s">
        <v>53</v>
      </c>
      <c r="N191" t="s">
        <v>651</v>
      </c>
      <c r="O191" t="s">
        <v>1708</v>
      </c>
      <c r="P191" t="s">
        <v>56</v>
      </c>
      <c r="Q191" s="21" t="s">
        <v>5218</v>
      </c>
      <c r="R191" s="21"/>
      <c r="S191" t="s">
        <v>5347</v>
      </c>
      <c r="T191" t="s">
        <v>5348</v>
      </c>
      <c r="W191" t="s">
        <v>2336</v>
      </c>
      <c r="X191" t="s">
        <v>1759</v>
      </c>
      <c r="Z191" s="15"/>
      <c r="AB191">
        <v>38.980547999999999</v>
      </c>
      <c r="AC191">
        <v>-94.789849000000004</v>
      </c>
      <c r="AD191" t="s">
        <v>5349</v>
      </c>
      <c r="AG191" t="s">
        <v>1715</v>
      </c>
      <c r="AH191" t="s">
        <v>63</v>
      </c>
      <c r="AI191" t="s">
        <v>5350</v>
      </c>
      <c r="AJ191">
        <v>193524</v>
      </c>
      <c r="AL191" t="s">
        <v>5351</v>
      </c>
      <c r="AM191" t="s">
        <v>5352</v>
      </c>
      <c r="AN191" t="s">
        <v>5353</v>
      </c>
      <c r="AO191" t="s">
        <v>68</v>
      </c>
      <c r="AQ191" t="s">
        <v>5354</v>
      </c>
      <c r="AR191" t="s">
        <v>5355</v>
      </c>
      <c r="AS191" t="s">
        <v>5356</v>
      </c>
      <c r="AV191" s="14" t="s">
        <v>72</v>
      </c>
      <c r="AW191" s="14" t="s">
        <v>73</v>
      </c>
      <c r="AX191" s="14" t="s">
        <v>1768</v>
      </c>
    </row>
    <row r="192" spans="1:50" ht="15" customHeight="1" x14ac:dyDescent="0.4">
      <c r="A192" s="12">
        <v>3790</v>
      </c>
      <c r="B192" s="21" t="s">
        <v>5357</v>
      </c>
      <c r="C192" s="13" t="s">
        <v>5358</v>
      </c>
      <c r="D192" s="25" t="s">
        <v>5358</v>
      </c>
      <c r="E192" s="13"/>
      <c r="F192" s="41" t="s">
        <v>8126</v>
      </c>
      <c r="G192" s="65" t="s">
        <v>8170</v>
      </c>
      <c r="H192" s="14" t="s">
        <v>1752</v>
      </c>
      <c r="I192" s="15">
        <v>44775</v>
      </c>
      <c r="J192" t="s">
        <v>2719</v>
      </c>
      <c r="K192" t="s">
        <v>51</v>
      </c>
      <c r="L192" t="s">
        <v>52</v>
      </c>
      <c r="M192" t="s">
        <v>53</v>
      </c>
      <c r="N192" t="s">
        <v>651</v>
      </c>
      <c r="O192" t="s">
        <v>1708</v>
      </c>
      <c r="P192" t="s">
        <v>56</v>
      </c>
      <c r="Q192" s="21" t="s">
        <v>5218</v>
      </c>
      <c r="R192" s="21"/>
      <c r="S192" t="s">
        <v>5326</v>
      </c>
      <c r="T192" t="s">
        <v>5359</v>
      </c>
      <c r="W192" t="s">
        <v>2336</v>
      </c>
      <c r="X192" t="s">
        <v>1759</v>
      </c>
      <c r="Z192" s="15"/>
      <c r="AB192">
        <v>38.980615</v>
      </c>
      <c r="AC192">
        <v>-94.791199000000006</v>
      </c>
      <c r="AD192" t="s">
        <v>5360</v>
      </c>
      <c r="AG192" t="s">
        <v>1715</v>
      </c>
      <c r="AH192" t="s">
        <v>63</v>
      </c>
      <c r="AI192" t="s">
        <v>5361</v>
      </c>
      <c r="AJ192">
        <v>193525</v>
      </c>
      <c r="AL192" t="s">
        <v>5362</v>
      </c>
      <c r="AM192" t="s">
        <v>5363</v>
      </c>
      <c r="AN192" t="s">
        <v>5364</v>
      </c>
      <c r="AO192" t="s">
        <v>68</v>
      </c>
      <c r="AQ192" t="s">
        <v>5365</v>
      </c>
      <c r="AR192" t="s">
        <v>5366</v>
      </c>
      <c r="AS192" t="s">
        <v>5367</v>
      </c>
      <c r="AV192" s="14" t="s">
        <v>72</v>
      </c>
      <c r="AW192" s="14" t="s">
        <v>73</v>
      </c>
      <c r="AX192" s="14" t="s">
        <v>1768</v>
      </c>
    </row>
    <row r="193" spans="1:50" ht="15" customHeight="1" x14ac:dyDescent="0.4">
      <c r="A193" s="12">
        <v>3791</v>
      </c>
      <c r="B193" s="21" t="s">
        <v>5368</v>
      </c>
      <c r="C193" s="13" t="s">
        <v>5369</v>
      </c>
      <c r="D193" s="25" t="s">
        <v>5369</v>
      </c>
      <c r="E193" s="13"/>
      <c r="F193" s="41"/>
      <c r="G193" s="65" t="s">
        <v>8185</v>
      </c>
      <c r="H193" s="14" t="s">
        <v>1752</v>
      </c>
      <c r="I193" s="15">
        <v>44775</v>
      </c>
      <c r="J193" t="s">
        <v>2719</v>
      </c>
      <c r="K193" t="s">
        <v>51</v>
      </c>
      <c r="L193" t="s">
        <v>52</v>
      </c>
      <c r="M193" t="s">
        <v>53</v>
      </c>
      <c r="N193" t="s">
        <v>651</v>
      </c>
      <c r="O193" t="s">
        <v>1708</v>
      </c>
      <c r="P193" t="s">
        <v>56</v>
      </c>
      <c r="Q193" s="21" t="s">
        <v>5218</v>
      </c>
      <c r="R193" s="21"/>
      <c r="S193" t="s">
        <v>5370</v>
      </c>
      <c r="T193" t="s">
        <v>5371</v>
      </c>
      <c r="W193" t="s">
        <v>1758</v>
      </c>
      <c r="X193" t="s">
        <v>1759</v>
      </c>
      <c r="Z193" s="15"/>
      <c r="AB193">
        <v>38.988259999999997</v>
      </c>
      <c r="AC193">
        <v>-94.801263000000006</v>
      </c>
      <c r="AD193" t="s">
        <v>5372</v>
      </c>
      <c r="AG193" t="s">
        <v>1715</v>
      </c>
      <c r="AH193" t="s">
        <v>63</v>
      </c>
      <c r="AI193" t="s">
        <v>5373</v>
      </c>
      <c r="AJ193">
        <v>193526</v>
      </c>
      <c r="AL193" t="s">
        <v>5374</v>
      </c>
      <c r="AM193" t="s">
        <v>5375</v>
      </c>
      <c r="AN193" s="26" t="e">
        <v>#N/A</v>
      </c>
      <c r="AO193" t="s">
        <v>68</v>
      </c>
      <c r="AQ193" t="s">
        <v>5376</v>
      </c>
      <c r="AR193" t="s">
        <v>5377</v>
      </c>
      <c r="AS193" t="s">
        <v>5378</v>
      </c>
      <c r="AV193" s="14" t="s">
        <v>72</v>
      </c>
      <c r="AW193" s="14" t="s">
        <v>73</v>
      </c>
      <c r="AX193" s="14" t="s">
        <v>1768</v>
      </c>
    </row>
    <row r="194" spans="1:50" ht="15" customHeight="1" x14ac:dyDescent="0.4">
      <c r="A194" s="12">
        <v>3792</v>
      </c>
      <c r="B194" s="21" t="s">
        <v>5379</v>
      </c>
      <c r="C194" s="13" t="s">
        <v>5380</v>
      </c>
      <c r="D194" s="25" t="s">
        <v>5380</v>
      </c>
      <c r="E194" s="13"/>
      <c r="F194" s="41"/>
      <c r="G194" s="65" t="s">
        <v>8185</v>
      </c>
      <c r="H194" s="14" t="s">
        <v>1752</v>
      </c>
      <c r="I194" s="15">
        <v>44775</v>
      </c>
      <c r="J194" t="s">
        <v>2719</v>
      </c>
      <c r="K194" t="s">
        <v>51</v>
      </c>
      <c r="L194" t="s">
        <v>52</v>
      </c>
      <c r="M194" t="s">
        <v>53</v>
      </c>
      <c r="N194" t="s">
        <v>651</v>
      </c>
      <c r="O194" t="s">
        <v>1708</v>
      </c>
      <c r="P194" t="s">
        <v>56</v>
      </c>
      <c r="Q194" s="21" t="s">
        <v>5218</v>
      </c>
      <c r="R194" s="21"/>
      <c r="S194" t="s">
        <v>5381</v>
      </c>
      <c r="T194" t="s">
        <v>5382</v>
      </c>
      <c r="W194" t="s">
        <v>2321</v>
      </c>
      <c r="X194" t="s">
        <v>1759</v>
      </c>
      <c r="Z194" s="15"/>
      <c r="AB194">
        <v>38.988771999999997</v>
      </c>
      <c r="AC194">
        <v>-94.801447999999993</v>
      </c>
      <c r="AD194" t="s">
        <v>5383</v>
      </c>
      <c r="AG194" t="s">
        <v>1715</v>
      </c>
      <c r="AH194" t="s">
        <v>63</v>
      </c>
      <c r="AI194" t="s">
        <v>5384</v>
      </c>
      <c r="AJ194">
        <v>193527</v>
      </c>
      <c r="AL194" t="s">
        <v>5385</v>
      </c>
      <c r="AM194" t="s">
        <v>5386</v>
      </c>
      <c r="AN194" t="s">
        <v>5387</v>
      </c>
      <c r="AO194" t="s">
        <v>68</v>
      </c>
      <c r="AQ194" t="s">
        <v>5388</v>
      </c>
      <c r="AR194" t="s">
        <v>5389</v>
      </c>
      <c r="AS194" t="s">
        <v>5390</v>
      </c>
      <c r="AV194" s="14" t="s">
        <v>72</v>
      </c>
      <c r="AW194" s="14" t="s">
        <v>73</v>
      </c>
      <c r="AX194" s="14" t="s">
        <v>1768</v>
      </c>
    </row>
    <row r="195" spans="1:50" ht="15" customHeight="1" x14ac:dyDescent="0.4">
      <c r="A195" s="12">
        <v>3793</v>
      </c>
      <c r="B195" s="21" t="s">
        <v>5391</v>
      </c>
      <c r="C195" s="13" t="s">
        <v>5392</v>
      </c>
      <c r="D195" s="25" t="s">
        <v>5392</v>
      </c>
      <c r="E195" s="13"/>
      <c r="F195" s="41"/>
      <c r="G195" s="65" t="s">
        <v>8185</v>
      </c>
      <c r="H195" s="14" t="s">
        <v>1878</v>
      </c>
      <c r="I195" s="15">
        <v>44776</v>
      </c>
      <c r="J195" t="s">
        <v>2719</v>
      </c>
      <c r="K195" t="s">
        <v>51</v>
      </c>
      <c r="L195" t="s">
        <v>52</v>
      </c>
      <c r="M195" t="s">
        <v>53</v>
      </c>
      <c r="N195" t="s">
        <v>651</v>
      </c>
      <c r="O195" t="s">
        <v>1708</v>
      </c>
      <c r="P195" t="s">
        <v>56</v>
      </c>
      <c r="Q195" s="21" t="s">
        <v>5218</v>
      </c>
      <c r="R195" s="21"/>
      <c r="S195" t="s">
        <v>5393</v>
      </c>
      <c r="T195" t="s">
        <v>5394</v>
      </c>
      <c r="X195" t="s">
        <v>1881</v>
      </c>
      <c r="Z195" s="15"/>
      <c r="AB195">
        <v>38.980013</v>
      </c>
      <c r="AC195">
        <v>-94.808195999999995</v>
      </c>
      <c r="AD195" t="s">
        <v>5221</v>
      </c>
      <c r="AG195" t="s">
        <v>1715</v>
      </c>
      <c r="AH195" t="s">
        <v>63</v>
      </c>
      <c r="AI195" t="s">
        <v>5395</v>
      </c>
      <c r="AJ195">
        <v>194505</v>
      </c>
      <c r="AL195" t="s">
        <v>5396</v>
      </c>
      <c r="AM195" t="s">
        <v>5397</v>
      </c>
      <c r="AN195" t="s">
        <v>5398</v>
      </c>
      <c r="AO195" t="s">
        <v>68</v>
      </c>
      <c r="AQ195" t="s">
        <v>5399</v>
      </c>
      <c r="AR195" t="s">
        <v>5400</v>
      </c>
      <c r="AS195" t="s">
        <v>5401</v>
      </c>
      <c r="AV195" s="14" t="s">
        <v>72</v>
      </c>
      <c r="AW195" s="14" t="s">
        <v>73</v>
      </c>
      <c r="AX195" s="14" t="s">
        <v>1723</v>
      </c>
    </row>
    <row r="196" spans="1:50" ht="15" customHeight="1" x14ac:dyDescent="0.4">
      <c r="A196" s="12">
        <v>3794</v>
      </c>
      <c r="B196" s="21" t="s">
        <v>5402</v>
      </c>
      <c r="C196" s="13" t="s">
        <v>5403</v>
      </c>
      <c r="D196" s="25" t="s">
        <v>5403</v>
      </c>
      <c r="E196" s="13"/>
      <c r="F196" s="41"/>
      <c r="G196" s="65" t="s">
        <v>8185</v>
      </c>
      <c r="H196" s="14" t="s">
        <v>1878</v>
      </c>
      <c r="I196" s="15">
        <v>44776</v>
      </c>
      <c r="J196" t="s">
        <v>2719</v>
      </c>
      <c r="K196" t="s">
        <v>51</v>
      </c>
      <c r="L196" t="s">
        <v>52</v>
      </c>
      <c r="M196" t="s">
        <v>53</v>
      </c>
      <c r="N196" t="s">
        <v>651</v>
      </c>
      <c r="O196" t="s">
        <v>1708</v>
      </c>
      <c r="P196" t="s">
        <v>56</v>
      </c>
      <c r="Q196" s="21" t="s">
        <v>5218</v>
      </c>
      <c r="R196" s="21"/>
      <c r="S196" t="s">
        <v>5404</v>
      </c>
      <c r="T196" t="s">
        <v>5405</v>
      </c>
      <c r="X196" t="s">
        <v>1881</v>
      </c>
      <c r="Z196" s="15"/>
      <c r="AB196">
        <v>38.979953000000002</v>
      </c>
      <c r="AC196">
        <v>-94.808064999999999</v>
      </c>
      <c r="AD196" t="s">
        <v>5406</v>
      </c>
      <c r="AG196" t="s">
        <v>1715</v>
      </c>
      <c r="AH196" t="s">
        <v>63</v>
      </c>
      <c r="AI196" t="s">
        <v>5407</v>
      </c>
      <c r="AJ196">
        <v>194506</v>
      </c>
      <c r="AL196" t="s">
        <v>5408</v>
      </c>
      <c r="AM196" t="s">
        <v>5409</v>
      </c>
      <c r="AN196" t="s">
        <v>5410</v>
      </c>
      <c r="AO196" t="s">
        <v>68</v>
      </c>
      <c r="AQ196" t="s">
        <v>5411</v>
      </c>
      <c r="AR196" t="s">
        <v>5412</v>
      </c>
      <c r="AS196" t="s">
        <v>5413</v>
      </c>
      <c r="AV196" s="14" t="s">
        <v>72</v>
      </c>
      <c r="AW196" s="14" t="s">
        <v>73</v>
      </c>
      <c r="AX196" s="14" t="s">
        <v>1723</v>
      </c>
    </row>
    <row r="197" spans="1:50" ht="15" customHeight="1" x14ac:dyDescent="0.4">
      <c r="A197" s="12">
        <v>3795</v>
      </c>
      <c r="B197" s="21" t="s">
        <v>5414</v>
      </c>
      <c r="C197" s="13" t="s">
        <v>5415</v>
      </c>
      <c r="D197" s="25" t="s">
        <v>5415</v>
      </c>
      <c r="E197" s="13"/>
      <c r="F197" s="41"/>
      <c r="G197" s="65" t="s">
        <v>8185</v>
      </c>
      <c r="H197" s="14" t="s">
        <v>1878</v>
      </c>
      <c r="I197" s="15">
        <v>44776</v>
      </c>
      <c r="J197" t="s">
        <v>2719</v>
      </c>
      <c r="K197" t="s">
        <v>51</v>
      </c>
      <c r="L197" t="s">
        <v>52</v>
      </c>
      <c r="M197" t="s">
        <v>53</v>
      </c>
      <c r="N197" t="s">
        <v>651</v>
      </c>
      <c r="O197" t="s">
        <v>1708</v>
      </c>
      <c r="P197" t="s">
        <v>56</v>
      </c>
      <c r="Q197" s="21" t="s">
        <v>5218</v>
      </c>
      <c r="R197" s="21"/>
      <c r="S197" t="s">
        <v>5404</v>
      </c>
      <c r="T197" t="s">
        <v>5416</v>
      </c>
      <c r="X197" t="s">
        <v>1881</v>
      </c>
      <c r="Z197" s="15"/>
      <c r="AB197">
        <v>38.979570000000002</v>
      </c>
      <c r="AC197">
        <v>-94.806826999999998</v>
      </c>
      <c r="AD197" t="s">
        <v>5305</v>
      </c>
      <c r="AF197" s="60"/>
      <c r="AG197" t="s">
        <v>1715</v>
      </c>
      <c r="AH197" t="s">
        <v>63</v>
      </c>
      <c r="AI197" t="s">
        <v>5417</v>
      </c>
      <c r="AJ197">
        <v>194507</v>
      </c>
      <c r="AL197" t="s">
        <v>5418</v>
      </c>
      <c r="AM197" t="s">
        <v>5419</v>
      </c>
      <c r="AN197" t="s">
        <v>5420</v>
      </c>
      <c r="AO197" t="s">
        <v>68</v>
      </c>
      <c r="AQ197" t="s">
        <v>5421</v>
      </c>
      <c r="AR197" t="s">
        <v>5422</v>
      </c>
      <c r="AS197" t="s">
        <v>5423</v>
      </c>
      <c r="AV197" s="14" t="s">
        <v>72</v>
      </c>
      <c r="AW197" s="14" t="s">
        <v>73</v>
      </c>
      <c r="AX197" s="14" t="s">
        <v>1723</v>
      </c>
    </row>
    <row r="198" spans="1:50" ht="15" customHeight="1" x14ac:dyDescent="0.4">
      <c r="A198" s="12">
        <v>3796</v>
      </c>
      <c r="B198" s="21" t="s">
        <v>5424</v>
      </c>
      <c r="C198" s="13" t="s">
        <v>5425</v>
      </c>
      <c r="D198" s="25" t="s">
        <v>5425</v>
      </c>
      <c r="E198" s="13"/>
      <c r="F198" s="41"/>
      <c r="G198" s="65" t="s">
        <v>8185</v>
      </c>
      <c r="H198" s="14" t="s">
        <v>1878</v>
      </c>
      <c r="I198" s="15">
        <v>44776</v>
      </c>
      <c r="J198" t="s">
        <v>2719</v>
      </c>
      <c r="K198" t="s">
        <v>51</v>
      </c>
      <c r="L198" t="s">
        <v>52</v>
      </c>
      <c r="M198" t="s">
        <v>53</v>
      </c>
      <c r="N198" t="s">
        <v>651</v>
      </c>
      <c r="O198" t="s">
        <v>1708</v>
      </c>
      <c r="P198" t="s">
        <v>56</v>
      </c>
      <c r="Q198" s="21" t="s">
        <v>5218</v>
      </c>
      <c r="R198" s="21"/>
      <c r="S198" t="s">
        <v>5426</v>
      </c>
      <c r="T198" t="s">
        <v>5427</v>
      </c>
      <c r="X198" t="s">
        <v>1881</v>
      </c>
      <c r="Z198" s="15"/>
      <c r="AB198">
        <v>38.979519000000003</v>
      </c>
      <c r="AC198">
        <v>-94.808080000000004</v>
      </c>
      <c r="AD198" t="s">
        <v>5428</v>
      </c>
      <c r="AG198" t="s">
        <v>1715</v>
      </c>
      <c r="AH198" t="s">
        <v>63</v>
      </c>
      <c r="AI198" t="s">
        <v>5429</v>
      </c>
      <c r="AJ198">
        <v>194508</v>
      </c>
      <c r="AL198" t="s">
        <v>5430</v>
      </c>
      <c r="AM198" t="s">
        <v>5431</v>
      </c>
      <c r="AN198" t="s">
        <v>5432</v>
      </c>
      <c r="AO198" t="s">
        <v>68</v>
      </c>
      <c r="AQ198" t="s">
        <v>5433</v>
      </c>
      <c r="AR198" t="s">
        <v>5434</v>
      </c>
      <c r="AS198" t="s">
        <v>5435</v>
      </c>
      <c r="AV198" s="14" t="s">
        <v>72</v>
      </c>
      <c r="AW198" s="14" t="s">
        <v>73</v>
      </c>
      <c r="AX198" s="14" t="s">
        <v>1723</v>
      </c>
    </row>
    <row r="199" spans="1:50" ht="15" customHeight="1" x14ac:dyDescent="0.4">
      <c r="A199" s="12">
        <v>3797</v>
      </c>
      <c r="B199" s="21" t="s">
        <v>5436</v>
      </c>
      <c r="C199" s="13" t="s">
        <v>5437</v>
      </c>
      <c r="D199" s="25" t="s">
        <v>5437</v>
      </c>
      <c r="E199" s="13"/>
      <c r="F199" s="41"/>
      <c r="G199" s="65" t="s">
        <v>8185</v>
      </c>
      <c r="H199" s="14" t="s">
        <v>1878</v>
      </c>
      <c r="I199" s="15">
        <v>44776</v>
      </c>
      <c r="J199" t="s">
        <v>2719</v>
      </c>
      <c r="K199" t="s">
        <v>51</v>
      </c>
      <c r="L199" t="s">
        <v>52</v>
      </c>
      <c r="M199" t="s">
        <v>53</v>
      </c>
      <c r="N199" t="s">
        <v>651</v>
      </c>
      <c r="O199" t="s">
        <v>1708</v>
      </c>
      <c r="P199" t="s">
        <v>56</v>
      </c>
      <c r="Q199" s="21" t="s">
        <v>5218</v>
      </c>
      <c r="R199" s="21"/>
      <c r="S199" t="s">
        <v>5438</v>
      </c>
      <c r="T199" t="s">
        <v>5439</v>
      </c>
      <c r="X199" t="s">
        <v>1881</v>
      </c>
      <c r="Z199" s="15"/>
      <c r="AB199">
        <v>38.979835000000001</v>
      </c>
      <c r="AC199">
        <v>-94.807522000000006</v>
      </c>
      <c r="AD199" t="s">
        <v>5440</v>
      </c>
      <c r="AG199" t="s">
        <v>1715</v>
      </c>
      <c r="AH199" t="s">
        <v>63</v>
      </c>
      <c r="AI199" t="s">
        <v>5441</v>
      </c>
      <c r="AJ199">
        <v>194509</v>
      </c>
      <c r="AL199" t="s">
        <v>5442</v>
      </c>
      <c r="AM199" t="s">
        <v>5443</v>
      </c>
      <c r="AN199" t="s">
        <v>5444</v>
      </c>
      <c r="AO199" t="s">
        <v>68</v>
      </c>
      <c r="AQ199" t="s">
        <v>5445</v>
      </c>
      <c r="AR199" t="s">
        <v>5446</v>
      </c>
      <c r="AS199" t="s">
        <v>5447</v>
      </c>
      <c r="AV199" s="14" t="s">
        <v>72</v>
      </c>
      <c r="AW199" s="14" t="s">
        <v>73</v>
      </c>
      <c r="AX199" s="14" t="s">
        <v>1723</v>
      </c>
    </row>
    <row r="200" spans="1:50" ht="15" customHeight="1" x14ac:dyDescent="0.4">
      <c r="A200" s="12">
        <v>3670</v>
      </c>
      <c r="B200" s="21" t="s">
        <v>3957</v>
      </c>
      <c r="C200" s="13" t="s">
        <v>3958</v>
      </c>
      <c r="D200" s="25" t="s">
        <v>3958</v>
      </c>
      <c r="E200" s="13"/>
      <c r="F200" s="41"/>
      <c r="G200" s="65" t="s">
        <v>8185</v>
      </c>
      <c r="H200" s="14" t="s">
        <v>49</v>
      </c>
      <c r="I200" s="15">
        <v>44755</v>
      </c>
      <c r="J200" t="s">
        <v>3759</v>
      </c>
      <c r="K200" t="s">
        <v>51</v>
      </c>
      <c r="L200" t="s">
        <v>52</v>
      </c>
      <c r="M200" t="s">
        <v>53</v>
      </c>
      <c r="N200" t="s">
        <v>3760</v>
      </c>
      <c r="O200" t="s">
        <v>3761</v>
      </c>
      <c r="P200" t="s">
        <v>56</v>
      </c>
      <c r="Q200" s="21" t="s">
        <v>3959</v>
      </c>
      <c r="R200" s="21"/>
      <c r="S200" t="s">
        <v>3849</v>
      </c>
      <c r="T200" t="s">
        <v>3960</v>
      </c>
      <c r="W200" t="s">
        <v>2321</v>
      </c>
      <c r="X200" t="s">
        <v>60</v>
      </c>
      <c r="Z200" s="15"/>
      <c r="AB200">
        <v>38.139609999999998</v>
      </c>
      <c r="AC200">
        <v>-84.759088000000006</v>
      </c>
      <c r="AD200" t="s">
        <v>3961</v>
      </c>
      <c r="AG200" t="s">
        <v>1715</v>
      </c>
      <c r="AH200" t="s">
        <v>63</v>
      </c>
      <c r="AI200" t="s">
        <v>3962</v>
      </c>
      <c r="AJ200">
        <v>194405</v>
      </c>
      <c r="AL200" t="s">
        <v>3963</v>
      </c>
      <c r="AM200" t="s">
        <v>3964</v>
      </c>
      <c r="AN200" t="s">
        <v>3965</v>
      </c>
      <c r="AO200" t="s">
        <v>68</v>
      </c>
      <c r="AQ200" t="s">
        <v>3966</v>
      </c>
      <c r="AR200" t="s">
        <v>3967</v>
      </c>
      <c r="AS200" t="s">
        <v>3968</v>
      </c>
      <c r="AV200" s="14" t="s">
        <v>72</v>
      </c>
      <c r="AW200" s="14" t="s">
        <v>73</v>
      </c>
      <c r="AX200" s="14" t="s">
        <v>74</v>
      </c>
    </row>
    <row r="201" spans="1:50" ht="15" customHeight="1" x14ac:dyDescent="0.4">
      <c r="A201" s="12">
        <v>3671</v>
      </c>
      <c r="B201" s="21" t="s">
        <v>3969</v>
      </c>
      <c r="C201" s="13" t="s">
        <v>3970</v>
      </c>
      <c r="D201" s="25" t="s">
        <v>3970</v>
      </c>
      <c r="E201" s="13"/>
      <c r="F201" s="41"/>
      <c r="G201" s="65" t="s">
        <v>8185</v>
      </c>
      <c r="H201" s="14" t="s">
        <v>49</v>
      </c>
      <c r="I201" s="15">
        <v>44755</v>
      </c>
      <c r="J201" t="s">
        <v>3759</v>
      </c>
      <c r="K201" t="s">
        <v>51</v>
      </c>
      <c r="L201" t="s">
        <v>52</v>
      </c>
      <c r="M201" t="s">
        <v>53</v>
      </c>
      <c r="N201" t="s">
        <v>3760</v>
      </c>
      <c r="O201" t="s">
        <v>3761</v>
      </c>
      <c r="P201" t="s">
        <v>56</v>
      </c>
      <c r="Q201" s="21" t="s">
        <v>3959</v>
      </c>
      <c r="R201" s="21"/>
      <c r="S201" t="s">
        <v>3971</v>
      </c>
      <c r="T201" t="s">
        <v>3972</v>
      </c>
      <c r="W201" t="s">
        <v>2440</v>
      </c>
      <c r="X201" t="s">
        <v>60</v>
      </c>
      <c r="Z201" s="15"/>
      <c r="AB201">
        <v>38.139913</v>
      </c>
      <c r="AC201">
        <v>-84.759962999999999</v>
      </c>
      <c r="AD201" t="s">
        <v>3973</v>
      </c>
      <c r="AG201" t="s">
        <v>1715</v>
      </c>
      <c r="AH201" t="s">
        <v>63</v>
      </c>
      <c r="AI201" t="s">
        <v>3974</v>
      </c>
      <c r="AJ201">
        <v>194406</v>
      </c>
      <c r="AL201" t="s">
        <v>3975</v>
      </c>
      <c r="AM201" t="s">
        <v>3976</v>
      </c>
      <c r="AN201" t="s">
        <v>3977</v>
      </c>
      <c r="AO201" t="s">
        <v>68</v>
      </c>
      <c r="AQ201" t="s">
        <v>3978</v>
      </c>
      <c r="AR201" t="s">
        <v>3979</v>
      </c>
      <c r="AS201" t="s">
        <v>3980</v>
      </c>
      <c r="AV201" s="14" t="s">
        <v>72</v>
      </c>
      <c r="AW201" s="14" t="s">
        <v>73</v>
      </c>
      <c r="AX201" s="14" t="s">
        <v>74</v>
      </c>
    </row>
    <row r="202" spans="1:50" ht="15" customHeight="1" x14ac:dyDescent="0.4">
      <c r="A202" s="12">
        <v>3672</v>
      </c>
      <c r="B202" s="21" t="s">
        <v>3981</v>
      </c>
      <c r="C202" s="13" t="s">
        <v>3982</v>
      </c>
      <c r="D202" s="25" t="s">
        <v>3982</v>
      </c>
      <c r="E202" s="13"/>
      <c r="F202" s="41"/>
      <c r="G202" s="65" t="s">
        <v>8185</v>
      </c>
      <c r="H202" s="14" t="s">
        <v>49</v>
      </c>
      <c r="I202" s="15">
        <v>44755</v>
      </c>
      <c r="J202" t="s">
        <v>3759</v>
      </c>
      <c r="K202" t="s">
        <v>51</v>
      </c>
      <c r="L202" t="s">
        <v>52</v>
      </c>
      <c r="M202" t="s">
        <v>53</v>
      </c>
      <c r="N202" t="s">
        <v>3760</v>
      </c>
      <c r="O202" t="s">
        <v>3761</v>
      </c>
      <c r="P202" t="s">
        <v>56</v>
      </c>
      <c r="Q202" s="21" t="s">
        <v>3959</v>
      </c>
      <c r="R202" s="21"/>
      <c r="S202" t="s">
        <v>3971</v>
      </c>
      <c r="T202" t="s">
        <v>3983</v>
      </c>
      <c r="W202" t="s">
        <v>2452</v>
      </c>
      <c r="X202" t="s">
        <v>60</v>
      </c>
      <c r="Z202" s="15"/>
      <c r="AB202">
        <v>38.139006000000002</v>
      </c>
      <c r="AC202">
        <v>-84.760327000000004</v>
      </c>
      <c r="AD202" t="s">
        <v>3984</v>
      </c>
      <c r="AG202" t="s">
        <v>1715</v>
      </c>
      <c r="AH202" t="s">
        <v>63</v>
      </c>
      <c r="AI202" t="s">
        <v>3985</v>
      </c>
      <c r="AJ202">
        <v>194407</v>
      </c>
      <c r="AL202" t="s">
        <v>3986</v>
      </c>
      <c r="AM202" t="s">
        <v>3987</v>
      </c>
      <c r="AN202" t="s">
        <v>3988</v>
      </c>
      <c r="AO202" t="s">
        <v>68</v>
      </c>
      <c r="AQ202" t="s">
        <v>3989</v>
      </c>
      <c r="AR202" t="s">
        <v>3990</v>
      </c>
      <c r="AS202" t="s">
        <v>3991</v>
      </c>
      <c r="AV202" s="14" t="s">
        <v>72</v>
      </c>
      <c r="AW202" s="14" t="s">
        <v>73</v>
      </c>
      <c r="AX202" s="14" t="s">
        <v>74</v>
      </c>
    </row>
    <row r="203" spans="1:50" ht="15" customHeight="1" x14ac:dyDescent="0.4">
      <c r="A203" s="12">
        <v>3673</v>
      </c>
      <c r="B203" s="21" t="s">
        <v>3992</v>
      </c>
      <c r="C203" s="13" t="s">
        <v>3993</v>
      </c>
      <c r="D203" s="25" t="s">
        <v>3993</v>
      </c>
      <c r="E203" s="13"/>
      <c r="F203" s="41"/>
      <c r="G203" s="65" t="s">
        <v>8178</v>
      </c>
      <c r="H203" s="14" t="s">
        <v>1829</v>
      </c>
      <c r="I203" s="15">
        <v>44755</v>
      </c>
      <c r="J203" t="s">
        <v>3759</v>
      </c>
      <c r="K203" t="s">
        <v>51</v>
      </c>
      <c r="L203" t="s">
        <v>52</v>
      </c>
      <c r="M203" t="s">
        <v>53</v>
      </c>
      <c r="N203" t="s">
        <v>3760</v>
      </c>
      <c r="O203" t="s">
        <v>3761</v>
      </c>
      <c r="P203" t="s">
        <v>56</v>
      </c>
      <c r="Q203" s="21" t="s">
        <v>3959</v>
      </c>
      <c r="R203" s="21"/>
      <c r="S203" t="s">
        <v>3994</v>
      </c>
      <c r="T203" t="s">
        <v>3995</v>
      </c>
      <c r="W203" t="s">
        <v>1758</v>
      </c>
      <c r="X203" t="s">
        <v>1832</v>
      </c>
      <c r="Z203" s="15"/>
      <c r="AB203">
        <v>38.137672000000002</v>
      </c>
      <c r="AC203">
        <v>-84.735528000000002</v>
      </c>
      <c r="AD203" t="s">
        <v>2963</v>
      </c>
      <c r="AG203" t="s">
        <v>1715</v>
      </c>
      <c r="AH203" t="s">
        <v>63</v>
      </c>
      <c r="AI203" t="s">
        <v>3996</v>
      </c>
      <c r="AJ203">
        <v>194479</v>
      </c>
      <c r="AL203" t="s">
        <v>3997</v>
      </c>
      <c r="AM203" t="s">
        <v>3998</v>
      </c>
      <c r="AN203" t="s">
        <v>3999</v>
      </c>
      <c r="AO203" t="s">
        <v>68</v>
      </c>
      <c r="AQ203" t="s">
        <v>4000</v>
      </c>
      <c r="AR203" t="s">
        <v>4001</v>
      </c>
      <c r="AS203" t="s">
        <v>4002</v>
      </c>
      <c r="AV203" s="14" t="s">
        <v>72</v>
      </c>
      <c r="AW203" s="14" t="s">
        <v>73</v>
      </c>
      <c r="AX203" s="14" t="s">
        <v>74</v>
      </c>
    </row>
    <row r="204" spans="1:50" ht="15" customHeight="1" x14ac:dyDescent="0.4">
      <c r="A204" s="12">
        <v>3674</v>
      </c>
      <c r="B204" s="21" t="s">
        <v>4003</v>
      </c>
      <c r="C204" s="13" t="s">
        <v>4004</v>
      </c>
      <c r="D204" s="25" t="s">
        <v>4004</v>
      </c>
      <c r="E204" s="13"/>
      <c r="F204" s="41"/>
      <c r="G204" s="65" t="s">
        <v>8185</v>
      </c>
      <c r="H204" s="14" t="s">
        <v>49</v>
      </c>
      <c r="I204" s="15">
        <v>44755</v>
      </c>
      <c r="J204" t="s">
        <v>3759</v>
      </c>
      <c r="K204" t="s">
        <v>51</v>
      </c>
      <c r="L204" t="s">
        <v>52</v>
      </c>
      <c r="M204" t="s">
        <v>53</v>
      </c>
      <c r="N204" t="s">
        <v>3760</v>
      </c>
      <c r="O204" t="s">
        <v>3761</v>
      </c>
      <c r="P204" t="s">
        <v>56</v>
      </c>
      <c r="Q204" s="21" t="s">
        <v>3959</v>
      </c>
      <c r="R204" s="21"/>
      <c r="S204" t="s">
        <v>3849</v>
      </c>
      <c r="T204" t="s">
        <v>4005</v>
      </c>
      <c r="X204" t="s">
        <v>60</v>
      </c>
      <c r="Z204" s="15"/>
      <c r="AB204">
        <v>38.137895</v>
      </c>
      <c r="AC204">
        <v>-84.735489999999999</v>
      </c>
      <c r="AD204" t="s">
        <v>4006</v>
      </c>
      <c r="AG204" t="s">
        <v>1715</v>
      </c>
      <c r="AH204" t="s">
        <v>63</v>
      </c>
      <c r="AI204" t="s">
        <v>4007</v>
      </c>
      <c r="AJ204">
        <v>194408</v>
      </c>
      <c r="AL204" t="s">
        <v>4008</v>
      </c>
      <c r="AM204" t="s">
        <v>4009</v>
      </c>
      <c r="AN204" t="s">
        <v>4010</v>
      </c>
      <c r="AO204" t="s">
        <v>68</v>
      </c>
      <c r="AQ204" t="s">
        <v>4011</v>
      </c>
      <c r="AR204" t="s">
        <v>4012</v>
      </c>
      <c r="AS204" t="s">
        <v>4013</v>
      </c>
      <c r="AV204" s="14" t="s">
        <v>72</v>
      </c>
      <c r="AW204" s="14" t="s">
        <v>73</v>
      </c>
      <c r="AX204" s="14" t="s">
        <v>74</v>
      </c>
    </row>
    <row r="205" spans="1:50" ht="15" customHeight="1" x14ac:dyDescent="0.4">
      <c r="A205" s="12">
        <v>3675</v>
      </c>
      <c r="B205" s="21" t="s">
        <v>4014</v>
      </c>
      <c r="C205" s="13" t="s">
        <v>4015</v>
      </c>
      <c r="D205" s="25" t="s">
        <v>4015</v>
      </c>
      <c r="E205" s="13"/>
      <c r="F205" s="41"/>
      <c r="G205" s="65" t="s">
        <v>8185</v>
      </c>
      <c r="H205" s="14" t="s">
        <v>49</v>
      </c>
      <c r="I205" s="15">
        <v>44755</v>
      </c>
      <c r="J205" t="s">
        <v>3759</v>
      </c>
      <c r="K205" t="s">
        <v>51</v>
      </c>
      <c r="L205" t="s">
        <v>52</v>
      </c>
      <c r="M205" t="s">
        <v>53</v>
      </c>
      <c r="N205" t="s">
        <v>3760</v>
      </c>
      <c r="O205" t="s">
        <v>3761</v>
      </c>
      <c r="P205" t="s">
        <v>56</v>
      </c>
      <c r="Q205" s="21" t="s">
        <v>3959</v>
      </c>
      <c r="R205" s="21"/>
      <c r="S205" t="s">
        <v>3849</v>
      </c>
      <c r="T205" t="s">
        <v>4016</v>
      </c>
      <c r="U205">
        <v>119</v>
      </c>
      <c r="W205" t="s">
        <v>1758</v>
      </c>
      <c r="X205" t="s">
        <v>60</v>
      </c>
      <c r="Z205" s="15"/>
      <c r="AB205">
        <v>38.138075000000001</v>
      </c>
      <c r="AC205">
        <v>-84.734804999999994</v>
      </c>
      <c r="AD205" t="s">
        <v>4017</v>
      </c>
      <c r="AG205" t="s">
        <v>1715</v>
      </c>
      <c r="AH205" t="s">
        <v>63</v>
      </c>
      <c r="AI205" t="s">
        <v>4018</v>
      </c>
      <c r="AJ205">
        <v>194409</v>
      </c>
      <c r="AL205" t="s">
        <v>4019</v>
      </c>
      <c r="AM205" t="s">
        <v>4020</v>
      </c>
      <c r="AN205" t="s">
        <v>4021</v>
      </c>
      <c r="AO205" t="s">
        <v>68</v>
      </c>
      <c r="AQ205" t="s">
        <v>4022</v>
      </c>
      <c r="AR205" t="s">
        <v>4023</v>
      </c>
      <c r="AS205" t="s">
        <v>4024</v>
      </c>
      <c r="AV205" s="14" t="s">
        <v>72</v>
      </c>
      <c r="AW205" s="14" t="s">
        <v>73</v>
      </c>
      <c r="AX205" s="14" t="s">
        <v>74</v>
      </c>
    </row>
    <row r="206" spans="1:50" ht="15" customHeight="1" x14ac:dyDescent="0.4">
      <c r="A206" s="12">
        <v>3676</v>
      </c>
      <c r="B206" s="21" t="s">
        <v>4025</v>
      </c>
      <c r="C206" s="13" t="s">
        <v>4026</v>
      </c>
      <c r="D206" s="25" t="s">
        <v>4026</v>
      </c>
      <c r="E206" s="13"/>
      <c r="F206" s="41"/>
      <c r="G206" s="65" t="s">
        <v>8185</v>
      </c>
      <c r="H206" s="14" t="s">
        <v>1829</v>
      </c>
      <c r="I206" s="15">
        <v>44755</v>
      </c>
      <c r="J206" t="s">
        <v>3759</v>
      </c>
      <c r="K206" t="s">
        <v>51</v>
      </c>
      <c r="L206" t="s">
        <v>52</v>
      </c>
      <c r="M206" t="s">
        <v>53</v>
      </c>
      <c r="N206" t="s">
        <v>3760</v>
      </c>
      <c r="O206" t="s">
        <v>3761</v>
      </c>
      <c r="P206" t="s">
        <v>56</v>
      </c>
      <c r="Q206" s="21" t="s">
        <v>3959</v>
      </c>
      <c r="R206" s="21"/>
      <c r="S206" t="s">
        <v>3849</v>
      </c>
      <c r="T206" t="s">
        <v>4027</v>
      </c>
      <c r="U206">
        <v>157</v>
      </c>
      <c r="W206" t="s">
        <v>3765</v>
      </c>
      <c r="X206" t="s">
        <v>1832</v>
      </c>
      <c r="Z206" s="15"/>
      <c r="AB206">
        <v>38.136884999999999</v>
      </c>
      <c r="AC206">
        <v>-84.734226000000007</v>
      </c>
      <c r="AD206" t="s">
        <v>4028</v>
      </c>
      <c r="AG206" t="s">
        <v>1715</v>
      </c>
      <c r="AH206" t="s">
        <v>63</v>
      </c>
      <c r="AI206" t="s">
        <v>4029</v>
      </c>
      <c r="AJ206">
        <v>194478</v>
      </c>
      <c r="AL206" t="s">
        <v>4030</v>
      </c>
      <c r="AM206" t="s">
        <v>4031</v>
      </c>
      <c r="AN206" t="s">
        <v>4032</v>
      </c>
      <c r="AO206" t="s">
        <v>68</v>
      </c>
      <c r="AQ206" t="s">
        <v>4033</v>
      </c>
      <c r="AR206" t="s">
        <v>4034</v>
      </c>
      <c r="AS206" t="s">
        <v>4035</v>
      </c>
      <c r="AV206" s="14" t="s">
        <v>72</v>
      </c>
      <c r="AW206" s="14" t="s">
        <v>73</v>
      </c>
      <c r="AX206" s="14" t="s">
        <v>74</v>
      </c>
    </row>
    <row r="207" spans="1:50" ht="15" customHeight="1" x14ac:dyDescent="0.4">
      <c r="A207" s="12">
        <v>3677</v>
      </c>
      <c r="B207" s="21" t="s">
        <v>4036</v>
      </c>
      <c r="C207" s="13" t="s">
        <v>4037</v>
      </c>
      <c r="D207" s="25" t="s">
        <v>4037</v>
      </c>
      <c r="E207" s="13"/>
      <c r="F207" s="41"/>
      <c r="G207" s="65" t="s">
        <v>8178</v>
      </c>
      <c r="H207" s="14" t="s">
        <v>1829</v>
      </c>
      <c r="I207" s="15">
        <v>44755</v>
      </c>
      <c r="J207" t="s">
        <v>3759</v>
      </c>
      <c r="K207" t="s">
        <v>51</v>
      </c>
      <c r="L207" t="s">
        <v>52</v>
      </c>
      <c r="M207" t="s">
        <v>53</v>
      </c>
      <c r="N207" t="s">
        <v>3760</v>
      </c>
      <c r="O207" t="s">
        <v>3761</v>
      </c>
      <c r="P207" t="s">
        <v>56</v>
      </c>
      <c r="Q207" s="21" t="s">
        <v>3959</v>
      </c>
      <c r="R207" s="21"/>
      <c r="S207" t="s">
        <v>4038</v>
      </c>
      <c r="T207" t="s">
        <v>4039</v>
      </c>
      <c r="X207" t="s">
        <v>1832</v>
      </c>
      <c r="Z207" s="15"/>
      <c r="AB207">
        <v>38.135331999999998</v>
      </c>
      <c r="AC207">
        <v>-84.733104999999995</v>
      </c>
      <c r="AD207" t="s">
        <v>4017</v>
      </c>
      <c r="AG207" t="s">
        <v>1715</v>
      </c>
      <c r="AH207" t="s">
        <v>63</v>
      </c>
      <c r="AI207" t="s">
        <v>4040</v>
      </c>
      <c r="AJ207">
        <v>194477</v>
      </c>
      <c r="AL207" t="s">
        <v>4041</v>
      </c>
      <c r="AM207" t="s">
        <v>4042</v>
      </c>
      <c r="AN207" t="s">
        <v>4043</v>
      </c>
      <c r="AO207" t="s">
        <v>68</v>
      </c>
      <c r="AQ207" t="s">
        <v>4044</v>
      </c>
      <c r="AR207" t="s">
        <v>4045</v>
      </c>
      <c r="AS207" t="s">
        <v>4046</v>
      </c>
      <c r="AV207" s="14" t="s">
        <v>72</v>
      </c>
      <c r="AW207" s="14" t="s">
        <v>73</v>
      </c>
      <c r="AX207" s="14" t="s">
        <v>74</v>
      </c>
    </row>
    <row r="208" spans="1:50" ht="15" customHeight="1" x14ac:dyDescent="0.4">
      <c r="A208" s="12">
        <v>3678</v>
      </c>
      <c r="B208" s="21" t="s">
        <v>4047</v>
      </c>
      <c r="C208" s="13" t="s">
        <v>4048</v>
      </c>
      <c r="D208" s="25" t="s">
        <v>4048</v>
      </c>
      <c r="E208" s="13"/>
      <c r="F208" s="41"/>
      <c r="G208" s="65" t="s">
        <v>8178</v>
      </c>
      <c r="H208" s="14" t="s">
        <v>1829</v>
      </c>
      <c r="I208" s="15">
        <v>44755</v>
      </c>
      <c r="J208" t="s">
        <v>3759</v>
      </c>
      <c r="K208" t="s">
        <v>51</v>
      </c>
      <c r="L208" t="s">
        <v>52</v>
      </c>
      <c r="M208" t="s">
        <v>53</v>
      </c>
      <c r="N208" t="s">
        <v>3760</v>
      </c>
      <c r="O208" t="s">
        <v>3761</v>
      </c>
      <c r="P208" t="s">
        <v>56</v>
      </c>
      <c r="Q208" s="21" t="s">
        <v>3959</v>
      </c>
      <c r="R208" s="21"/>
      <c r="S208" t="s">
        <v>4049</v>
      </c>
      <c r="T208" t="s">
        <v>4050</v>
      </c>
      <c r="X208" t="s">
        <v>1832</v>
      </c>
      <c r="Z208" s="15"/>
      <c r="AB208">
        <v>38.137234999999997</v>
      </c>
      <c r="AC208">
        <v>-84.733179000000007</v>
      </c>
      <c r="AD208" t="s">
        <v>4051</v>
      </c>
      <c r="AG208" t="s">
        <v>1715</v>
      </c>
      <c r="AH208" t="s">
        <v>63</v>
      </c>
      <c r="AI208" t="s">
        <v>4052</v>
      </c>
      <c r="AJ208">
        <v>194476</v>
      </c>
      <c r="AL208" t="s">
        <v>4053</v>
      </c>
      <c r="AM208" t="s">
        <v>4054</v>
      </c>
      <c r="AN208" t="s">
        <v>4055</v>
      </c>
      <c r="AO208" t="s">
        <v>68</v>
      </c>
      <c r="AQ208" t="s">
        <v>4056</v>
      </c>
      <c r="AR208" t="s">
        <v>4057</v>
      </c>
      <c r="AS208" t="s">
        <v>4058</v>
      </c>
      <c r="AV208" s="14" t="s">
        <v>72</v>
      </c>
      <c r="AW208" s="14" t="s">
        <v>73</v>
      </c>
      <c r="AX208" s="14" t="s">
        <v>74</v>
      </c>
    </row>
    <row r="209" spans="1:50" ht="15" customHeight="1" x14ac:dyDescent="0.4">
      <c r="A209" s="12">
        <v>3679</v>
      </c>
      <c r="B209" s="21" t="s">
        <v>4059</v>
      </c>
      <c r="C209" s="13" t="s">
        <v>4060</v>
      </c>
      <c r="D209" s="25" t="s">
        <v>4060</v>
      </c>
      <c r="E209" s="13"/>
      <c r="F209" s="41"/>
      <c r="G209" s="65" t="s">
        <v>8185</v>
      </c>
      <c r="H209" s="14" t="s">
        <v>1829</v>
      </c>
      <c r="I209" s="15">
        <v>44755</v>
      </c>
      <c r="J209" t="s">
        <v>3759</v>
      </c>
      <c r="K209" t="s">
        <v>51</v>
      </c>
      <c r="L209" t="s">
        <v>52</v>
      </c>
      <c r="M209" t="s">
        <v>53</v>
      </c>
      <c r="N209" t="s">
        <v>3760</v>
      </c>
      <c r="O209" t="s">
        <v>3761</v>
      </c>
      <c r="P209" t="s">
        <v>56</v>
      </c>
      <c r="Q209" s="21" t="s">
        <v>3959</v>
      </c>
      <c r="R209" s="21"/>
      <c r="S209" t="s">
        <v>4061</v>
      </c>
      <c r="T209" t="s">
        <v>4062</v>
      </c>
      <c r="U209">
        <v>21</v>
      </c>
      <c r="X209" t="s">
        <v>1832</v>
      </c>
      <c r="Z209" s="15"/>
      <c r="AB209">
        <v>38.136532000000003</v>
      </c>
      <c r="AC209">
        <v>-84.735518999999996</v>
      </c>
      <c r="AD209" t="s">
        <v>3916</v>
      </c>
      <c r="AG209" t="s">
        <v>1715</v>
      </c>
      <c r="AH209" t="s">
        <v>63</v>
      </c>
      <c r="AI209" t="s">
        <v>4063</v>
      </c>
      <c r="AJ209">
        <v>194475</v>
      </c>
      <c r="AL209" t="s">
        <v>4064</v>
      </c>
      <c r="AM209" t="s">
        <v>4065</v>
      </c>
      <c r="AN209" t="s">
        <v>4066</v>
      </c>
      <c r="AO209" t="s">
        <v>68</v>
      </c>
      <c r="AQ209" t="s">
        <v>4067</v>
      </c>
      <c r="AR209" t="s">
        <v>4068</v>
      </c>
      <c r="AS209" t="s">
        <v>4069</v>
      </c>
      <c r="AV209" s="14" t="s">
        <v>72</v>
      </c>
      <c r="AW209" s="14" t="s">
        <v>73</v>
      </c>
      <c r="AX209" s="14" t="s">
        <v>74</v>
      </c>
    </row>
    <row r="210" spans="1:50" ht="15" customHeight="1" x14ac:dyDescent="0.4">
      <c r="A210" s="12">
        <v>3660</v>
      </c>
      <c r="B210" s="21" t="s">
        <v>3846</v>
      </c>
      <c r="C210" s="13" t="s">
        <v>3847</v>
      </c>
      <c r="D210" s="25" t="s">
        <v>3847</v>
      </c>
      <c r="E210" s="13"/>
      <c r="F210" s="41"/>
      <c r="G210" s="65" t="s">
        <v>8185</v>
      </c>
      <c r="H210" s="14" t="s">
        <v>49</v>
      </c>
      <c r="I210" s="15">
        <v>44755</v>
      </c>
      <c r="J210" t="s">
        <v>3759</v>
      </c>
      <c r="K210" t="s">
        <v>51</v>
      </c>
      <c r="L210" t="s">
        <v>52</v>
      </c>
      <c r="M210" t="s">
        <v>53</v>
      </c>
      <c r="N210" t="s">
        <v>3760</v>
      </c>
      <c r="O210" t="s">
        <v>3761</v>
      </c>
      <c r="P210" t="s">
        <v>56</v>
      </c>
      <c r="Q210" s="21" t="s">
        <v>3848</v>
      </c>
      <c r="R210" s="21"/>
      <c r="S210" t="s">
        <v>3849</v>
      </c>
      <c r="T210" t="s">
        <v>3850</v>
      </c>
      <c r="W210" t="s">
        <v>2951</v>
      </c>
      <c r="X210" t="s">
        <v>60</v>
      </c>
      <c r="Z210" s="15"/>
      <c r="AB210">
        <v>38.278213999999998</v>
      </c>
      <c r="AC210">
        <v>-84.203992</v>
      </c>
      <c r="AD210" t="s">
        <v>3851</v>
      </c>
      <c r="AG210" t="s">
        <v>1715</v>
      </c>
      <c r="AH210" t="s">
        <v>63</v>
      </c>
      <c r="AI210" t="s">
        <v>3852</v>
      </c>
      <c r="AJ210">
        <v>194420</v>
      </c>
      <c r="AL210" t="s">
        <v>3853</v>
      </c>
      <c r="AM210" t="s">
        <v>3854</v>
      </c>
      <c r="AN210" t="s">
        <v>3855</v>
      </c>
      <c r="AO210" t="s">
        <v>68</v>
      </c>
      <c r="AQ210" t="s">
        <v>3856</v>
      </c>
      <c r="AR210" t="s">
        <v>3857</v>
      </c>
      <c r="AS210" t="s">
        <v>3858</v>
      </c>
      <c r="AV210" s="14" t="s">
        <v>72</v>
      </c>
      <c r="AW210" s="14" t="s">
        <v>73</v>
      </c>
      <c r="AX210" s="14" t="s">
        <v>74</v>
      </c>
    </row>
    <row r="211" spans="1:50" ht="15" customHeight="1" x14ac:dyDescent="0.4">
      <c r="A211" s="12">
        <v>3661</v>
      </c>
      <c r="B211" s="21" t="s">
        <v>3859</v>
      </c>
      <c r="C211" s="13" t="s">
        <v>3860</v>
      </c>
      <c r="D211" s="25" t="s">
        <v>3860</v>
      </c>
      <c r="E211" s="13"/>
      <c r="F211" s="41"/>
      <c r="G211" s="65" t="s">
        <v>8185</v>
      </c>
      <c r="H211" s="14" t="s">
        <v>1829</v>
      </c>
      <c r="I211" s="15">
        <v>44755</v>
      </c>
      <c r="J211" t="s">
        <v>3759</v>
      </c>
      <c r="K211" t="s">
        <v>51</v>
      </c>
      <c r="L211" t="s">
        <v>52</v>
      </c>
      <c r="M211" t="s">
        <v>53</v>
      </c>
      <c r="N211" t="s">
        <v>3760</v>
      </c>
      <c r="O211" t="s">
        <v>3761</v>
      </c>
      <c r="P211" t="s">
        <v>56</v>
      </c>
      <c r="Q211" s="21" t="s">
        <v>3848</v>
      </c>
      <c r="R211" s="21"/>
      <c r="S211" t="s">
        <v>3849</v>
      </c>
      <c r="T211" t="s">
        <v>3861</v>
      </c>
      <c r="W211" t="s">
        <v>2440</v>
      </c>
      <c r="X211" t="s">
        <v>1832</v>
      </c>
      <c r="Z211" s="15"/>
      <c r="AB211">
        <v>38.218246000000001</v>
      </c>
      <c r="AC211">
        <v>-84.203367999999998</v>
      </c>
      <c r="AD211" t="s">
        <v>3862</v>
      </c>
      <c r="AG211" t="s">
        <v>1715</v>
      </c>
      <c r="AH211" t="s">
        <v>63</v>
      </c>
      <c r="AI211" t="s">
        <v>3863</v>
      </c>
      <c r="AJ211">
        <v>194484</v>
      </c>
      <c r="AL211" t="s">
        <v>3864</v>
      </c>
      <c r="AM211" t="s">
        <v>3865</v>
      </c>
      <c r="AN211" t="s">
        <v>3866</v>
      </c>
      <c r="AO211" t="s">
        <v>68</v>
      </c>
      <c r="AQ211" t="s">
        <v>3867</v>
      </c>
      <c r="AR211" t="s">
        <v>3868</v>
      </c>
      <c r="AS211" t="s">
        <v>3869</v>
      </c>
      <c r="AV211" s="14" t="s">
        <v>72</v>
      </c>
      <c r="AW211" s="14" t="s">
        <v>73</v>
      </c>
      <c r="AX211" s="14" t="s">
        <v>74</v>
      </c>
    </row>
    <row r="212" spans="1:50" ht="15" customHeight="1" x14ac:dyDescent="0.4">
      <c r="A212" s="12">
        <v>3662</v>
      </c>
      <c r="B212" s="21" t="s">
        <v>3870</v>
      </c>
      <c r="C212" s="13" t="s">
        <v>3871</v>
      </c>
      <c r="D212" s="25" t="s">
        <v>3871</v>
      </c>
      <c r="E212" s="13"/>
      <c r="F212" s="41"/>
      <c r="G212" s="65" t="s">
        <v>8185</v>
      </c>
      <c r="H212" s="14" t="s">
        <v>49</v>
      </c>
      <c r="I212" s="15">
        <v>44755</v>
      </c>
      <c r="J212" t="s">
        <v>3759</v>
      </c>
      <c r="K212" t="s">
        <v>51</v>
      </c>
      <c r="L212" t="s">
        <v>52</v>
      </c>
      <c r="M212" t="s">
        <v>53</v>
      </c>
      <c r="N212" t="s">
        <v>3760</v>
      </c>
      <c r="O212" t="s">
        <v>3761</v>
      </c>
      <c r="P212" t="s">
        <v>56</v>
      </c>
      <c r="Q212" s="21" t="s">
        <v>3848</v>
      </c>
      <c r="R212" s="21"/>
      <c r="S212" t="s">
        <v>3849</v>
      </c>
      <c r="T212" t="s">
        <v>3872</v>
      </c>
      <c r="W212" t="s">
        <v>2440</v>
      </c>
      <c r="X212" t="s">
        <v>60</v>
      </c>
      <c r="Z212" s="15"/>
      <c r="AB212">
        <v>38.278441000000001</v>
      </c>
      <c r="AC212">
        <v>-84.203367999999998</v>
      </c>
      <c r="AD212" t="s">
        <v>3020</v>
      </c>
      <c r="AG212" t="s">
        <v>1715</v>
      </c>
      <c r="AH212" t="s">
        <v>63</v>
      </c>
      <c r="AI212" t="s">
        <v>3873</v>
      </c>
      <c r="AJ212">
        <v>193370</v>
      </c>
      <c r="AL212" t="s">
        <v>3874</v>
      </c>
      <c r="AM212" t="s">
        <v>3875</v>
      </c>
      <c r="AN212" t="s">
        <v>3876</v>
      </c>
      <c r="AO212" t="s">
        <v>68</v>
      </c>
      <c r="AQ212" t="s">
        <v>3877</v>
      </c>
      <c r="AR212" t="s">
        <v>3878</v>
      </c>
      <c r="AS212" t="s">
        <v>3879</v>
      </c>
      <c r="AV212" s="14" t="s">
        <v>72</v>
      </c>
      <c r="AW212" s="14" t="s">
        <v>73</v>
      </c>
      <c r="AX212" s="14" t="s">
        <v>74</v>
      </c>
    </row>
    <row r="213" spans="1:50" ht="15" customHeight="1" x14ac:dyDescent="0.4">
      <c r="A213" s="12">
        <v>3663</v>
      </c>
      <c r="B213" s="21" t="s">
        <v>3880</v>
      </c>
      <c r="C213" s="13" t="s">
        <v>3881</v>
      </c>
      <c r="D213" s="25" t="s">
        <v>3881</v>
      </c>
      <c r="E213" s="13"/>
      <c r="F213" s="41"/>
      <c r="G213" s="65" t="s">
        <v>8178</v>
      </c>
      <c r="H213" s="14" t="s">
        <v>1829</v>
      </c>
      <c r="I213" s="15">
        <v>44755</v>
      </c>
      <c r="J213" t="s">
        <v>3759</v>
      </c>
      <c r="K213" t="s">
        <v>51</v>
      </c>
      <c r="L213" t="s">
        <v>52</v>
      </c>
      <c r="M213" t="s">
        <v>53</v>
      </c>
      <c r="N213" t="s">
        <v>3760</v>
      </c>
      <c r="O213" t="s">
        <v>3761</v>
      </c>
      <c r="P213" t="s">
        <v>56</v>
      </c>
      <c r="Q213" s="21" t="s">
        <v>3848</v>
      </c>
      <c r="R213" s="21"/>
      <c r="S213" t="s">
        <v>3849</v>
      </c>
      <c r="T213" t="s">
        <v>3882</v>
      </c>
      <c r="W213" t="s">
        <v>3765</v>
      </c>
      <c r="X213" t="s">
        <v>1832</v>
      </c>
      <c r="Z213" s="15"/>
      <c r="AB213">
        <v>38.277377999999999</v>
      </c>
      <c r="AC213">
        <v>-84.201969000000005</v>
      </c>
      <c r="AD213" t="s">
        <v>3883</v>
      </c>
      <c r="AG213" t="s">
        <v>1715</v>
      </c>
      <c r="AH213" t="s">
        <v>63</v>
      </c>
      <c r="AI213" t="s">
        <v>3884</v>
      </c>
      <c r="AJ213">
        <v>194483</v>
      </c>
      <c r="AL213" t="s">
        <v>3885</v>
      </c>
      <c r="AM213" t="s">
        <v>3886</v>
      </c>
      <c r="AN213" t="s">
        <v>3887</v>
      </c>
      <c r="AO213" t="s">
        <v>68</v>
      </c>
      <c r="AQ213" t="s">
        <v>3888</v>
      </c>
      <c r="AR213" t="s">
        <v>3889</v>
      </c>
      <c r="AS213" t="s">
        <v>3890</v>
      </c>
      <c r="AV213" s="14" t="s">
        <v>72</v>
      </c>
      <c r="AW213" s="14" t="s">
        <v>73</v>
      </c>
      <c r="AX213" s="14" t="s">
        <v>74</v>
      </c>
    </row>
    <row r="214" spans="1:50" ht="15" customHeight="1" x14ac:dyDescent="0.4">
      <c r="A214" s="12">
        <v>3664</v>
      </c>
      <c r="B214" s="21" t="s">
        <v>3891</v>
      </c>
      <c r="C214" s="13" t="s">
        <v>3892</v>
      </c>
      <c r="D214" s="25" t="s">
        <v>3892</v>
      </c>
      <c r="E214" s="13"/>
      <c r="F214" s="41"/>
      <c r="G214" s="65" t="s">
        <v>8185</v>
      </c>
      <c r="H214" s="14" t="s">
        <v>1829</v>
      </c>
      <c r="I214" s="15">
        <v>44755</v>
      </c>
      <c r="J214" t="s">
        <v>3759</v>
      </c>
      <c r="K214" t="s">
        <v>51</v>
      </c>
      <c r="L214" t="s">
        <v>52</v>
      </c>
      <c r="M214" t="s">
        <v>53</v>
      </c>
      <c r="N214" t="s">
        <v>3760</v>
      </c>
      <c r="O214" t="s">
        <v>3761</v>
      </c>
      <c r="P214" t="s">
        <v>56</v>
      </c>
      <c r="Q214" s="21" t="s">
        <v>3848</v>
      </c>
      <c r="R214" s="21"/>
      <c r="S214" t="s">
        <v>3849</v>
      </c>
      <c r="T214" t="s">
        <v>3893</v>
      </c>
      <c r="W214" t="s">
        <v>1758</v>
      </c>
      <c r="X214" t="s">
        <v>1832</v>
      </c>
      <c r="Z214" s="15"/>
      <c r="AB214">
        <v>38.271569999999997</v>
      </c>
      <c r="AC214">
        <v>-84.207532</v>
      </c>
      <c r="AD214" t="s">
        <v>3894</v>
      </c>
      <c r="AG214" t="s">
        <v>1715</v>
      </c>
      <c r="AH214" t="s">
        <v>63</v>
      </c>
      <c r="AI214" t="s">
        <v>3895</v>
      </c>
      <c r="AJ214">
        <v>194482</v>
      </c>
      <c r="AL214" t="s">
        <v>3896</v>
      </c>
      <c r="AM214" t="s">
        <v>3897</v>
      </c>
      <c r="AN214" t="s">
        <v>3898</v>
      </c>
      <c r="AO214" t="s">
        <v>68</v>
      </c>
      <c r="AQ214" t="s">
        <v>3899</v>
      </c>
      <c r="AR214" t="s">
        <v>3900</v>
      </c>
      <c r="AS214" t="s">
        <v>3901</v>
      </c>
      <c r="AV214" s="14" t="s">
        <v>72</v>
      </c>
      <c r="AW214" s="14" t="s">
        <v>73</v>
      </c>
      <c r="AX214" s="14" t="s">
        <v>74</v>
      </c>
    </row>
    <row r="215" spans="1:50" ht="15" customHeight="1" x14ac:dyDescent="0.4">
      <c r="A215" s="12">
        <v>3665</v>
      </c>
      <c r="B215" s="21" t="s">
        <v>3902</v>
      </c>
      <c r="C215" s="13" t="s">
        <v>3903</v>
      </c>
      <c r="D215" s="25" t="s">
        <v>3903</v>
      </c>
      <c r="E215" s="13"/>
      <c r="F215" s="41"/>
      <c r="G215" s="65" t="s">
        <v>8185</v>
      </c>
      <c r="H215" s="14" t="s">
        <v>1829</v>
      </c>
      <c r="I215" s="15">
        <v>44755</v>
      </c>
      <c r="J215" t="s">
        <v>3759</v>
      </c>
      <c r="K215" t="s">
        <v>51</v>
      </c>
      <c r="L215" t="s">
        <v>52</v>
      </c>
      <c r="M215" t="s">
        <v>53</v>
      </c>
      <c r="N215" t="s">
        <v>3760</v>
      </c>
      <c r="O215" t="s">
        <v>3761</v>
      </c>
      <c r="P215" t="s">
        <v>56</v>
      </c>
      <c r="Q215" s="21" t="s">
        <v>3848</v>
      </c>
      <c r="R215" s="21"/>
      <c r="S215" t="s">
        <v>3849</v>
      </c>
      <c r="T215" t="s">
        <v>3904</v>
      </c>
      <c r="W215" t="s">
        <v>1758</v>
      </c>
      <c r="X215" t="s">
        <v>1832</v>
      </c>
      <c r="Z215" s="15"/>
      <c r="AB215">
        <v>38.272506999999997</v>
      </c>
      <c r="AC215">
        <v>-84.208583000000004</v>
      </c>
      <c r="AD215" t="s">
        <v>3905</v>
      </c>
      <c r="AG215" t="s">
        <v>1715</v>
      </c>
      <c r="AH215" t="s">
        <v>63</v>
      </c>
      <c r="AI215" t="s">
        <v>3906</v>
      </c>
      <c r="AJ215">
        <v>194481</v>
      </c>
      <c r="AL215" t="s">
        <v>3907</v>
      </c>
      <c r="AM215" t="s">
        <v>3908</v>
      </c>
      <c r="AN215" t="s">
        <v>3909</v>
      </c>
      <c r="AO215" t="s">
        <v>68</v>
      </c>
      <c r="AQ215" t="s">
        <v>3910</v>
      </c>
      <c r="AR215" t="s">
        <v>3911</v>
      </c>
      <c r="AS215" t="s">
        <v>3912</v>
      </c>
      <c r="AV215" s="14" t="s">
        <v>72</v>
      </c>
      <c r="AW215" s="14" t="s">
        <v>73</v>
      </c>
      <c r="AX215" s="14" t="s">
        <v>74</v>
      </c>
    </row>
    <row r="216" spans="1:50" ht="15" customHeight="1" x14ac:dyDescent="0.4">
      <c r="A216" s="12">
        <v>3666</v>
      </c>
      <c r="B216" s="21" t="s">
        <v>3913</v>
      </c>
      <c r="C216" s="13" t="s">
        <v>3914</v>
      </c>
      <c r="D216" s="25" t="s">
        <v>3914</v>
      </c>
      <c r="E216" s="13"/>
      <c r="F216" s="41"/>
      <c r="G216" s="65" t="s">
        <v>8185</v>
      </c>
      <c r="H216" s="14" t="s">
        <v>49</v>
      </c>
      <c r="I216" s="15">
        <v>44755</v>
      </c>
      <c r="J216" t="s">
        <v>3759</v>
      </c>
      <c r="K216" t="s">
        <v>51</v>
      </c>
      <c r="L216" t="s">
        <v>52</v>
      </c>
      <c r="M216" t="s">
        <v>53</v>
      </c>
      <c r="N216" t="s">
        <v>3760</v>
      </c>
      <c r="O216" t="s">
        <v>3761</v>
      </c>
      <c r="P216" t="s">
        <v>56</v>
      </c>
      <c r="Q216" s="21" t="s">
        <v>3848</v>
      </c>
      <c r="R216" s="21"/>
      <c r="S216" t="s">
        <v>3849</v>
      </c>
      <c r="T216" t="s">
        <v>3915</v>
      </c>
      <c r="W216" t="s">
        <v>2452</v>
      </c>
      <c r="X216" t="s">
        <v>60</v>
      </c>
      <c r="Z216" s="15"/>
      <c r="AB216">
        <v>38.272666999999998</v>
      </c>
      <c r="AC216">
        <v>-84.209079000000003</v>
      </c>
      <c r="AD216" t="s">
        <v>3916</v>
      </c>
      <c r="AG216" t="s">
        <v>1715</v>
      </c>
      <c r="AH216" t="s">
        <v>63</v>
      </c>
      <c r="AI216" t="s">
        <v>3917</v>
      </c>
      <c r="AJ216">
        <v>194421</v>
      </c>
      <c r="AL216" t="s">
        <v>3918</v>
      </c>
      <c r="AM216" t="s">
        <v>3919</v>
      </c>
      <c r="AN216" t="s">
        <v>3920</v>
      </c>
      <c r="AO216" t="s">
        <v>68</v>
      </c>
      <c r="AQ216" t="s">
        <v>3921</v>
      </c>
      <c r="AR216" t="s">
        <v>3922</v>
      </c>
      <c r="AS216" t="s">
        <v>3923</v>
      </c>
      <c r="AV216" s="14" t="s">
        <v>72</v>
      </c>
      <c r="AW216" s="14" t="s">
        <v>73</v>
      </c>
      <c r="AX216" s="14" t="s">
        <v>74</v>
      </c>
    </row>
    <row r="217" spans="1:50" ht="15" customHeight="1" x14ac:dyDescent="0.4">
      <c r="A217" s="12">
        <v>3667</v>
      </c>
      <c r="B217" s="21" t="s">
        <v>3924</v>
      </c>
      <c r="C217" s="13" t="s">
        <v>3925</v>
      </c>
      <c r="D217" s="25" t="s">
        <v>3925</v>
      </c>
      <c r="E217" s="13"/>
      <c r="F217" s="41"/>
      <c r="G217" s="65" t="s">
        <v>8185</v>
      </c>
      <c r="H217" s="14" t="s">
        <v>49</v>
      </c>
      <c r="I217" s="15">
        <v>44755</v>
      </c>
      <c r="J217" t="s">
        <v>3759</v>
      </c>
      <c r="K217" t="s">
        <v>51</v>
      </c>
      <c r="L217" t="s">
        <v>52</v>
      </c>
      <c r="M217" t="s">
        <v>53</v>
      </c>
      <c r="N217" t="s">
        <v>3760</v>
      </c>
      <c r="O217" t="s">
        <v>3761</v>
      </c>
      <c r="P217" t="s">
        <v>56</v>
      </c>
      <c r="Q217" s="21" t="s">
        <v>3848</v>
      </c>
      <c r="R217" s="21"/>
      <c r="S217" t="s">
        <v>3849</v>
      </c>
      <c r="T217" t="s">
        <v>3926</v>
      </c>
      <c r="W217" t="s">
        <v>2452</v>
      </c>
      <c r="X217" t="s">
        <v>60</v>
      </c>
      <c r="Z217" s="15"/>
      <c r="AB217">
        <v>38.273397000000003</v>
      </c>
      <c r="AC217">
        <v>-84.208157999999997</v>
      </c>
      <c r="AD217" t="s">
        <v>3927</v>
      </c>
      <c r="AG217" t="s">
        <v>1715</v>
      </c>
      <c r="AH217" t="s">
        <v>63</v>
      </c>
      <c r="AI217" t="s">
        <v>3928</v>
      </c>
      <c r="AJ217">
        <v>194422</v>
      </c>
      <c r="AL217" t="s">
        <v>3929</v>
      </c>
      <c r="AM217" t="s">
        <v>3930</v>
      </c>
      <c r="AN217" t="s">
        <v>3931</v>
      </c>
      <c r="AO217" t="s">
        <v>68</v>
      </c>
      <c r="AQ217" t="s">
        <v>3932</v>
      </c>
      <c r="AR217" t="s">
        <v>3933</v>
      </c>
      <c r="AS217" t="s">
        <v>3934</v>
      </c>
      <c r="AV217" s="14" t="s">
        <v>72</v>
      </c>
      <c r="AW217" s="14" t="s">
        <v>73</v>
      </c>
      <c r="AX217" s="14" t="s">
        <v>74</v>
      </c>
    </row>
    <row r="218" spans="1:50" ht="15" customHeight="1" x14ac:dyDescent="0.4">
      <c r="A218" s="12">
        <v>3668</v>
      </c>
      <c r="B218" s="21" t="s">
        <v>3935</v>
      </c>
      <c r="C218" s="13" t="s">
        <v>3936</v>
      </c>
      <c r="D218" s="25" t="s">
        <v>3936</v>
      </c>
      <c r="E218" s="13"/>
      <c r="F218" s="41"/>
      <c r="G218" s="65" t="s">
        <v>8178</v>
      </c>
      <c r="H218" s="14" t="s">
        <v>1829</v>
      </c>
      <c r="I218" s="15">
        <v>44755</v>
      </c>
      <c r="J218" t="s">
        <v>3759</v>
      </c>
      <c r="K218" t="s">
        <v>51</v>
      </c>
      <c r="L218" t="s">
        <v>52</v>
      </c>
      <c r="M218" t="s">
        <v>53</v>
      </c>
      <c r="N218" t="s">
        <v>3760</v>
      </c>
      <c r="O218" t="s">
        <v>3761</v>
      </c>
      <c r="P218" t="s">
        <v>56</v>
      </c>
      <c r="Q218" s="21" t="s">
        <v>3848</v>
      </c>
      <c r="R218" s="21"/>
      <c r="S218" t="s">
        <v>3849</v>
      </c>
      <c r="T218" t="s">
        <v>3937</v>
      </c>
      <c r="W218" t="s">
        <v>1758</v>
      </c>
      <c r="X218" t="s">
        <v>1832</v>
      </c>
      <c r="Z218" s="15"/>
      <c r="AB218">
        <v>38.273643</v>
      </c>
      <c r="AC218">
        <v>-84.208108999999993</v>
      </c>
      <c r="AD218" t="s">
        <v>3938</v>
      </c>
      <c r="AG218" t="s">
        <v>1715</v>
      </c>
      <c r="AH218" t="s">
        <v>63</v>
      </c>
      <c r="AI218" t="s">
        <v>3939</v>
      </c>
      <c r="AJ218">
        <v>194480</v>
      </c>
      <c r="AL218" t="s">
        <v>3940</v>
      </c>
      <c r="AM218" t="s">
        <v>3941</v>
      </c>
      <c r="AN218" t="s">
        <v>3942</v>
      </c>
      <c r="AO218" t="s">
        <v>68</v>
      </c>
      <c r="AQ218" t="s">
        <v>3943</v>
      </c>
      <c r="AR218" t="s">
        <v>3944</v>
      </c>
      <c r="AS218" t="s">
        <v>3945</v>
      </c>
      <c r="AV218" s="14" t="s">
        <v>72</v>
      </c>
      <c r="AW218" s="14" t="s">
        <v>73</v>
      </c>
      <c r="AX218" s="14" t="s">
        <v>74</v>
      </c>
    </row>
    <row r="219" spans="1:50" ht="15" customHeight="1" x14ac:dyDescent="0.4">
      <c r="A219" s="12">
        <v>3669</v>
      </c>
      <c r="B219" s="21" t="s">
        <v>3946</v>
      </c>
      <c r="C219" s="13" t="s">
        <v>3947</v>
      </c>
      <c r="D219" s="25" t="s">
        <v>3947</v>
      </c>
      <c r="E219" s="13"/>
      <c r="F219" s="41"/>
      <c r="G219" s="65" t="s">
        <v>8185</v>
      </c>
      <c r="H219" s="14" t="s">
        <v>49</v>
      </c>
      <c r="I219" s="15">
        <v>44755</v>
      </c>
      <c r="J219" t="s">
        <v>3759</v>
      </c>
      <c r="K219" t="s">
        <v>51</v>
      </c>
      <c r="L219" t="s">
        <v>52</v>
      </c>
      <c r="M219" t="s">
        <v>53</v>
      </c>
      <c r="N219" t="s">
        <v>3760</v>
      </c>
      <c r="O219" t="s">
        <v>3761</v>
      </c>
      <c r="P219" t="s">
        <v>56</v>
      </c>
      <c r="Q219" s="21" t="s">
        <v>3848</v>
      </c>
      <c r="R219" s="21"/>
      <c r="S219" t="s">
        <v>3849</v>
      </c>
      <c r="T219" t="s">
        <v>3948</v>
      </c>
      <c r="W219" t="s">
        <v>1758</v>
      </c>
      <c r="X219" t="s">
        <v>60</v>
      </c>
      <c r="Z219" s="15"/>
      <c r="AB219">
        <v>38.274020999999998</v>
      </c>
      <c r="AC219">
        <v>-84.209338000000002</v>
      </c>
      <c r="AD219" t="s">
        <v>3949</v>
      </c>
      <c r="AG219" t="s">
        <v>1715</v>
      </c>
      <c r="AH219" t="s">
        <v>63</v>
      </c>
      <c r="AI219" t="s">
        <v>3950</v>
      </c>
      <c r="AJ219">
        <v>194404</v>
      </c>
      <c r="AL219" t="s">
        <v>3951</v>
      </c>
      <c r="AM219" t="s">
        <v>3952</v>
      </c>
      <c r="AN219" t="s">
        <v>3953</v>
      </c>
      <c r="AO219" t="s">
        <v>68</v>
      </c>
      <c r="AQ219" t="s">
        <v>3954</v>
      </c>
      <c r="AR219" t="s">
        <v>3955</v>
      </c>
      <c r="AS219" t="s">
        <v>3956</v>
      </c>
      <c r="AV219" s="14" t="s">
        <v>72</v>
      </c>
      <c r="AW219" s="14" t="s">
        <v>73</v>
      </c>
      <c r="AX219" s="14" t="s">
        <v>74</v>
      </c>
    </row>
    <row r="220" spans="1:50" ht="15" customHeight="1" x14ac:dyDescent="0.4">
      <c r="A220" s="12">
        <v>3657</v>
      </c>
      <c r="B220" s="21" t="s">
        <v>3811</v>
      </c>
      <c r="C220" s="13" t="s">
        <v>3812</v>
      </c>
      <c r="D220" s="25" t="s">
        <v>3812</v>
      </c>
      <c r="E220" s="13"/>
      <c r="F220" s="41"/>
      <c r="G220" s="65" t="s">
        <v>8185</v>
      </c>
      <c r="H220" s="14" t="s">
        <v>49</v>
      </c>
      <c r="I220" s="15">
        <v>44754</v>
      </c>
      <c r="J220" t="s">
        <v>3759</v>
      </c>
      <c r="K220" t="s">
        <v>51</v>
      </c>
      <c r="L220" t="s">
        <v>52</v>
      </c>
      <c r="M220" t="s">
        <v>53</v>
      </c>
      <c r="N220" t="s">
        <v>3760</v>
      </c>
      <c r="O220" t="s">
        <v>3761</v>
      </c>
      <c r="P220" t="s">
        <v>56</v>
      </c>
      <c r="Q220" s="21" t="s">
        <v>2721</v>
      </c>
      <c r="R220" s="21"/>
      <c r="S220" t="s">
        <v>3813</v>
      </c>
      <c r="T220" t="s">
        <v>3814</v>
      </c>
      <c r="W220" t="s">
        <v>3815</v>
      </c>
      <c r="X220" t="s">
        <v>60</v>
      </c>
      <c r="Z220" s="15"/>
      <c r="AB220">
        <v>38.055833999999997</v>
      </c>
      <c r="AC220">
        <v>-84.476246000000003</v>
      </c>
      <c r="AD220" t="s">
        <v>3816</v>
      </c>
      <c r="AG220" t="s">
        <v>1715</v>
      </c>
      <c r="AH220" t="s">
        <v>63</v>
      </c>
      <c r="AI220" t="s">
        <v>3817</v>
      </c>
      <c r="AJ220">
        <v>194419</v>
      </c>
      <c r="AL220" t="s">
        <v>3818</v>
      </c>
      <c r="AM220" t="s">
        <v>3819</v>
      </c>
      <c r="AN220" t="s">
        <v>3820</v>
      </c>
      <c r="AO220" t="s">
        <v>68</v>
      </c>
      <c r="AQ220" t="s">
        <v>3821</v>
      </c>
      <c r="AR220" t="s">
        <v>3822</v>
      </c>
      <c r="AS220" t="s">
        <v>3823</v>
      </c>
      <c r="AV220" s="14" t="s">
        <v>72</v>
      </c>
      <c r="AW220" s="14" t="s">
        <v>73</v>
      </c>
      <c r="AX220" s="14" t="s">
        <v>74</v>
      </c>
    </row>
    <row r="221" spans="1:50" ht="15" customHeight="1" x14ac:dyDescent="0.4">
      <c r="A221" s="12">
        <v>3658</v>
      </c>
      <c r="B221" s="21" t="s">
        <v>3824</v>
      </c>
      <c r="C221" s="13" t="s">
        <v>3825</v>
      </c>
      <c r="D221" s="25" t="s">
        <v>3825</v>
      </c>
      <c r="E221" s="13"/>
      <c r="F221" s="41"/>
      <c r="G221" s="65" t="s">
        <v>8185</v>
      </c>
      <c r="H221" s="14" t="s">
        <v>1829</v>
      </c>
      <c r="I221" s="15">
        <v>44754</v>
      </c>
      <c r="J221" t="s">
        <v>3759</v>
      </c>
      <c r="K221" t="s">
        <v>51</v>
      </c>
      <c r="L221" t="s">
        <v>52</v>
      </c>
      <c r="M221" t="s">
        <v>53</v>
      </c>
      <c r="N221" t="s">
        <v>3760</v>
      </c>
      <c r="O221" t="s">
        <v>3761</v>
      </c>
      <c r="P221" t="s">
        <v>56</v>
      </c>
      <c r="Q221" s="21" t="s">
        <v>2721</v>
      </c>
      <c r="R221" s="21"/>
      <c r="S221" t="s">
        <v>3826</v>
      </c>
      <c r="T221" t="s">
        <v>3827</v>
      </c>
      <c r="W221" t="s">
        <v>1758</v>
      </c>
      <c r="X221" t="s">
        <v>1832</v>
      </c>
      <c r="Z221" s="15"/>
      <c r="AB221">
        <v>38.055771999999997</v>
      </c>
      <c r="AC221">
        <v>-84.476893000000004</v>
      </c>
      <c r="AD221" t="s">
        <v>3828</v>
      </c>
      <c r="AG221" t="s">
        <v>1715</v>
      </c>
      <c r="AH221" t="s">
        <v>63</v>
      </c>
      <c r="AI221" t="s">
        <v>3829</v>
      </c>
      <c r="AJ221">
        <v>194486</v>
      </c>
      <c r="AL221" t="s">
        <v>3830</v>
      </c>
      <c r="AM221" t="s">
        <v>3831</v>
      </c>
      <c r="AN221" t="s">
        <v>3832</v>
      </c>
      <c r="AO221" t="s">
        <v>68</v>
      </c>
      <c r="AQ221" t="s">
        <v>3833</v>
      </c>
      <c r="AR221" t="s">
        <v>3834</v>
      </c>
      <c r="AS221" t="s">
        <v>3835</v>
      </c>
      <c r="AV221" s="14" t="s">
        <v>72</v>
      </c>
      <c r="AW221" s="14" t="s">
        <v>73</v>
      </c>
      <c r="AX221" s="14" t="s">
        <v>74</v>
      </c>
    </row>
    <row r="222" spans="1:50" ht="15" customHeight="1" x14ac:dyDescent="0.4">
      <c r="A222" s="12">
        <v>3659</v>
      </c>
      <c r="B222" s="21" t="s">
        <v>3836</v>
      </c>
      <c r="C222" s="13" t="s">
        <v>3837</v>
      </c>
      <c r="D222" s="25" t="s">
        <v>3837</v>
      </c>
      <c r="E222" s="13"/>
      <c r="F222" s="41"/>
      <c r="G222" s="65" t="s">
        <v>8178</v>
      </c>
      <c r="H222" s="14" t="s">
        <v>1829</v>
      </c>
      <c r="I222" s="15">
        <v>44754</v>
      </c>
      <c r="J222" t="s">
        <v>3759</v>
      </c>
      <c r="K222" t="s">
        <v>51</v>
      </c>
      <c r="L222" t="s">
        <v>52</v>
      </c>
      <c r="M222" t="s">
        <v>53</v>
      </c>
      <c r="N222" t="s">
        <v>3760</v>
      </c>
      <c r="O222" t="s">
        <v>3761</v>
      </c>
      <c r="P222" t="s">
        <v>56</v>
      </c>
      <c r="Q222" s="21" t="s">
        <v>2721</v>
      </c>
      <c r="R222" s="21"/>
      <c r="S222" t="s">
        <v>3826</v>
      </c>
      <c r="T222" t="s">
        <v>3838</v>
      </c>
      <c r="W222" t="s">
        <v>1758</v>
      </c>
      <c r="X222" t="s">
        <v>1832</v>
      </c>
      <c r="Z222" s="15"/>
      <c r="AB222">
        <v>38.054630000000003</v>
      </c>
      <c r="AC222">
        <v>-84.475660000000005</v>
      </c>
      <c r="AD222" t="s">
        <v>3816</v>
      </c>
      <c r="AG222" t="s">
        <v>1715</v>
      </c>
      <c r="AH222" t="s">
        <v>63</v>
      </c>
      <c r="AI222" t="s">
        <v>3839</v>
      </c>
      <c r="AJ222">
        <v>194485</v>
      </c>
      <c r="AL222" t="s">
        <v>3840</v>
      </c>
      <c r="AM222" t="s">
        <v>3841</v>
      </c>
      <c r="AN222" t="s">
        <v>3842</v>
      </c>
      <c r="AO222" t="s">
        <v>68</v>
      </c>
      <c r="AQ222" t="s">
        <v>3843</v>
      </c>
      <c r="AR222" t="s">
        <v>3844</v>
      </c>
      <c r="AS222" t="s">
        <v>3845</v>
      </c>
      <c r="AV222" s="14" t="s">
        <v>72</v>
      </c>
      <c r="AW222" s="14" t="s">
        <v>73</v>
      </c>
      <c r="AX222" s="14" t="s">
        <v>74</v>
      </c>
    </row>
    <row r="223" spans="1:50" ht="15" customHeight="1" x14ac:dyDescent="0.4">
      <c r="A223" s="12">
        <v>3695</v>
      </c>
      <c r="B223" s="21" t="s">
        <v>4241</v>
      </c>
      <c r="C223" s="13" t="s">
        <v>4242</v>
      </c>
      <c r="D223" s="25" t="s">
        <v>4242</v>
      </c>
      <c r="E223" s="13"/>
      <c r="F223" s="41"/>
      <c r="G223" s="65" t="s">
        <v>8185</v>
      </c>
      <c r="H223" s="14" t="s">
        <v>49</v>
      </c>
      <c r="I223" s="15">
        <v>44756</v>
      </c>
      <c r="J223" t="s">
        <v>3700</v>
      </c>
      <c r="K223" t="s">
        <v>51</v>
      </c>
      <c r="L223" t="s">
        <v>52</v>
      </c>
      <c r="M223" t="s">
        <v>53</v>
      </c>
      <c r="N223" t="s">
        <v>3760</v>
      </c>
      <c r="O223" t="s">
        <v>4072</v>
      </c>
      <c r="P223" t="s">
        <v>56</v>
      </c>
      <c r="Q223" s="21" t="s">
        <v>4243</v>
      </c>
      <c r="R223" s="21"/>
      <c r="S223" t="s">
        <v>4244</v>
      </c>
      <c r="T223" t="s">
        <v>4245</v>
      </c>
      <c r="X223" t="s">
        <v>60</v>
      </c>
      <c r="Z223" s="15"/>
      <c r="AB223">
        <v>37.899307</v>
      </c>
      <c r="AC223">
        <v>-87.506533000000005</v>
      </c>
      <c r="AD223" t="s">
        <v>4246</v>
      </c>
      <c r="AG223" t="s">
        <v>1715</v>
      </c>
      <c r="AH223" t="s">
        <v>63</v>
      </c>
      <c r="AI223" t="s">
        <v>4247</v>
      </c>
      <c r="AJ223">
        <v>194410</v>
      </c>
      <c r="AL223" t="s">
        <v>4248</v>
      </c>
      <c r="AM223" t="s">
        <v>4249</v>
      </c>
      <c r="AN223" t="s">
        <v>4250</v>
      </c>
      <c r="AO223" t="s">
        <v>68</v>
      </c>
      <c r="AQ223" t="s">
        <v>4251</v>
      </c>
      <c r="AR223" t="s">
        <v>4252</v>
      </c>
      <c r="AS223" t="s">
        <v>4253</v>
      </c>
      <c r="AV223" s="14" t="s">
        <v>72</v>
      </c>
      <c r="AW223" s="14" t="s">
        <v>73</v>
      </c>
      <c r="AX223" s="14" t="s">
        <v>74</v>
      </c>
    </row>
    <row r="224" spans="1:50" ht="15" customHeight="1" x14ac:dyDescent="0.4">
      <c r="A224" s="12">
        <v>3696</v>
      </c>
      <c r="B224" s="21" t="s">
        <v>4254</v>
      </c>
      <c r="C224" s="13" t="s">
        <v>4255</v>
      </c>
      <c r="D224" s="25" t="s">
        <v>4255</v>
      </c>
      <c r="E224" s="13"/>
      <c r="F224" s="41"/>
      <c r="G224" s="65" t="s">
        <v>8185</v>
      </c>
      <c r="H224" s="14" t="s">
        <v>49</v>
      </c>
      <c r="I224" s="15">
        <v>44756</v>
      </c>
      <c r="J224" t="s">
        <v>3700</v>
      </c>
      <c r="K224" t="s">
        <v>51</v>
      </c>
      <c r="L224" t="s">
        <v>52</v>
      </c>
      <c r="M224" t="s">
        <v>53</v>
      </c>
      <c r="N224" t="s">
        <v>3760</v>
      </c>
      <c r="O224" t="s">
        <v>4072</v>
      </c>
      <c r="P224" t="s">
        <v>56</v>
      </c>
      <c r="Q224" s="21" t="s">
        <v>4243</v>
      </c>
      <c r="R224" s="21"/>
      <c r="S224" t="s">
        <v>4256</v>
      </c>
      <c r="T224" t="s">
        <v>4257</v>
      </c>
      <c r="W224" t="s">
        <v>2336</v>
      </c>
      <c r="X224" t="s">
        <v>60</v>
      </c>
      <c r="Z224" s="15"/>
      <c r="AB224">
        <v>37.898916</v>
      </c>
      <c r="AC224">
        <v>-87.504164000000003</v>
      </c>
      <c r="AD224" t="s">
        <v>4258</v>
      </c>
      <c r="AG224" t="s">
        <v>1715</v>
      </c>
      <c r="AH224" t="s">
        <v>63</v>
      </c>
      <c r="AI224" t="s">
        <v>4259</v>
      </c>
      <c r="AJ224">
        <v>194411</v>
      </c>
      <c r="AL224" t="s">
        <v>4260</v>
      </c>
      <c r="AM224" t="s">
        <v>4261</v>
      </c>
      <c r="AN224" t="s">
        <v>4262</v>
      </c>
      <c r="AO224" t="s">
        <v>68</v>
      </c>
      <c r="AQ224" t="s">
        <v>4263</v>
      </c>
      <c r="AR224" t="s">
        <v>4264</v>
      </c>
      <c r="AS224" t="s">
        <v>4265</v>
      </c>
      <c r="AV224" s="14" t="s">
        <v>72</v>
      </c>
      <c r="AW224" s="14" t="s">
        <v>73</v>
      </c>
      <c r="AX224" s="14" t="s">
        <v>74</v>
      </c>
    </row>
    <row r="225" spans="1:50" ht="15" customHeight="1" x14ac:dyDescent="0.4">
      <c r="A225" s="12">
        <v>3697</v>
      </c>
      <c r="B225" s="21" t="s">
        <v>4266</v>
      </c>
      <c r="C225" s="13" t="s">
        <v>4267</v>
      </c>
      <c r="D225" s="25" t="s">
        <v>4267</v>
      </c>
      <c r="E225" s="13"/>
      <c r="F225" s="41"/>
      <c r="G225" s="65" t="s">
        <v>8185</v>
      </c>
      <c r="H225" s="14" t="s">
        <v>49</v>
      </c>
      <c r="I225" s="15">
        <v>44756</v>
      </c>
      <c r="J225" t="s">
        <v>3700</v>
      </c>
      <c r="K225" t="s">
        <v>51</v>
      </c>
      <c r="L225" t="s">
        <v>52</v>
      </c>
      <c r="M225" t="s">
        <v>53</v>
      </c>
      <c r="N225" t="s">
        <v>3760</v>
      </c>
      <c r="O225" t="s">
        <v>4072</v>
      </c>
      <c r="P225" t="s">
        <v>56</v>
      </c>
      <c r="Q225" s="21" t="s">
        <v>4243</v>
      </c>
      <c r="R225" s="21"/>
      <c r="S225" t="s">
        <v>4256</v>
      </c>
      <c r="T225" t="s">
        <v>4268</v>
      </c>
      <c r="W225" t="s">
        <v>2440</v>
      </c>
      <c r="X225" t="s">
        <v>60</v>
      </c>
      <c r="Z225" s="15"/>
      <c r="AB225">
        <v>37.898797999999999</v>
      </c>
      <c r="AC225">
        <v>-87.502920000000003</v>
      </c>
      <c r="AD225" t="s">
        <v>4258</v>
      </c>
      <c r="AG225" t="s">
        <v>1715</v>
      </c>
      <c r="AH225" t="s">
        <v>63</v>
      </c>
      <c r="AI225" t="s">
        <v>4269</v>
      </c>
      <c r="AJ225">
        <v>194412</v>
      </c>
      <c r="AL225" t="s">
        <v>4270</v>
      </c>
      <c r="AM225" t="s">
        <v>4271</v>
      </c>
      <c r="AN225" t="s">
        <v>4272</v>
      </c>
      <c r="AO225" t="s">
        <v>68</v>
      </c>
      <c r="AQ225" t="s">
        <v>4273</v>
      </c>
      <c r="AR225" t="s">
        <v>4274</v>
      </c>
      <c r="AS225" t="s">
        <v>4275</v>
      </c>
      <c r="AV225" s="14" t="s">
        <v>72</v>
      </c>
      <c r="AW225" s="14" t="s">
        <v>73</v>
      </c>
      <c r="AX225" s="14" t="s">
        <v>74</v>
      </c>
    </row>
    <row r="226" spans="1:50" ht="15" customHeight="1" x14ac:dyDescent="0.4">
      <c r="A226" s="12">
        <v>3698</v>
      </c>
      <c r="B226" s="21" t="s">
        <v>4276</v>
      </c>
      <c r="C226" s="13" t="s">
        <v>4277</v>
      </c>
      <c r="D226" s="25" t="s">
        <v>4277</v>
      </c>
      <c r="E226" s="13"/>
      <c r="F226" s="41"/>
      <c r="G226" s="65" t="s">
        <v>8185</v>
      </c>
      <c r="H226" s="14" t="s">
        <v>49</v>
      </c>
      <c r="I226" s="15">
        <v>44756</v>
      </c>
      <c r="J226" t="s">
        <v>3700</v>
      </c>
      <c r="K226" t="s">
        <v>51</v>
      </c>
      <c r="L226" t="s">
        <v>52</v>
      </c>
      <c r="M226" t="s">
        <v>53</v>
      </c>
      <c r="N226" t="s">
        <v>3760</v>
      </c>
      <c r="O226" t="s">
        <v>4072</v>
      </c>
      <c r="P226" t="s">
        <v>56</v>
      </c>
      <c r="Q226" s="21" t="s">
        <v>4243</v>
      </c>
      <c r="R226" s="21"/>
      <c r="S226" t="s">
        <v>4256</v>
      </c>
      <c r="T226" t="s">
        <v>4278</v>
      </c>
      <c r="U226" t="s">
        <v>4279</v>
      </c>
      <c r="W226" t="s">
        <v>2440</v>
      </c>
      <c r="X226" t="s">
        <v>60</v>
      </c>
      <c r="Z226" s="15"/>
      <c r="AB226">
        <v>37.502158000000001</v>
      </c>
      <c r="AC226">
        <v>-87.502157999999994</v>
      </c>
      <c r="AD226" t="s">
        <v>4280</v>
      </c>
      <c r="AG226" t="s">
        <v>1715</v>
      </c>
      <c r="AH226" t="s">
        <v>63</v>
      </c>
      <c r="AI226" t="s">
        <v>4281</v>
      </c>
      <c r="AJ226">
        <v>194413</v>
      </c>
      <c r="AL226" t="s">
        <v>4282</v>
      </c>
      <c r="AM226" t="s">
        <v>4283</v>
      </c>
      <c r="AN226" t="s">
        <v>4284</v>
      </c>
      <c r="AO226" t="s">
        <v>68</v>
      </c>
      <c r="AQ226" t="s">
        <v>4285</v>
      </c>
      <c r="AR226" t="s">
        <v>4286</v>
      </c>
      <c r="AS226" t="s">
        <v>4287</v>
      </c>
      <c r="AV226" s="14" t="s">
        <v>72</v>
      </c>
      <c r="AW226" s="14" t="s">
        <v>73</v>
      </c>
      <c r="AX226" s="14" t="s">
        <v>74</v>
      </c>
    </row>
    <row r="227" spans="1:50" ht="15" customHeight="1" x14ac:dyDescent="0.4">
      <c r="A227" s="12">
        <v>3699</v>
      </c>
      <c r="B227" s="21" t="s">
        <v>4288</v>
      </c>
      <c r="C227" s="13" t="s">
        <v>4289</v>
      </c>
      <c r="D227" s="25" t="s">
        <v>4289</v>
      </c>
      <c r="E227" s="13"/>
      <c r="F227" s="41"/>
      <c r="G227" s="65" t="s">
        <v>8185</v>
      </c>
      <c r="H227" s="14" t="s">
        <v>49</v>
      </c>
      <c r="I227" s="15">
        <v>44756</v>
      </c>
      <c r="J227" t="s">
        <v>3700</v>
      </c>
      <c r="K227" t="s">
        <v>51</v>
      </c>
      <c r="L227" t="s">
        <v>52</v>
      </c>
      <c r="M227" t="s">
        <v>53</v>
      </c>
      <c r="N227" t="s">
        <v>3760</v>
      </c>
      <c r="O227" t="s">
        <v>4072</v>
      </c>
      <c r="P227" t="s">
        <v>56</v>
      </c>
      <c r="Q227" s="21" t="s">
        <v>4243</v>
      </c>
      <c r="R227" s="21"/>
      <c r="S227" t="s">
        <v>4256</v>
      </c>
      <c r="T227" t="s">
        <v>4290</v>
      </c>
      <c r="X227" t="s">
        <v>60</v>
      </c>
      <c r="Z227" s="15"/>
      <c r="AB227">
        <v>37.898645000000002</v>
      </c>
      <c r="AC227">
        <v>-87.501429000000002</v>
      </c>
      <c r="AD227" t="s">
        <v>4291</v>
      </c>
      <c r="AG227" t="s">
        <v>1715</v>
      </c>
      <c r="AH227" t="s">
        <v>63</v>
      </c>
      <c r="AI227" t="s">
        <v>4292</v>
      </c>
      <c r="AJ227">
        <v>194414</v>
      </c>
      <c r="AL227" t="s">
        <v>4293</v>
      </c>
      <c r="AM227" t="s">
        <v>4294</v>
      </c>
      <c r="AN227" t="s">
        <v>4295</v>
      </c>
      <c r="AO227" t="s">
        <v>68</v>
      </c>
      <c r="AQ227" t="s">
        <v>4296</v>
      </c>
      <c r="AR227" t="s">
        <v>4297</v>
      </c>
      <c r="AS227" t="s">
        <v>4298</v>
      </c>
      <c r="AV227" s="14" t="s">
        <v>72</v>
      </c>
      <c r="AW227" s="14" t="s">
        <v>73</v>
      </c>
      <c r="AX227" s="14" t="s">
        <v>74</v>
      </c>
    </row>
    <row r="228" spans="1:50" ht="15" customHeight="1" x14ac:dyDescent="0.4">
      <c r="A228" s="12">
        <v>3680</v>
      </c>
      <c r="B228" s="21" t="s">
        <v>4070</v>
      </c>
      <c r="C228" s="13" t="s">
        <v>4071</v>
      </c>
      <c r="D228" s="25" t="s">
        <v>4071</v>
      </c>
      <c r="E228" s="13"/>
      <c r="F228" s="41"/>
      <c r="G228" s="65" t="s">
        <v>8185</v>
      </c>
      <c r="H228" s="14" t="s">
        <v>1703</v>
      </c>
      <c r="I228" s="15">
        <v>44756</v>
      </c>
      <c r="J228" t="s">
        <v>3700</v>
      </c>
      <c r="K228" t="s">
        <v>51</v>
      </c>
      <c r="L228" t="s">
        <v>52</v>
      </c>
      <c r="M228" t="s">
        <v>53</v>
      </c>
      <c r="N228" t="s">
        <v>3760</v>
      </c>
      <c r="O228" t="s">
        <v>4072</v>
      </c>
      <c r="P228" t="s">
        <v>56</v>
      </c>
      <c r="Q228" s="21" t="s">
        <v>4073</v>
      </c>
      <c r="R228" s="21"/>
      <c r="S228" t="s">
        <v>4074</v>
      </c>
      <c r="T228" t="s">
        <v>4075</v>
      </c>
      <c r="W228" t="s">
        <v>1758</v>
      </c>
      <c r="X228" t="s">
        <v>1713</v>
      </c>
      <c r="Z228" s="15"/>
      <c r="AB228">
        <v>37.890421000000003</v>
      </c>
      <c r="AC228">
        <v>-87.539696000000006</v>
      </c>
      <c r="AD228" t="s">
        <v>4076</v>
      </c>
      <c r="AG228" t="s">
        <v>1715</v>
      </c>
      <c r="AH228" t="s">
        <v>63</v>
      </c>
      <c r="AI228" t="s">
        <v>4077</v>
      </c>
      <c r="AJ228">
        <v>193765</v>
      </c>
      <c r="AL228" t="s">
        <v>4078</v>
      </c>
      <c r="AM228" t="s">
        <v>4079</v>
      </c>
      <c r="AN228" t="s">
        <v>4080</v>
      </c>
      <c r="AO228" t="s">
        <v>68</v>
      </c>
      <c r="AQ228" t="s">
        <v>4081</v>
      </c>
      <c r="AR228" t="s">
        <v>4082</v>
      </c>
      <c r="AS228" t="s">
        <v>4083</v>
      </c>
      <c r="AV228" s="14" t="s">
        <v>72</v>
      </c>
      <c r="AW228" s="14" t="s">
        <v>73</v>
      </c>
      <c r="AX228" s="14" t="s">
        <v>1723</v>
      </c>
    </row>
    <row r="229" spans="1:50" ht="15" customHeight="1" x14ac:dyDescent="0.4">
      <c r="A229" s="12">
        <v>3681</v>
      </c>
      <c r="B229" s="21" t="s">
        <v>4084</v>
      </c>
      <c r="C229" s="13" t="s">
        <v>4085</v>
      </c>
      <c r="D229" s="25" t="s">
        <v>4085</v>
      </c>
      <c r="E229" s="13"/>
      <c r="F229" s="43" t="s">
        <v>2006</v>
      </c>
      <c r="G229" s="65" t="s">
        <v>8175</v>
      </c>
      <c r="H229" s="14" t="s">
        <v>2006</v>
      </c>
      <c r="I229" s="15">
        <v>44756</v>
      </c>
      <c r="J229" t="s">
        <v>3700</v>
      </c>
      <c r="K229" t="s">
        <v>51</v>
      </c>
      <c r="L229" t="s">
        <v>52</v>
      </c>
      <c r="M229" t="s">
        <v>53</v>
      </c>
      <c r="N229" t="s">
        <v>3760</v>
      </c>
      <c r="O229" t="s">
        <v>4072</v>
      </c>
      <c r="P229" t="s">
        <v>56</v>
      </c>
      <c r="Q229" s="21" t="s">
        <v>4073</v>
      </c>
      <c r="R229" s="21"/>
      <c r="S229" t="s">
        <v>4074</v>
      </c>
      <c r="T229" t="s">
        <v>4086</v>
      </c>
      <c r="X229" t="s">
        <v>2009</v>
      </c>
      <c r="Z229" s="15"/>
      <c r="AB229">
        <v>37.892356999999997</v>
      </c>
      <c r="AC229">
        <v>-87.539500000000004</v>
      </c>
      <c r="AD229" t="s">
        <v>1714</v>
      </c>
      <c r="AG229" t="s">
        <v>1715</v>
      </c>
      <c r="AH229" t="s">
        <v>63</v>
      </c>
      <c r="AI229" t="s">
        <v>4087</v>
      </c>
      <c r="AJ229">
        <v>194230</v>
      </c>
      <c r="AL229" t="s">
        <v>4088</v>
      </c>
      <c r="AM229" t="s">
        <v>4089</v>
      </c>
      <c r="AN229" t="s">
        <v>4090</v>
      </c>
      <c r="AO229" t="s">
        <v>68</v>
      </c>
      <c r="AQ229" t="s">
        <v>4091</v>
      </c>
      <c r="AR229" t="s">
        <v>4092</v>
      </c>
      <c r="AS229" t="s">
        <v>4093</v>
      </c>
      <c r="AV229" s="14" t="s">
        <v>72</v>
      </c>
      <c r="AW229" s="14" t="s">
        <v>73</v>
      </c>
      <c r="AX229" s="14" t="s">
        <v>74</v>
      </c>
    </row>
    <row r="230" spans="1:50" ht="15" customHeight="1" x14ac:dyDescent="0.4">
      <c r="A230" s="12">
        <v>3682</v>
      </c>
      <c r="B230" s="21" t="s">
        <v>4094</v>
      </c>
      <c r="C230" s="13" t="s">
        <v>4095</v>
      </c>
      <c r="D230" s="25" t="s">
        <v>4095</v>
      </c>
      <c r="E230" s="13"/>
      <c r="F230" s="41" t="s">
        <v>8131</v>
      </c>
      <c r="G230" s="65" t="s">
        <v>8185</v>
      </c>
      <c r="H230" s="14" t="s">
        <v>1703</v>
      </c>
      <c r="I230" s="15">
        <v>44756</v>
      </c>
      <c r="J230" t="s">
        <v>3700</v>
      </c>
      <c r="K230" t="s">
        <v>51</v>
      </c>
      <c r="L230" t="s">
        <v>52</v>
      </c>
      <c r="M230" t="s">
        <v>53</v>
      </c>
      <c r="N230" t="s">
        <v>3760</v>
      </c>
      <c r="O230" t="s">
        <v>4072</v>
      </c>
      <c r="P230" t="s">
        <v>56</v>
      </c>
      <c r="Q230" s="21" t="s">
        <v>4073</v>
      </c>
      <c r="R230" s="21"/>
      <c r="S230" t="s">
        <v>4096</v>
      </c>
      <c r="T230" t="s">
        <v>4097</v>
      </c>
      <c r="W230" t="s">
        <v>2440</v>
      </c>
      <c r="X230" t="s">
        <v>1713</v>
      </c>
      <c r="Z230" s="15"/>
      <c r="AB230">
        <v>37.894174999999997</v>
      </c>
      <c r="AC230">
        <v>-87.538855999999996</v>
      </c>
      <c r="AD230" t="s">
        <v>4098</v>
      </c>
      <c r="AG230" t="s">
        <v>1715</v>
      </c>
      <c r="AH230" t="s">
        <v>63</v>
      </c>
      <c r="AI230" t="s">
        <v>4099</v>
      </c>
      <c r="AJ230">
        <v>194563</v>
      </c>
      <c r="AL230" t="s">
        <v>4100</v>
      </c>
      <c r="AM230" t="s">
        <v>4101</v>
      </c>
      <c r="AN230" t="s">
        <v>4102</v>
      </c>
      <c r="AO230" t="s">
        <v>68</v>
      </c>
      <c r="AQ230" t="s">
        <v>4103</v>
      </c>
      <c r="AR230" t="s">
        <v>4104</v>
      </c>
      <c r="AS230" t="s">
        <v>4105</v>
      </c>
      <c r="AV230" s="14" t="s">
        <v>72</v>
      </c>
      <c r="AW230" s="14" t="s">
        <v>73</v>
      </c>
      <c r="AX230" s="14" t="s">
        <v>1723</v>
      </c>
    </row>
    <row r="231" spans="1:50" ht="15" customHeight="1" x14ac:dyDescent="0.4">
      <c r="A231" s="12">
        <v>3683</v>
      </c>
      <c r="B231" s="21" t="s">
        <v>4106</v>
      </c>
      <c r="C231" s="13" t="s">
        <v>4107</v>
      </c>
      <c r="D231" s="25" t="s">
        <v>4107</v>
      </c>
      <c r="E231" s="13"/>
      <c r="F231" s="41"/>
      <c r="G231" s="65" t="s">
        <v>8185</v>
      </c>
      <c r="H231" s="14" t="s">
        <v>1703</v>
      </c>
      <c r="I231" s="15">
        <v>44756</v>
      </c>
      <c r="J231" t="s">
        <v>3700</v>
      </c>
      <c r="K231" t="s">
        <v>51</v>
      </c>
      <c r="L231" t="s">
        <v>52</v>
      </c>
      <c r="M231" t="s">
        <v>53</v>
      </c>
      <c r="N231" t="s">
        <v>3760</v>
      </c>
      <c r="O231" t="s">
        <v>4072</v>
      </c>
      <c r="P231" t="s">
        <v>56</v>
      </c>
      <c r="Q231" s="21" t="s">
        <v>4073</v>
      </c>
      <c r="R231" s="21"/>
      <c r="S231" t="s">
        <v>4074</v>
      </c>
      <c r="T231" t="s">
        <v>4108</v>
      </c>
      <c r="X231" t="s">
        <v>1713</v>
      </c>
      <c r="Z231" s="15"/>
      <c r="AB231">
        <v>37.894157999999997</v>
      </c>
      <c r="AC231">
        <v>-87.538287999999994</v>
      </c>
      <c r="AD231" t="s">
        <v>4109</v>
      </c>
      <c r="AG231" t="s">
        <v>1715</v>
      </c>
      <c r="AH231" t="s">
        <v>63</v>
      </c>
      <c r="AI231" t="s">
        <v>4110</v>
      </c>
      <c r="AJ231">
        <v>193766</v>
      </c>
      <c r="AL231" t="s">
        <v>4111</v>
      </c>
      <c r="AM231" t="s">
        <v>4112</v>
      </c>
      <c r="AN231" t="s">
        <v>4113</v>
      </c>
      <c r="AO231" t="s">
        <v>68</v>
      </c>
      <c r="AQ231" t="s">
        <v>4114</v>
      </c>
      <c r="AR231" t="s">
        <v>4115</v>
      </c>
      <c r="AS231" t="s">
        <v>4116</v>
      </c>
      <c r="AV231" s="14" t="s">
        <v>72</v>
      </c>
      <c r="AW231" s="14" t="s">
        <v>73</v>
      </c>
      <c r="AX231" s="14" t="s">
        <v>1723</v>
      </c>
    </row>
    <row r="232" spans="1:50" ht="15" customHeight="1" x14ac:dyDescent="0.4">
      <c r="A232" s="12">
        <v>3684</v>
      </c>
      <c r="B232" s="21" t="s">
        <v>4117</v>
      </c>
      <c r="C232" s="13" t="s">
        <v>4118</v>
      </c>
      <c r="D232" s="25" t="s">
        <v>4118</v>
      </c>
      <c r="E232" s="13"/>
      <c r="F232" s="41"/>
      <c r="G232" s="65" t="s">
        <v>8185</v>
      </c>
      <c r="H232" s="14" t="s">
        <v>2006</v>
      </c>
      <c r="I232" s="15">
        <v>44756</v>
      </c>
      <c r="J232" t="s">
        <v>3700</v>
      </c>
      <c r="K232" t="s">
        <v>51</v>
      </c>
      <c r="L232" t="s">
        <v>52</v>
      </c>
      <c r="M232" t="s">
        <v>53</v>
      </c>
      <c r="N232" t="s">
        <v>3760</v>
      </c>
      <c r="O232" t="s">
        <v>4072</v>
      </c>
      <c r="P232" t="s">
        <v>56</v>
      </c>
      <c r="Q232" s="21" t="s">
        <v>4073</v>
      </c>
      <c r="R232" s="21"/>
      <c r="S232" t="s">
        <v>4074</v>
      </c>
      <c r="T232" t="s">
        <v>4119</v>
      </c>
      <c r="W232" t="s">
        <v>2440</v>
      </c>
      <c r="X232" t="s">
        <v>2009</v>
      </c>
      <c r="Z232" s="15"/>
      <c r="AB232">
        <v>37.894136000000003</v>
      </c>
      <c r="AC232">
        <v>-87.538228000000004</v>
      </c>
      <c r="AD232" t="s">
        <v>4109</v>
      </c>
      <c r="AG232" t="s">
        <v>1715</v>
      </c>
      <c r="AH232" t="s">
        <v>63</v>
      </c>
      <c r="AI232" t="s">
        <v>4120</v>
      </c>
      <c r="AJ232">
        <v>194231</v>
      </c>
      <c r="AL232" t="s">
        <v>4121</v>
      </c>
      <c r="AM232" t="s">
        <v>4122</v>
      </c>
      <c r="AN232" t="s">
        <v>4123</v>
      </c>
      <c r="AO232" t="s">
        <v>68</v>
      </c>
      <c r="AQ232" t="s">
        <v>4124</v>
      </c>
      <c r="AR232" t="s">
        <v>4125</v>
      </c>
      <c r="AS232" t="s">
        <v>4126</v>
      </c>
      <c r="AV232" s="14" t="s">
        <v>72</v>
      </c>
      <c r="AW232" s="14" t="s">
        <v>73</v>
      </c>
      <c r="AX232" s="14" t="s">
        <v>74</v>
      </c>
    </row>
    <row r="233" spans="1:50" ht="15" customHeight="1" x14ac:dyDescent="0.4">
      <c r="A233" s="12">
        <v>3685</v>
      </c>
      <c r="B233" s="21" t="s">
        <v>4127</v>
      </c>
      <c r="C233" s="13" t="s">
        <v>4128</v>
      </c>
      <c r="D233" s="25" t="s">
        <v>4128</v>
      </c>
      <c r="E233" s="13"/>
      <c r="F233" s="41"/>
      <c r="G233" s="65" t="s">
        <v>8185</v>
      </c>
      <c r="H233" s="14" t="s">
        <v>1878</v>
      </c>
      <c r="I233" s="15">
        <v>44756</v>
      </c>
      <c r="J233" t="s">
        <v>3700</v>
      </c>
      <c r="K233" t="s">
        <v>51</v>
      </c>
      <c r="L233" t="s">
        <v>52</v>
      </c>
      <c r="M233" t="s">
        <v>53</v>
      </c>
      <c r="N233" t="s">
        <v>3760</v>
      </c>
      <c r="O233" t="s">
        <v>4072</v>
      </c>
      <c r="P233" t="s">
        <v>56</v>
      </c>
      <c r="Q233" s="21" t="s">
        <v>4073</v>
      </c>
      <c r="R233" s="21"/>
      <c r="S233" t="s">
        <v>4074</v>
      </c>
      <c r="T233" t="s">
        <v>4129</v>
      </c>
      <c r="W233" t="s">
        <v>2440</v>
      </c>
      <c r="X233" t="s">
        <v>1881</v>
      </c>
      <c r="Z233" s="15"/>
      <c r="AB233">
        <v>37.894244999999998</v>
      </c>
      <c r="AC233">
        <v>-87.537823000000003</v>
      </c>
      <c r="AD233" t="s">
        <v>4130</v>
      </c>
      <c r="AG233" t="s">
        <v>1715</v>
      </c>
      <c r="AH233" t="s">
        <v>63</v>
      </c>
      <c r="AI233" t="s">
        <v>4131</v>
      </c>
      <c r="AJ233">
        <v>194176</v>
      </c>
      <c r="AL233" t="s">
        <v>4132</v>
      </c>
      <c r="AM233" t="s">
        <v>4133</v>
      </c>
      <c r="AN233" t="s">
        <v>4134</v>
      </c>
      <c r="AO233" t="s">
        <v>68</v>
      </c>
      <c r="AQ233" t="s">
        <v>4135</v>
      </c>
      <c r="AR233" t="s">
        <v>4136</v>
      </c>
      <c r="AS233" t="s">
        <v>4137</v>
      </c>
      <c r="AV233" s="14" t="s">
        <v>72</v>
      </c>
      <c r="AW233" s="14" t="s">
        <v>73</v>
      </c>
      <c r="AX233" s="14" t="s">
        <v>1723</v>
      </c>
    </row>
    <row r="234" spans="1:50" ht="15" customHeight="1" x14ac:dyDescent="0.4">
      <c r="A234" s="12">
        <v>3686</v>
      </c>
      <c r="B234" s="21" t="s">
        <v>4138</v>
      </c>
      <c r="C234" s="13" t="s">
        <v>4139</v>
      </c>
      <c r="D234" s="25" t="s">
        <v>4139</v>
      </c>
      <c r="E234" s="13"/>
      <c r="F234" s="57" t="s">
        <v>8147</v>
      </c>
      <c r="G234" s="65" t="s">
        <v>8185</v>
      </c>
      <c r="H234" s="14" t="s">
        <v>4140</v>
      </c>
      <c r="I234" s="15">
        <v>44756</v>
      </c>
      <c r="J234" t="s">
        <v>3700</v>
      </c>
      <c r="K234" t="s">
        <v>51</v>
      </c>
      <c r="L234" t="s">
        <v>52</v>
      </c>
      <c r="M234" t="s">
        <v>53</v>
      </c>
      <c r="N234" t="s">
        <v>3760</v>
      </c>
      <c r="O234" t="s">
        <v>4072</v>
      </c>
      <c r="P234" t="s">
        <v>56</v>
      </c>
      <c r="Q234" s="21" t="s">
        <v>4073</v>
      </c>
      <c r="R234" s="21"/>
      <c r="S234" t="s">
        <v>4141</v>
      </c>
      <c r="T234" t="s">
        <v>4142</v>
      </c>
      <c r="X234" t="s">
        <v>4143</v>
      </c>
      <c r="Z234" s="15"/>
      <c r="AB234">
        <v>37.894219</v>
      </c>
      <c r="AC234">
        <v>-87.537845000000004</v>
      </c>
      <c r="AD234" t="s">
        <v>4130</v>
      </c>
      <c r="AG234" t="s">
        <v>1715</v>
      </c>
      <c r="AH234" t="s">
        <v>63</v>
      </c>
      <c r="AI234" t="s">
        <v>4144</v>
      </c>
      <c r="AJ234">
        <v>194564</v>
      </c>
      <c r="AL234" t="s">
        <v>4145</v>
      </c>
      <c r="AM234" t="s">
        <v>4146</v>
      </c>
      <c r="AN234" t="s">
        <v>4147</v>
      </c>
      <c r="AO234" t="s">
        <v>68</v>
      </c>
      <c r="AQ234" t="s">
        <v>4148</v>
      </c>
      <c r="AR234" t="s">
        <v>4149</v>
      </c>
      <c r="AS234" t="s">
        <v>4150</v>
      </c>
      <c r="AV234" s="14" t="e">
        <v>#N/A</v>
      </c>
      <c r="AW234" s="14" t="e">
        <v>#N/A</v>
      </c>
      <c r="AX234" s="14" t="e">
        <v>#N/A</v>
      </c>
    </row>
    <row r="235" spans="1:50" ht="15" customHeight="1" x14ac:dyDescent="0.4">
      <c r="A235" s="12">
        <v>3687</v>
      </c>
      <c r="B235" s="21" t="s">
        <v>4151</v>
      </c>
      <c r="C235" s="13" t="s">
        <v>4152</v>
      </c>
      <c r="D235" s="25" t="s">
        <v>4152</v>
      </c>
      <c r="E235" s="13"/>
      <c r="F235" s="41"/>
      <c r="G235" s="65" t="s">
        <v>8185</v>
      </c>
      <c r="H235" s="14" t="s">
        <v>1703</v>
      </c>
      <c r="I235" s="15">
        <v>44756</v>
      </c>
      <c r="J235" t="s">
        <v>3700</v>
      </c>
      <c r="K235" t="s">
        <v>51</v>
      </c>
      <c r="L235" t="s">
        <v>52</v>
      </c>
      <c r="M235" t="s">
        <v>53</v>
      </c>
      <c r="N235" t="s">
        <v>3760</v>
      </c>
      <c r="O235" t="s">
        <v>4072</v>
      </c>
      <c r="P235" t="s">
        <v>56</v>
      </c>
      <c r="Q235" s="21" t="s">
        <v>4073</v>
      </c>
      <c r="R235" s="21"/>
      <c r="S235" t="s">
        <v>4074</v>
      </c>
      <c r="T235" t="s">
        <v>4153</v>
      </c>
      <c r="W235" t="s">
        <v>2440</v>
      </c>
      <c r="X235" t="s">
        <v>1713</v>
      </c>
      <c r="Z235" s="15"/>
      <c r="AB235">
        <v>37.894291000000003</v>
      </c>
      <c r="AC235">
        <v>-87.537802999999997</v>
      </c>
      <c r="AD235" t="s">
        <v>4109</v>
      </c>
      <c r="AG235" t="s">
        <v>1715</v>
      </c>
      <c r="AH235" t="s">
        <v>63</v>
      </c>
      <c r="AI235" t="s">
        <v>4154</v>
      </c>
      <c r="AJ235">
        <v>193748</v>
      </c>
      <c r="AL235" t="s">
        <v>4155</v>
      </c>
      <c r="AM235" t="s">
        <v>4156</v>
      </c>
      <c r="AN235" t="s">
        <v>4157</v>
      </c>
      <c r="AO235" t="s">
        <v>68</v>
      </c>
      <c r="AQ235" t="s">
        <v>4158</v>
      </c>
      <c r="AR235" t="s">
        <v>4159</v>
      </c>
      <c r="AS235" t="s">
        <v>4160</v>
      </c>
      <c r="AV235" s="14" t="s">
        <v>72</v>
      </c>
      <c r="AW235" s="14" t="s">
        <v>73</v>
      </c>
      <c r="AX235" s="14" t="s">
        <v>1723</v>
      </c>
    </row>
    <row r="236" spans="1:50" ht="15" customHeight="1" x14ac:dyDescent="0.4">
      <c r="A236" s="12">
        <v>3688</v>
      </c>
      <c r="B236" s="21" t="s">
        <v>4161</v>
      </c>
      <c r="C236" s="13" t="s">
        <v>4162</v>
      </c>
      <c r="D236" s="25" t="s">
        <v>4162</v>
      </c>
      <c r="E236" s="13"/>
      <c r="F236" s="41"/>
      <c r="G236" s="65" t="s">
        <v>8185</v>
      </c>
      <c r="H236" s="14" t="s">
        <v>2006</v>
      </c>
      <c r="I236" s="15">
        <v>44756</v>
      </c>
      <c r="J236" t="s">
        <v>3700</v>
      </c>
      <c r="K236" t="s">
        <v>51</v>
      </c>
      <c r="L236" t="s">
        <v>52</v>
      </c>
      <c r="M236" t="s">
        <v>53</v>
      </c>
      <c r="N236" t="s">
        <v>3760</v>
      </c>
      <c r="O236" t="s">
        <v>4072</v>
      </c>
      <c r="P236" t="s">
        <v>56</v>
      </c>
      <c r="Q236" s="21" t="s">
        <v>4073</v>
      </c>
      <c r="R236" s="21"/>
      <c r="S236" t="s">
        <v>4141</v>
      </c>
      <c r="T236" t="s">
        <v>4163</v>
      </c>
      <c r="X236" t="s">
        <v>2009</v>
      </c>
      <c r="Z236" s="15"/>
      <c r="AB236">
        <v>37.894409000000003</v>
      </c>
      <c r="AC236">
        <v>-87.537690999999995</v>
      </c>
      <c r="AD236" t="s">
        <v>4164</v>
      </c>
      <c r="AG236" t="s">
        <v>1715</v>
      </c>
      <c r="AH236" t="s">
        <v>63</v>
      </c>
      <c r="AI236" t="s">
        <v>4165</v>
      </c>
      <c r="AJ236">
        <v>194232</v>
      </c>
      <c r="AL236" t="s">
        <v>4166</v>
      </c>
      <c r="AM236" t="s">
        <v>4167</v>
      </c>
      <c r="AN236" t="s">
        <v>4168</v>
      </c>
      <c r="AO236" t="s">
        <v>68</v>
      </c>
      <c r="AQ236" t="s">
        <v>4169</v>
      </c>
      <c r="AR236" t="s">
        <v>4170</v>
      </c>
      <c r="AS236" t="s">
        <v>4171</v>
      </c>
      <c r="AV236" s="14" t="s">
        <v>72</v>
      </c>
      <c r="AW236" s="14" t="s">
        <v>73</v>
      </c>
      <c r="AX236" s="14" t="s">
        <v>74</v>
      </c>
    </row>
    <row r="237" spans="1:50" ht="15" customHeight="1" x14ac:dyDescent="0.4">
      <c r="A237" s="12">
        <v>3689</v>
      </c>
      <c r="B237" s="21" t="s">
        <v>4172</v>
      </c>
      <c r="C237" s="13" t="s">
        <v>4173</v>
      </c>
      <c r="D237" s="25" t="s">
        <v>4173</v>
      </c>
      <c r="E237" s="13"/>
      <c r="F237" s="41"/>
      <c r="G237" s="65" t="s">
        <v>8185</v>
      </c>
      <c r="H237" s="14" t="s">
        <v>1878</v>
      </c>
      <c r="I237" s="15">
        <v>44756</v>
      </c>
      <c r="J237" t="s">
        <v>3700</v>
      </c>
      <c r="K237" t="s">
        <v>51</v>
      </c>
      <c r="L237" t="s">
        <v>52</v>
      </c>
      <c r="M237" t="s">
        <v>53</v>
      </c>
      <c r="N237" t="s">
        <v>3760</v>
      </c>
      <c r="O237" t="s">
        <v>4072</v>
      </c>
      <c r="P237" t="s">
        <v>56</v>
      </c>
      <c r="Q237" s="21" t="s">
        <v>4073</v>
      </c>
      <c r="R237" s="21"/>
      <c r="S237" t="s">
        <v>4141</v>
      </c>
      <c r="T237" t="s">
        <v>4174</v>
      </c>
      <c r="X237" t="s">
        <v>1881</v>
      </c>
      <c r="Z237" s="15"/>
      <c r="AB237">
        <v>37.894531000000001</v>
      </c>
      <c r="AC237">
        <v>-87.537704000000005</v>
      </c>
      <c r="AD237" t="s">
        <v>4175</v>
      </c>
      <c r="AG237" t="s">
        <v>1715</v>
      </c>
      <c r="AH237" t="s">
        <v>63</v>
      </c>
      <c r="AI237" t="s">
        <v>4176</v>
      </c>
      <c r="AJ237">
        <v>194177</v>
      </c>
      <c r="AL237" t="s">
        <v>4177</v>
      </c>
      <c r="AM237" t="s">
        <v>4178</v>
      </c>
      <c r="AN237" t="s">
        <v>4179</v>
      </c>
      <c r="AO237" t="s">
        <v>68</v>
      </c>
      <c r="AQ237" t="s">
        <v>4180</v>
      </c>
      <c r="AR237" t="s">
        <v>4181</v>
      </c>
      <c r="AS237" t="s">
        <v>4182</v>
      </c>
      <c r="AV237" s="14" t="s">
        <v>72</v>
      </c>
      <c r="AW237" s="14" t="s">
        <v>73</v>
      </c>
      <c r="AX237" s="14" t="s">
        <v>1723</v>
      </c>
    </row>
    <row r="238" spans="1:50" ht="15" customHeight="1" x14ac:dyDescent="0.4">
      <c r="A238" s="12">
        <v>3690</v>
      </c>
      <c r="B238" s="21" t="s">
        <v>4183</v>
      </c>
      <c r="C238" s="13" t="s">
        <v>4184</v>
      </c>
      <c r="D238" s="25" t="s">
        <v>4184</v>
      </c>
      <c r="E238" s="13"/>
      <c r="F238" s="45" t="s">
        <v>2006</v>
      </c>
      <c r="G238" s="65" t="s">
        <v>8176</v>
      </c>
      <c r="H238" s="14" t="s">
        <v>2006</v>
      </c>
      <c r="I238" s="15">
        <v>44756</v>
      </c>
      <c r="J238" t="s">
        <v>3700</v>
      </c>
      <c r="K238" t="s">
        <v>51</v>
      </c>
      <c r="L238" t="s">
        <v>52</v>
      </c>
      <c r="M238" t="s">
        <v>53</v>
      </c>
      <c r="N238" t="s">
        <v>3760</v>
      </c>
      <c r="O238" t="s">
        <v>4072</v>
      </c>
      <c r="P238" t="s">
        <v>56</v>
      </c>
      <c r="Q238" s="21" t="s">
        <v>4073</v>
      </c>
      <c r="R238" s="21"/>
      <c r="S238" t="s">
        <v>4185</v>
      </c>
      <c r="T238" t="s">
        <v>4186</v>
      </c>
      <c r="W238" t="s">
        <v>2440</v>
      </c>
      <c r="X238" t="s">
        <v>2009</v>
      </c>
      <c r="Z238" s="15"/>
      <c r="AB238">
        <v>37.894907000000003</v>
      </c>
      <c r="AC238">
        <v>-87.540391</v>
      </c>
      <c r="AD238" t="s">
        <v>4187</v>
      </c>
      <c r="AG238" t="s">
        <v>1715</v>
      </c>
      <c r="AH238" t="s">
        <v>63</v>
      </c>
      <c r="AI238" t="s">
        <v>4188</v>
      </c>
      <c r="AJ238">
        <v>194233</v>
      </c>
      <c r="AL238" t="s">
        <v>4189</v>
      </c>
      <c r="AM238" t="s">
        <v>4190</v>
      </c>
      <c r="AN238" t="s">
        <v>4191</v>
      </c>
      <c r="AO238" t="s">
        <v>68</v>
      </c>
      <c r="AQ238" t="s">
        <v>4192</v>
      </c>
      <c r="AR238" t="s">
        <v>4193</v>
      </c>
      <c r="AS238" t="s">
        <v>4194</v>
      </c>
      <c r="AV238" s="14" t="s">
        <v>72</v>
      </c>
      <c r="AW238" s="14" t="s">
        <v>73</v>
      </c>
      <c r="AX238" s="14" t="s">
        <v>74</v>
      </c>
    </row>
    <row r="239" spans="1:50" ht="15" customHeight="1" x14ac:dyDescent="0.4">
      <c r="A239" s="12">
        <v>3691</v>
      </c>
      <c r="B239" s="21" t="s">
        <v>4195</v>
      </c>
      <c r="C239" s="13" t="s">
        <v>4196</v>
      </c>
      <c r="D239" s="25" t="s">
        <v>4196</v>
      </c>
      <c r="E239" s="13"/>
      <c r="F239" s="41"/>
      <c r="G239" s="65" t="s">
        <v>8185</v>
      </c>
      <c r="H239" s="14" t="s">
        <v>1878</v>
      </c>
      <c r="I239" s="15">
        <v>44756</v>
      </c>
      <c r="J239" t="s">
        <v>3700</v>
      </c>
      <c r="K239" t="s">
        <v>51</v>
      </c>
      <c r="L239" t="s">
        <v>52</v>
      </c>
      <c r="M239" t="s">
        <v>53</v>
      </c>
      <c r="N239" t="s">
        <v>3760</v>
      </c>
      <c r="O239" t="s">
        <v>4072</v>
      </c>
      <c r="P239" t="s">
        <v>56</v>
      </c>
      <c r="Q239" s="21" t="s">
        <v>4073</v>
      </c>
      <c r="R239" s="21"/>
      <c r="S239" t="s">
        <v>4074</v>
      </c>
      <c r="T239" t="s">
        <v>4197</v>
      </c>
      <c r="X239" t="s">
        <v>1881</v>
      </c>
      <c r="Z239" s="15"/>
      <c r="AB239">
        <v>37.894607000000001</v>
      </c>
      <c r="AC239">
        <v>-87.543357</v>
      </c>
      <c r="AD239" t="s">
        <v>4198</v>
      </c>
      <c r="AG239" t="s">
        <v>1715</v>
      </c>
      <c r="AH239" t="s">
        <v>63</v>
      </c>
      <c r="AI239" t="s">
        <v>4199</v>
      </c>
      <c r="AJ239">
        <v>194178</v>
      </c>
      <c r="AL239" t="s">
        <v>4200</v>
      </c>
      <c r="AM239" t="s">
        <v>4201</v>
      </c>
      <c r="AN239" t="s">
        <v>4202</v>
      </c>
      <c r="AO239" t="s">
        <v>68</v>
      </c>
      <c r="AQ239" t="s">
        <v>4203</v>
      </c>
      <c r="AR239" t="s">
        <v>4204</v>
      </c>
      <c r="AS239" t="s">
        <v>4205</v>
      </c>
      <c r="AV239" s="14" t="s">
        <v>72</v>
      </c>
      <c r="AW239" s="14" t="s">
        <v>73</v>
      </c>
      <c r="AX239" s="14" t="s">
        <v>1723</v>
      </c>
    </row>
    <row r="240" spans="1:50" ht="15" customHeight="1" x14ac:dyDescent="0.4">
      <c r="A240" s="12">
        <v>3692</v>
      </c>
      <c r="B240" s="21" t="s">
        <v>4206</v>
      </c>
      <c r="C240" s="13" t="s">
        <v>4207</v>
      </c>
      <c r="D240" s="25" t="s">
        <v>4207</v>
      </c>
      <c r="E240" s="13"/>
      <c r="F240" s="41"/>
      <c r="G240" s="65" t="s">
        <v>8185</v>
      </c>
      <c r="H240" s="14" t="s">
        <v>1829</v>
      </c>
      <c r="I240" s="15">
        <v>44756</v>
      </c>
      <c r="J240" t="s">
        <v>3700</v>
      </c>
      <c r="K240" t="s">
        <v>51</v>
      </c>
      <c r="L240" t="s">
        <v>52</v>
      </c>
      <c r="M240" t="s">
        <v>53</v>
      </c>
      <c r="N240" t="s">
        <v>3760</v>
      </c>
      <c r="O240" t="s">
        <v>4072</v>
      </c>
      <c r="P240" t="s">
        <v>56</v>
      </c>
      <c r="Q240" s="21" t="s">
        <v>4073</v>
      </c>
      <c r="R240" s="21"/>
      <c r="S240" t="s">
        <v>4208</v>
      </c>
      <c r="T240" t="s">
        <v>4209</v>
      </c>
      <c r="W240" t="s">
        <v>2440</v>
      </c>
      <c r="X240" t="s">
        <v>1832</v>
      </c>
      <c r="Z240" s="15"/>
      <c r="AB240">
        <v>37.883276000000002</v>
      </c>
      <c r="AC240">
        <v>-87.553537000000006</v>
      </c>
      <c r="AD240" t="s">
        <v>4210</v>
      </c>
      <c r="AG240" t="s">
        <v>1715</v>
      </c>
      <c r="AH240" t="s">
        <v>63</v>
      </c>
      <c r="AI240" t="s">
        <v>4211</v>
      </c>
      <c r="AJ240">
        <v>194473</v>
      </c>
      <c r="AL240" t="s">
        <v>4212</v>
      </c>
      <c r="AM240" t="s">
        <v>4213</v>
      </c>
      <c r="AN240" t="s">
        <v>4214</v>
      </c>
      <c r="AO240" t="s">
        <v>68</v>
      </c>
      <c r="AQ240" t="s">
        <v>4215</v>
      </c>
      <c r="AR240" t="s">
        <v>4216</v>
      </c>
      <c r="AS240" t="s">
        <v>4217</v>
      </c>
      <c r="AV240" s="14" t="s">
        <v>72</v>
      </c>
      <c r="AW240" s="14" t="s">
        <v>73</v>
      </c>
      <c r="AX240" s="14" t="s">
        <v>74</v>
      </c>
    </row>
    <row r="241" spans="1:50" ht="15" customHeight="1" x14ac:dyDescent="0.4">
      <c r="A241" s="12">
        <v>3693</v>
      </c>
      <c r="B241" s="21" t="s">
        <v>4218</v>
      </c>
      <c r="C241" s="13" t="s">
        <v>4219</v>
      </c>
      <c r="D241" s="25" t="s">
        <v>4219</v>
      </c>
      <c r="E241" s="13"/>
      <c r="F241" s="41"/>
      <c r="G241" s="65" t="s">
        <v>8185</v>
      </c>
      <c r="H241" s="14" t="s">
        <v>1829</v>
      </c>
      <c r="I241" s="15">
        <v>44756</v>
      </c>
      <c r="J241" t="s">
        <v>3700</v>
      </c>
      <c r="K241" t="s">
        <v>51</v>
      </c>
      <c r="L241" t="s">
        <v>52</v>
      </c>
      <c r="M241" t="s">
        <v>53</v>
      </c>
      <c r="N241" t="s">
        <v>3760</v>
      </c>
      <c r="O241" t="s">
        <v>4072</v>
      </c>
      <c r="P241" t="s">
        <v>56</v>
      </c>
      <c r="Q241" s="21" t="s">
        <v>4073</v>
      </c>
      <c r="R241" s="21"/>
      <c r="S241" t="s">
        <v>4220</v>
      </c>
      <c r="T241" t="s">
        <v>4221</v>
      </c>
      <c r="W241" t="s">
        <v>2336</v>
      </c>
      <c r="X241" t="s">
        <v>1832</v>
      </c>
      <c r="Z241" s="15"/>
      <c r="AB241">
        <v>37.885952000000003</v>
      </c>
      <c r="AC241">
        <v>-87.553352000000004</v>
      </c>
      <c r="AD241" t="s">
        <v>4222</v>
      </c>
      <c r="AG241" t="s">
        <v>1715</v>
      </c>
      <c r="AH241" t="s">
        <v>63</v>
      </c>
      <c r="AI241" t="s">
        <v>4223</v>
      </c>
      <c r="AJ241">
        <v>194474</v>
      </c>
      <c r="AL241" t="s">
        <v>4224</v>
      </c>
      <c r="AM241" t="s">
        <v>4225</v>
      </c>
      <c r="AN241" t="s">
        <v>4226</v>
      </c>
      <c r="AO241" t="s">
        <v>68</v>
      </c>
      <c r="AQ241" t="s">
        <v>4227</v>
      </c>
      <c r="AR241" t="s">
        <v>4228</v>
      </c>
      <c r="AS241" t="s">
        <v>4229</v>
      </c>
      <c r="AV241" s="14" t="s">
        <v>72</v>
      </c>
      <c r="AW241" s="14" t="s">
        <v>73</v>
      </c>
      <c r="AX241" s="14" t="s">
        <v>74</v>
      </c>
    </row>
    <row r="242" spans="1:50" ht="15" customHeight="1" x14ac:dyDescent="0.4">
      <c r="A242" s="12">
        <v>3694</v>
      </c>
      <c r="B242" s="21" t="s">
        <v>4230</v>
      </c>
      <c r="C242" s="13" t="s">
        <v>4231</v>
      </c>
      <c r="D242" s="25" t="s">
        <v>4231</v>
      </c>
      <c r="E242" s="13"/>
      <c r="F242" s="41"/>
      <c r="G242" s="65" t="s">
        <v>8185</v>
      </c>
      <c r="H242" s="14" t="s">
        <v>1829</v>
      </c>
      <c r="I242" s="15">
        <v>44756</v>
      </c>
      <c r="J242" t="s">
        <v>3700</v>
      </c>
      <c r="K242" t="s">
        <v>51</v>
      </c>
      <c r="L242" t="s">
        <v>52</v>
      </c>
      <c r="M242" t="s">
        <v>53</v>
      </c>
      <c r="N242" t="s">
        <v>3760</v>
      </c>
      <c r="O242" t="s">
        <v>4072</v>
      </c>
      <c r="P242" t="s">
        <v>56</v>
      </c>
      <c r="Q242" s="21" t="s">
        <v>4073</v>
      </c>
      <c r="R242" s="21"/>
      <c r="S242" t="s">
        <v>4232</v>
      </c>
      <c r="T242" t="s">
        <v>4233</v>
      </c>
      <c r="X242" t="s">
        <v>1832</v>
      </c>
      <c r="Z242" s="15"/>
      <c r="AB242">
        <v>37.881841000000001</v>
      </c>
      <c r="AC242">
        <v>-87.557665999999998</v>
      </c>
      <c r="AD242" t="s">
        <v>4222</v>
      </c>
      <c r="AG242" t="s">
        <v>1715</v>
      </c>
      <c r="AH242" t="s">
        <v>63</v>
      </c>
      <c r="AI242" t="s">
        <v>4234</v>
      </c>
      <c r="AJ242">
        <v>194529</v>
      </c>
      <c r="AL242" t="s">
        <v>4235</v>
      </c>
      <c r="AM242" t="s">
        <v>4236</v>
      </c>
      <c r="AN242" t="s">
        <v>4237</v>
      </c>
      <c r="AO242" t="s">
        <v>68</v>
      </c>
      <c r="AQ242" t="s">
        <v>4238</v>
      </c>
      <c r="AR242" t="s">
        <v>4239</v>
      </c>
      <c r="AS242" t="s">
        <v>4240</v>
      </c>
      <c r="AV242" s="14" t="s">
        <v>72</v>
      </c>
      <c r="AW242" s="14" t="s">
        <v>73</v>
      </c>
      <c r="AX242" s="14" t="s">
        <v>74</v>
      </c>
    </row>
    <row r="243" spans="1:50" ht="15" customHeight="1" x14ac:dyDescent="0.4">
      <c r="A243" s="12">
        <v>3653</v>
      </c>
      <c r="B243" s="21" t="s">
        <v>3757</v>
      </c>
      <c r="C243" s="13" t="s">
        <v>3758</v>
      </c>
      <c r="D243" s="25" t="s">
        <v>3758</v>
      </c>
      <c r="E243" s="13"/>
      <c r="F243" s="41"/>
      <c r="G243" s="65" t="s">
        <v>8185</v>
      </c>
      <c r="H243" s="14" t="s">
        <v>49</v>
      </c>
      <c r="I243" s="15">
        <v>44754</v>
      </c>
      <c r="J243" t="s">
        <v>3759</v>
      </c>
      <c r="K243" t="s">
        <v>51</v>
      </c>
      <c r="L243" t="s">
        <v>52</v>
      </c>
      <c r="M243" t="s">
        <v>53</v>
      </c>
      <c r="N243" t="s">
        <v>3760</v>
      </c>
      <c r="O243" t="s">
        <v>3761</v>
      </c>
      <c r="P243" t="s">
        <v>56</v>
      </c>
      <c r="Q243" s="21" t="s">
        <v>3762</v>
      </c>
      <c r="R243" s="21"/>
      <c r="S243" t="s">
        <v>3763</v>
      </c>
      <c r="T243" t="s">
        <v>3764</v>
      </c>
      <c r="W243" t="s">
        <v>3765</v>
      </c>
      <c r="X243" t="s">
        <v>60</v>
      </c>
      <c r="Z243" s="15"/>
      <c r="AB243">
        <v>38.059359000000001</v>
      </c>
      <c r="AC243">
        <v>-86.513459999999995</v>
      </c>
      <c r="AD243" t="s">
        <v>3766</v>
      </c>
      <c r="AG243" t="s">
        <v>1715</v>
      </c>
      <c r="AH243" t="s">
        <v>63</v>
      </c>
      <c r="AI243" t="s">
        <v>3767</v>
      </c>
      <c r="AJ243">
        <v>194416</v>
      </c>
      <c r="AL243" t="s">
        <v>3768</v>
      </c>
      <c r="AM243" t="s">
        <v>3769</v>
      </c>
      <c r="AN243" t="s">
        <v>3770</v>
      </c>
      <c r="AO243" t="s">
        <v>68</v>
      </c>
      <c r="AQ243" t="s">
        <v>3771</v>
      </c>
      <c r="AR243" t="s">
        <v>3772</v>
      </c>
      <c r="AS243" t="s">
        <v>3773</v>
      </c>
      <c r="AV243" s="14" t="s">
        <v>72</v>
      </c>
      <c r="AW243" s="14" t="s">
        <v>73</v>
      </c>
      <c r="AX243" s="14" t="s">
        <v>74</v>
      </c>
    </row>
    <row r="244" spans="1:50" ht="15" customHeight="1" x14ac:dyDescent="0.4">
      <c r="A244" s="12">
        <v>3654</v>
      </c>
      <c r="B244" s="21" t="s">
        <v>3774</v>
      </c>
      <c r="C244" s="13" t="s">
        <v>3775</v>
      </c>
      <c r="D244" s="25" t="s">
        <v>3775</v>
      </c>
      <c r="E244" s="13"/>
      <c r="F244" s="41"/>
      <c r="G244" s="65" t="s">
        <v>8185</v>
      </c>
      <c r="H244" s="14" t="s">
        <v>49</v>
      </c>
      <c r="I244" s="15">
        <v>44754</v>
      </c>
      <c r="J244" t="s">
        <v>3759</v>
      </c>
      <c r="K244" t="s">
        <v>51</v>
      </c>
      <c r="L244" t="s">
        <v>52</v>
      </c>
      <c r="M244" t="s">
        <v>53</v>
      </c>
      <c r="N244" t="s">
        <v>3760</v>
      </c>
      <c r="O244" t="s">
        <v>3761</v>
      </c>
      <c r="P244" t="s">
        <v>56</v>
      </c>
      <c r="Q244" s="21" t="s">
        <v>3762</v>
      </c>
      <c r="R244" s="21"/>
      <c r="S244" t="s">
        <v>3776</v>
      </c>
      <c r="T244" t="s">
        <v>3777</v>
      </c>
      <c r="W244" t="s">
        <v>2820</v>
      </c>
      <c r="X244" t="s">
        <v>60</v>
      </c>
      <c r="Z244" s="15"/>
      <c r="AB244">
        <v>38.061765000000001</v>
      </c>
      <c r="AC244">
        <v>-84.506476000000006</v>
      </c>
      <c r="AD244" t="s">
        <v>3778</v>
      </c>
      <c r="AG244" t="s">
        <v>1715</v>
      </c>
      <c r="AH244" t="s">
        <v>63</v>
      </c>
      <c r="AI244" t="s">
        <v>3779</v>
      </c>
      <c r="AJ244">
        <v>194417</v>
      </c>
      <c r="AL244" t="s">
        <v>3780</v>
      </c>
      <c r="AM244" t="s">
        <v>3781</v>
      </c>
      <c r="AN244" t="s">
        <v>3782</v>
      </c>
      <c r="AO244" t="s">
        <v>68</v>
      </c>
      <c r="AQ244" t="s">
        <v>3783</v>
      </c>
      <c r="AR244" t="s">
        <v>3784</v>
      </c>
      <c r="AS244" t="s">
        <v>3785</v>
      </c>
      <c r="AV244" s="14" t="s">
        <v>72</v>
      </c>
      <c r="AW244" s="14" t="s">
        <v>73</v>
      </c>
      <c r="AX244" s="14" t="s">
        <v>74</v>
      </c>
    </row>
    <row r="245" spans="1:50" ht="15" customHeight="1" x14ac:dyDescent="0.4">
      <c r="A245" s="12">
        <v>3655</v>
      </c>
      <c r="B245" s="21" t="s">
        <v>3786</v>
      </c>
      <c r="C245" s="13" t="s">
        <v>3787</v>
      </c>
      <c r="D245" s="25" t="s">
        <v>3787</v>
      </c>
      <c r="E245" s="13"/>
      <c r="F245" s="41"/>
      <c r="G245" s="65" t="s">
        <v>8185</v>
      </c>
      <c r="H245" s="14" t="s">
        <v>49</v>
      </c>
      <c r="I245" s="15">
        <v>44754</v>
      </c>
      <c r="J245" t="s">
        <v>3759</v>
      </c>
      <c r="K245" t="s">
        <v>51</v>
      </c>
      <c r="L245" t="s">
        <v>52</v>
      </c>
      <c r="M245" t="s">
        <v>53</v>
      </c>
      <c r="N245" t="s">
        <v>3760</v>
      </c>
      <c r="O245" t="s">
        <v>3761</v>
      </c>
      <c r="P245" t="s">
        <v>56</v>
      </c>
      <c r="Q245" s="21" t="s">
        <v>3762</v>
      </c>
      <c r="R245" s="21"/>
      <c r="S245" t="s">
        <v>3788</v>
      </c>
      <c r="T245" t="s">
        <v>3789</v>
      </c>
      <c r="W245" t="s">
        <v>2820</v>
      </c>
      <c r="X245" t="s">
        <v>60</v>
      </c>
      <c r="Z245" s="15"/>
      <c r="AB245">
        <v>38.061055000000003</v>
      </c>
      <c r="AC245">
        <v>-84.507112000000006</v>
      </c>
      <c r="AD245" t="s">
        <v>3790</v>
      </c>
      <c r="AG245" t="s">
        <v>1715</v>
      </c>
      <c r="AH245" t="s">
        <v>63</v>
      </c>
      <c r="AI245" t="s">
        <v>3791</v>
      </c>
      <c r="AJ245">
        <v>193371</v>
      </c>
      <c r="AL245" t="s">
        <v>3792</v>
      </c>
      <c r="AM245" t="s">
        <v>3793</v>
      </c>
      <c r="AN245" t="s">
        <v>3794</v>
      </c>
      <c r="AO245" t="s">
        <v>68</v>
      </c>
      <c r="AQ245" t="s">
        <v>3795</v>
      </c>
      <c r="AR245" t="s">
        <v>3796</v>
      </c>
      <c r="AS245" t="s">
        <v>3797</v>
      </c>
      <c r="AV245" s="14" t="s">
        <v>72</v>
      </c>
      <c r="AW245" s="14" t="s">
        <v>73</v>
      </c>
      <c r="AX245" s="14" t="s">
        <v>74</v>
      </c>
    </row>
    <row r="246" spans="1:50" ht="15" customHeight="1" x14ac:dyDescent="0.4">
      <c r="A246" s="12">
        <v>3656</v>
      </c>
      <c r="B246" s="21" t="s">
        <v>3798</v>
      </c>
      <c r="C246" s="13" t="s">
        <v>3799</v>
      </c>
      <c r="D246" s="25" t="s">
        <v>3799</v>
      </c>
      <c r="E246" s="13"/>
      <c r="F246" s="41"/>
      <c r="G246" s="65" t="s">
        <v>8185</v>
      </c>
      <c r="H246" s="14" t="s">
        <v>49</v>
      </c>
      <c r="I246" s="15">
        <v>44754</v>
      </c>
      <c r="J246" t="s">
        <v>3759</v>
      </c>
      <c r="K246" t="s">
        <v>51</v>
      </c>
      <c r="L246" t="s">
        <v>52</v>
      </c>
      <c r="M246" t="s">
        <v>53</v>
      </c>
      <c r="N246" t="s">
        <v>3760</v>
      </c>
      <c r="O246" t="s">
        <v>3761</v>
      </c>
      <c r="P246" t="s">
        <v>56</v>
      </c>
      <c r="Q246" s="21" t="s">
        <v>3762</v>
      </c>
      <c r="R246" s="21"/>
      <c r="S246" t="s">
        <v>3800</v>
      </c>
      <c r="T246" t="s">
        <v>3801</v>
      </c>
      <c r="W246" t="s">
        <v>3802</v>
      </c>
      <c r="X246" t="s">
        <v>60</v>
      </c>
      <c r="Z246" s="15"/>
      <c r="AB246">
        <v>38.058273999999997</v>
      </c>
      <c r="AC246">
        <v>-84.508550999999997</v>
      </c>
      <c r="AD246" t="s">
        <v>3803</v>
      </c>
      <c r="AG246" t="s">
        <v>1715</v>
      </c>
      <c r="AH246" t="s">
        <v>63</v>
      </c>
      <c r="AI246" t="s">
        <v>3804</v>
      </c>
      <c r="AJ246">
        <v>194418</v>
      </c>
      <c r="AL246" t="s">
        <v>3805</v>
      </c>
      <c r="AM246" t="s">
        <v>3806</v>
      </c>
      <c r="AN246" t="s">
        <v>3807</v>
      </c>
      <c r="AO246" t="s">
        <v>68</v>
      </c>
      <c r="AQ246" t="s">
        <v>3808</v>
      </c>
      <c r="AR246" t="s">
        <v>3809</v>
      </c>
      <c r="AS246" t="s">
        <v>3810</v>
      </c>
      <c r="AV246" s="14" t="s">
        <v>72</v>
      </c>
      <c r="AW246" s="14" t="s">
        <v>73</v>
      </c>
      <c r="AX246" s="14" t="s">
        <v>74</v>
      </c>
    </row>
    <row r="247" spans="1:50" ht="15" customHeight="1" x14ac:dyDescent="0.4">
      <c r="A247" s="12">
        <v>3869</v>
      </c>
      <c r="B247" s="21" t="s">
        <v>6294</v>
      </c>
      <c r="C247" s="13" t="s">
        <v>6295</v>
      </c>
      <c r="D247" s="25" t="s">
        <v>6295</v>
      </c>
      <c r="E247" s="13"/>
      <c r="F247" s="41" t="s">
        <v>3090</v>
      </c>
      <c r="G247" s="65" t="s">
        <v>8145</v>
      </c>
      <c r="H247" s="14" t="s">
        <v>1829</v>
      </c>
      <c r="I247" s="15">
        <v>44794</v>
      </c>
      <c r="J247" t="s">
        <v>2719</v>
      </c>
      <c r="K247" t="s">
        <v>51</v>
      </c>
      <c r="L247" t="s">
        <v>52</v>
      </c>
      <c r="M247" t="s">
        <v>53</v>
      </c>
      <c r="N247" t="s">
        <v>6296</v>
      </c>
      <c r="O247" t="s">
        <v>6297</v>
      </c>
      <c r="P247" t="s">
        <v>56</v>
      </c>
      <c r="Q247" s="21" t="s">
        <v>6298</v>
      </c>
      <c r="R247" s="21"/>
      <c r="S247" t="s">
        <v>6299</v>
      </c>
      <c r="T247" t="s">
        <v>6300</v>
      </c>
      <c r="X247" t="s">
        <v>1832</v>
      </c>
      <c r="Z247" s="15"/>
      <c r="AB247">
        <v>42.056111999999999</v>
      </c>
      <c r="AC247">
        <v>-73.350116</v>
      </c>
      <c r="AG247" t="s">
        <v>1715</v>
      </c>
      <c r="AH247" t="s">
        <v>63</v>
      </c>
      <c r="AI247" t="s">
        <v>6301</v>
      </c>
      <c r="AJ247">
        <v>194493</v>
      </c>
      <c r="AL247" t="s">
        <v>6302</v>
      </c>
      <c r="AM247" t="s">
        <v>6303</v>
      </c>
      <c r="AN247" t="s">
        <v>6304</v>
      </c>
      <c r="AO247" t="s">
        <v>68</v>
      </c>
      <c r="AQ247" t="s">
        <v>6305</v>
      </c>
      <c r="AR247" t="s">
        <v>6306</v>
      </c>
      <c r="AS247" t="s">
        <v>6307</v>
      </c>
      <c r="AV247" s="14" t="s">
        <v>72</v>
      </c>
      <c r="AW247" s="14" t="s">
        <v>73</v>
      </c>
      <c r="AX247" s="14" t="s">
        <v>74</v>
      </c>
    </row>
    <row r="248" spans="1:50" ht="15" customHeight="1" x14ac:dyDescent="0.4">
      <c r="A248" s="12">
        <v>3870</v>
      </c>
      <c r="B248" s="21" t="s">
        <v>6308</v>
      </c>
      <c r="C248" s="13" t="s">
        <v>6309</v>
      </c>
      <c r="D248" s="25" t="s">
        <v>6309</v>
      </c>
      <c r="E248" s="13"/>
      <c r="F248" s="41"/>
      <c r="G248" s="65" t="s">
        <v>8178</v>
      </c>
      <c r="H248" s="14" t="s">
        <v>1829</v>
      </c>
      <c r="I248" s="15">
        <v>44794</v>
      </c>
      <c r="J248" t="s">
        <v>2719</v>
      </c>
      <c r="K248" t="s">
        <v>51</v>
      </c>
      <c r="L248" t="s">
        <v>52</v>
      </c>
      <c r="M248" t="s">
        <v>53</v>
      </c>
      <c r="N248" t="s">
        <v>6296</v>
      </c>
      <c r="O248" t="s">
        <v>6297</v>
      </c>
      <c r="P248" t="s">
        <v>56</v>
      </c>
      <c r="Q248" s="21" t="s">
        <v>6298</v>
      </c>
      <c r="R248" s="21"/>
      <c r="S248" t="s">
        <v>6310</v>
      </c>
      <c r="T248" t="s">
        <v>6311</v>
      </c>
      <c r="X248" t="s">
        <v>1832</v>
      </c>
      <c r="Z248" s="15"/>
      <c r="AB248">
        <v>42.056035000000001</v>
      </c>
      <c r="AC248">
        <v>-73.350217000000001</v>
      </c>
      <c r="AG248" t="s">
        <v>1715</v>
      </c>
      <c r="AH248" t="s">
        <v>63</v>
      </c>
      <c r="AI248" t="s">
        <v>6312</v>
      </c>
      <c r="AJ248">
        <v>194494</v>
      </c>
      <c r="AL248" t="s">
        <v>6313</v>
      </c>
      <c r="AM248" t="s">
        <v>6314</v>
      </c>
      <c r="AN248" t="s">
        <v>6315</v>
      </c>
      <c r="AO248" t="s">
        <v>68</v>
      </c>
      <c r="AQ248" t="s">
        <v>6316</v>
      </c>
      <c r="AR248" t="s">
        <v>6317</v>
      </c>
      <c r="AS248" t="s">
        <v>6318</v>
      </c>
      <c r="AV248" s="14" t="s">
        <v>72</v>
      </c>
      <c r="AW248" s="14" t="s">
        <v>73</v>
      </c>
      <c r="AX248" s="14" t="s">
        <v>74</v>
      </c>
    </row>
    <row r="249" spans="1:50" ht="15" customHeight="1" x14ac:dyDescent="0.4">
      <c r="A249" s="12">
        <v>3871</v>
      </c>
      <c r="B249" s="21" t="s">
        <v>6319</v>
      </c>
      <c r="C249" s="13" t="s">
        <v>6320</v>
      </c>
      <c r="D249" s="25" t="s">
        <v>6320</v>
      </c>
      <c r="E249" s="13"/>
      <c r="F249" s="41"/>
      <c r="G249" s="65" t="s">
        <v>8178</v>
      </c>
      <c r="H249" s="14" t="s">
        <v>1829</v>
      </c>
      <c r="I249" s="15">
        <v>44794</v>
      </c>
      <c r="J249" t="s">
        <v>2719</v>
      </c>
      <c r="K249" t="s">
        <v>51</v>
      </c>
      <c r="L249" t="s">
        <v>52</v>
      </c>
      <c r="M249" t="s">
        <v>53</v>
      </c>
      <c r="N249" t="s">
        <v>6296</v>
      </c>
      <c r="O249" t="s">
        <v>6297</v>
      </c>
      <c r="P249" t="s">
        <v>56</v>
      </c>
      <c r="Q249" s="21" t="s">
        <v>6298</v>
      </c>
      <c r="R249" s="21"/>
      <c r="S249" t="s">
        <v>6321</v>
      </c>
      <c r="T249" t="s">
        <v>6322</v>
      </c>
      <c r="X249" t="s">
        <v>1832</v>
      </c>
      <c r="Z249" s="15"/>
      <c r="AB249">
        <v>42.055942999999999</v>
      </c>
      <c r="AC249">
        <v>-73.350234</v>
      </c>
      <c r="AG249" t="s">
        <v>1715</v>
      </c>
      <c r="AH249" t="s">
        <v>63</v>
      </c>
      <c r="AI249" t="s">
        <v>6323</v>
      </c>
      <c r="AJ249">
        <v>194495</v>
      </c>
      <c r="AL249" t="s">
        <v>6324</v>
      </c>
      <c r="AM249" t="s">
        <v>6325</v>
      </c>
      <c r="AN249" t="s">
        <v>6326</v>
      </c>
      <c r="AO249" t="s">
        <v>68</v>
      </c>
      <c r="AQ249" t="s">
        <v>6327</v>
      </c>
      <c r="AR249" t="s">
        <v>6328</v>
      </c>
      <c r="AS249" t="s">
        <v>6329</v>
      </c>
      <c r="AV249" s="14" t="s">
        <v>72</v>
      </c>
      <c r="AW249" s="14" t="s">
        <v>73</v>
      </c>
      <c r="AX249" s="14" t="s">
        <v>74</v>
      </c>
    </row>
    <row r="250" spans="1:50" ht="15" customHeight="1" x14ac:dyDescent="0.4">
      <c r="A250" s="12">
        <v>3872</v>
      </c>
      <c r="B250" s="21" t="s">
        <v>6330</v>
      </c>
      <c r="C250" s="13" t="s">
        <v>6331</v>
      </c>
      <c r="D250" s="25" t="s">
        <v>6331</v>
      </c>
      <c r="E250" s="13"/>
      <c r="F250" s="41"/>
      <c r="G250" s="65" t="s">
        <v>8185</v>
      </c>
      <c r="H250" s="14" t="s">
        <v>1878</v>
      </c>
      <c r="I250" s="15">
        <v>44794</v>
      </c>
      <c r="J250" t="s">
        <v>2719</v>
      </c>
      <c r="K250" t="s">
        <v>51</v>
      </c>
      <c r="L250" t="s">
        <v>52</v>
      </c>
      <c r="M250" t="s">
        <v>53</v>
      </c>
      <c r="N250" t="s">
        <v>6296</v>
      </c>
      <c r="O250" t="s">
        <v>6297</v>
      </c>
      <c r="P250" t="s">
        <v>56</v>
      </c>
      <c r="Q250" s="21" t="s">
        <v>6298</v>
      </c>
      <c r="R250" s="21"/>
      <c r="S250" t="s">
        <v>6332</v>
      </c>
      <c r="T250" t="s">
        <v>6333</v>
      </c>
      <c r="X250" t="s">
        <v>1881</v>
      </c>
      <c r="Z250" s="15"/>
      <c r="AB250">
        <v>42.055847</v>
      </c>
      <c r="AC250">
        <v>-73.350441000000004</v>
      </c>
      <c r="AG250" t="s">
        <v>1715</v>
      </c>
      <c r="AH250" t="s">
        <v>63</v>
      </c>
      <c r="AI250" t="s">
        <v>6334</v>
      </c>
      <c r="AJ250">
        <v>194160</v>
      </c>
      <c r="AL250" t="s">
        <v>6335</v>
      </c>
      <c r="AM250" t="s">
        <v>6336</v>
      </c>
      <c r="AN250" t="s">
        <v>6337</v>
      </c>
      <c r="AO250" t="s">
        <v>68</v>
      </c>
      <c r="AQ250" t="s">
        <v>6338</v>
      </c>
      <c r="AR250" t="s">
        <v>6339</v>
      </c>
      <c r="AS250" t="s">
        <v>6340</v>
      </c>
      <c r="AV250" s="14" t="s">
        <v>72</v>
      </c>
      <c r="AW250" s="14" t="s">
        <v>73</v>
      </c>
      <c r="AX250" s="14" t="s">
        <v>1723</v>
      </c>
    </row>
    <row r="251" spans="1:50" ht="15" customHeight="1" x14ac:dyDescent="0.4">
      <c r="A251" s="12">
        <v>3873</v>
      </c>
      <c r="B251" s="21" t="s">
        <v>6341</v>
      </c>
      <c r="C251" s="13" t="s">
        <v>6342</v>
      </c>
      <c r="D251" s="25" t="s">
        <v>6342</v>
      </c>
      <c r="E251" s="13"/>
      <c r="F251" s="41"/>
      <c r="G251" s="65" t="s">
        <v>8178</v>
      </c>
      <c r="H251" s="14" t="s">
        <v>1829</v>
      </c>
      <c r="I251" s="15">
        <v>44794</v>
      </c>
      <c r="J251" t="s">
        <v>2719</v>
      </c>
      <c r="K251" t="s">
        <v>51</v>
      </c>
      <c r="L251" t="s">
        <v>52</v>
      </c>
      <c r="M251" t="s">
        <v>53</v>
      </c>
      <c r="N251" t="s">
        <v>6296</v>
      </c>
      <c r="O251" t="s">
        <v>6297</v>
      </c>
      <c r="P251" t="s">
        <v>56</v>
      </c>
      <c r="Q251" s="21" t="s">
        <v>6298</v>
      </c>
      <c r="R251" s="21"/>
      <c r="S251" t="s">
        <v>6343</v>
      </c>
      <c r="T251" t="s">
        <v>6344</v>
      </c>
      <c r="X251" t="s">
        <v>1832</v>
      </c>
      <c r="Z251" s="15"/>
      <c r="AB251">
        <v>42.055816999999998</v>
      </c>
      <c r="AC251">
        <v>-73.350211000000002</v>
      </c>
      <c r="AG251" t="s">
        <v>1715</v>
      </c>
      <c r="AH251" t="s">
        <v>63</v>
      </c>
      <c r="AI251" t="s">
        <v>6345</v>
      </c>
      <c r="AJ251">
        <v>194496</v>
      </c>
      <c r="AL251" t="s">
        <v>6346</v>
      </c>
      <c r="AM251" t="s">
        <v>6347</v>
      </c>
      <c r="AN251" t="s">
        <v>6348</v>
      </c>
      <c r="AO251" t="s">
        <v>68</v>
      </c>
      <c r="AQ251" t="s">
        <v>6349</v>
      </c>
      <c r="AR251" t="s">
        <v>6350</v>
      </c>
      <c r="AS251" t="s">
        <v>6351</v>
      </c>
      <c r="AV251" s="14" t="s">
        <v>72</v>
      </c>
      <c r="AW251" s="14" t="s">
        <v>73</v>
      </c>
      <c r="AX251" s="14" t="s">
        <v>74</v>
      </c>
    </row>
    <row r="252" spans="1:50" s="34" customFormat="1" ht="15" customHeight="1" x14ac:dyDescent="0.4">
      <c r="A252" s="33">
        <v>3874</v>
      </c>
      <c r="B252" s="37" t="s">
        <v>6352</v>
      </c>
      <c r="C252" s="35" t="s">
        <v>6353</v>
      </c>
      <c r="D252" s="55" t="s">
        <v>6353</v>
      </c>
      <c r="E252" s="35"/>
      <c r="F252" s="56"/>
      <c r="G252" s="65" t="s">
        <v>8178</v>
      </c>
      <c r="H252" s="34" t="s">
        <v>1829</v>
      </c>
      <c r="I252" s="36">
        <v>44794</v>
      </c>
      <c r="J252" s="34" t="s">
        <v>2719</v>
      </c>
      <c r="K252" s="34" t="s">
        <v>51</v>
      </c>
      <c r="L252" s="34" t="s">
        <v>52</v>
      </c>
      <c r="M252" s="34" t="s">
        <v>53</v>
      </c>
      <c r="N252" s="34" t="s">
        <v>6296</v>
      </c>
      <c r="O252" s="34" t="s">
        <v>6297</v>
      </c>
      <c r="P252" s="34" t="s">
        <v>56</v>
      </c>
      <c r="Q252" s="37" t="s">
        <v>6298</v>
      </c>
      <c r="R252" s="37"/>
      <c r="S252" s="34" t="s">
        <v>6299</v>
      </c>
      <c r="T252" s="34" t="s">
        <v>6354</v>
      </c>
      <c r="X252" s="34" t="s">
        <v>1832</v>
      </c>
      <c r="Z252" s="36"/>
      <c r="AB252" s="34">
        <v>42.056041999999998</v>
      </c>
      <c r="AC252" s="34">
        <v>-73.350956999999994</v>
      </c>
      <c r="AG252" s="34" t="s">
        <v>1715</v>
      </c>
      <c r="AH252" s="34" t="s">
        <v>63</v>
      </c>
      <c r="AI252" s="34" t="s">
        <v>6355</v>
      </c>
      <c r="AJ252" s="34">
        <v>194497</v>
      </c>
      <c r="AL252" s="34" t="s">
        <v>6356</v>
      </c>
      <c r="AM252" s="34" t="s">
        <v>6357</v>
      </c>
      <c r="AN252" s="34" t="s">
        <v>6358</v>
      </c>
      <c r="AO252" s="34" t="s">
        <v>68</v>
      </c>
      <c r="AQ252" s="34" t="s">
        <v>6359</v>
      </c>
      <c r="AR252" s="34" t="s">
        <v>6360</v>
      </c>
      <c r="AS252" s="34" t="s">
        <v>6361</v>
      </c>
      <c r="AV252" s="34" t="s">
        <v>72</v>
      </c>
      <c r="AW252" s="34" t="s">
        <v>73</v>
      </c>
      <c r="AX252" s="34" t="s">
        <v>74</v>
      </c>
    </row>
    <row r="253" spans="1:50" ht="15" customHeight="1" x14ac:dyDescent="0.4">
      <c r="A253" s="12">
        <v>3875</v>
      </c>
      <c r="B253" s="21" t="s">
        <v>6362</v>
      </c>
      <c r="C253" s="13" t="s">
        <v>6363</v>
      </c>
      <c r="D253" s="25" t="s">
        <v>6363</v>
      </c>
      <c r="E253" s="13"/>
      <c r="F253" s="41"/>
      <c r="G253" s="65" t="s">
        <v>8153</v>
      </c>
      <c r="H253" s="14" t="s">
        <v>49</v>
      </c>
      <c r="I253" s="15">
        <v>44794</v>
      </c>
      <c r="J253" t="s">
        <v>2719</v>
      </c>
      <c r="K253" t="s">
        <v>51</v>
      </c>
      <c r="L253" t="s">
        <v>52</v>
      </c>
      <c r="M253" t="s">
        <v>53</v>
      </c>
      <c r="N253" t="s">
        <v>6296</v>
      </c>
      <c r="O253" t="s">
        <v>6297</v>
      </c>
      <c r="P253" t="s">
        <v>56</v>
      </c>
      <c r="Q253" s="21" t="s">
        <v>6298</v>
      </c>
      <c r="R253" s="21"/>
      <c r="S253" t="s">
        <v>6364</v>
      </c>
      <c r="T253" t="s">
        <v>6365</v>
      </c>
      <c r="X253" t="s">
        <v>60</v>
      </c>
      <c r="Z253" s="15"/>
      <c r="AB253">
        <v>42.057929999999999</v>
      </c>
      <c r="AC253">
        <v>-73.350320999999994</v>
      </c>
      <c r="AG253" t="s">
        <v>1715</v>
      </c>
      <c r="AH253" t="s">
        <v>63</v>
      </c>
      <c r="AI253" t="s">
        <v>6366</v>
      </c>
      <c r="AJ253">
        <v>194450</v>
      </c>
      <c r="AL253" t="s">
        <v>6367</v>
      </c>
      <c r="AM253" t="s">
        <v>6368</v>
      </c>
      <c r="AN253" t="s">
        <v>6369</v>
      </c>
      <c r="AO253" t="s">
        <v>68</v>
      </c>
      <c r="AQ253" t="s">
        <v>6370</v>
      </c>
      <c r="AR253" t="s">
        <v>6371</v>
      </c>
      <c r="AS253" t="s">
        <v>6372</v>
      </c>
      <c r="AV253" s="14" t="s">
        <v>72</v>
      </c>
      <c r="AW253" s="14" t="s">
        <v>73</v>
      </c>
      <c r="AX253" s="14" t="s">
        <v>74</v>
      </c>
    </row>
    <row r="254" spans="1:50" ht="15" customHeight="1" x14ac:dyDescent="0.4">
      <c r="A254" s="12">
        <v>3876</v>
      </c>
      <c r="B254" s="21" t="s">
        <v>6373</v>
      </c>
      <c r="C254" s="13" t="s">
        <v>6374</v>
      </c>
      <c r="D254" s="25" t="s">
        <v>6374</v>
      </c>
      <c r="E254" s="13"/>
      <c r="F254" s="41"/>
      <c r="G254" s="65" t="s">
        <v>8185</v>
      </c>
      <c r="H254" s="14" t="s">
        <v>1878</v>
      </c>
      <c r="I254" s="15">
        <v>44794</v>
      </c>
      <c r="J254" t="s">
        <v>2719</v>
      </c>
      <c r="K254" t="s">
        <v>51</v>
      </c>
      <c r="L254" t="s">
        <v>52</v>
      </c>
      <c r="M254" t="s">
        <v>53</v>
      </c>
      <c r="N254" t="s">
        <v>6296</v>
      </c>
      <c r="O254" t="s">
        <v>6297</v>
      </c>
      <c r="P254" t="s">
        <v>56</v>
      </c>
      <c r="Q254" s="21" t="s">
        <v>6298</v>
      </c>
      <c r="R254" s="21"/>
      <c r="S254" t="s">
        <v>6375</v>
      </c>
      <c r="T254" t="s">
        <v>6376</v>
      </c>
      <c r="X254" t="s">
        <v>1881</v>
      </c>
      <c r="Z254" s="15"/>
      <c r="AB254">
        <v>42.057557000000003</v>
      </c>
      <c r="AC254">
        <v>-73.350425999999999</v>
      </c>
      <c r="AG254" t="s">
        <v>1715</v>
      </c>
      <c r="AH254" t="s">
        <v>63</v>
      </c>
      <c r="AI254" t="s">
        <v>6377</v>
      </c>
      <c r="AJ254">
        <v>194161</v>
      </c>
      <c r="AL254" t="s">
        <v>6378</v>
      </c>
      <c r="AM254" t="s">
        <v>6379</v>
      </c>
      <c r="AN254" t="s">
        <v>6380</v>
      </c>
      <c r="AO254" t="s">
        <v>68</v>
      </c>
      <c r="AQ254" t="s">
        <v>6381</v>
      </c>
      <c r="AR254" t="s">
        <v>6382</v>
      </c>
      <c r="AS254" t="s">
        <v>6383</v>
      </c>
      <c r="AV254" s="14" t="s">
        <v>72</v>
      </c>
      <c r="AW254" s="14" t="s">
        <v>73</v>
      </c>
      <c r="AX254" s="14" t="s">
        <v>1723</v>
      </c>
    </row>
    <row r="255" spans="1:50" ht="15" customHeight="1" x14ac:dyDescent="0.4">
      <c r="A255" s="12">
        <v>3882</v>
      </c>
      <c r="B255" s="21" t="s">
        <v>6439</v>
      </c>
      <c r="C255" s="13" t="s">
        <v>6440</v>
      </c>
      <c r="D255" s="25" t="s">
        <v>6440</v>
      </c>
      <c r="E255" s="13"/>
      <c r="F255" s="43" t="s">
        <v>49</v>
      </c>
      <c r="G255" s="65" t="s">
        <v>8161</v>
      </c>
      <c r="H255" s="14" t="s">
        <v>49</v>
      </c>
      <c r="I255" s="15">
        <v>44794</v>
      </c>
      <c r="J255" t="s">
        <v>2719</v>
      </c>
      <c r="K255" t="s">
        <v>51</v>
      </c>
      <c r="L255" t="s">
        <v>52</v>
      </c>
      <c r="M255" t="s">
        <v>53</v>
      </c>
      <c r="N255" t="s">
        <v>6296</v>
      </c>
      <c r="O255" t="s">
        <v>6297</v>
      </c>
      <c r="P255" t="s">
        <v>56</v>
      </c>
      <c r="Q255" s="21" t="s">
        <v>6441</v>
      </c>
      <c r="R255" s="21"/>
      <c r="S255" t="s">
        <v>6442</v>
      </c>
      <c r="T255" t="s">
        <v>6443</v>
      </c>
      <c r="X255" t="s">
        <v>60</v>
      </c>
      <c r="Z255" s="15"/>
      <c r="AB255">
        <v>42.084119999999999</v>
      </c>
      <c r="AC255">
        <v>-73.367427000000006</v>
      </c>
      <c r="AD255" t="s">
        <v>6444</v>
      </c>
      <c r="AG255" t="s">
        <v>1715</v>
      </c>
      <c r="AH255" t="s">
        <v>63</v>
      </c>
      <c r="AI255" t="s">
        <v>6445</v>
      </c>
      <c r="AJ255">
        <v>192611</v>
      </c>
      <c r="AL255" t="s">
        <v>6446</v>
      </c>
      <c r="AM255" t="s">
        <v>6447</v>
      </c>
      <c r="AN255" t="s">
        <v>6448</v>
      </c>
      <c r="AO255" t="s">
        <v>68</v>
      </c>
      <c r="AQ255" t="s">
        <v>6449</v>
      </c>
      <c r="AR255" t="s">
        <v>6450</v>
      </c>
      <c r="AS255" t="s">
        <v>6451</v>
      </c>
      <c r="AV255" s="14" t="s">
        <v>72</v>
      </c>
      <c r="AW255" s="14" t="s">
        <v>73</v>
      </c>
      <c r="AX255" s="14" t="s">
        <v>74</v>
      </c>
    </row>
    <row r="256" spans="1:50" ht="15" customHeight="1" x14ac:dyDescent="0.4">
      <c r="A256" s="12">
        <v>3883</v>
      </c>
      <c r="B256" s="21" t="s">
        <v>6452</v>
      </c>
      <c r="C256" s="13" t="s">
        <v>6453</v>
      </c>
      <c r="D256" s="25" t="s">
        <v>6453</v>
      </c>
      <c r="E256" s="13"/>
      <c r="F256" s="41"/>
      <c r="G256" s="65" t="s">
        <v>8185</v>
      </c>
      <c r="H256" s="14" t="s">
        <v>1878</v>
      </c>
      <c r="I256" s="15">
        <v>44794</v>
      </c>
      <c r="J256" t="s">
        <v>2719</v>
      </c>
      <c r="K256" t="s">
        <v>51</v>
      </c>
      <c r="L256" t="s">
        <v>52</v>
      </c>
      <c r="M256" t="s">
        <v>53</v>
      </c>
      <c r="N256" t="s">
        <v>6296</v>
      </c>
      <c r="O256" t="s">
        <v>6297</v>
      </c>
      <c r="P256" t="s">
        <v>56</v>
      </c>
      <c r="Q256" s="21" t="s">
        <v>6441</v>
      </c>
      <c r="R256" s="21"/>
      <c r="S256" t="s">
        <v>5900</v>
      </c>
      <c r="T256" t="s">
        <v>6454</v>
      </c>
      <c r="X256" t="s">
        <v>1881</v>
      </c>
      <c r="Z256" s="15"/>
      <c r="AB256">
        <v>42.083770999999999</v>
      </c>
      <c r="AC256">
        <v>-73.368753999999996</v>
      </c>
      <c r="AD256" t="s">
        <v>6455</v>
      </c>
      <c r="AG256" t="s">
        <v>1715</v>
      </c>
      <c r="AH256" t="s">
        <v>63</v>
      </c>
      <c r="AI256" t="s">
        <v>6456</v>
      </c>
      <c r="AJ256">
        <v>194162</v>
      </c>
      <c r="AL256" t="s">
        <v>6457</v>
      </c>
      <c r="AM256" t="s">
        <v>6458</v>
      </c>
      <c r="AN256" t="s">
        <v>6459</v>
      </c>
      <c r="AO256" t="s">
        <v>68</v>
      </c>
      <c r="AQ256" t="s">
        <v>6460</v>
      </c>
      <c r="AR256" t="s">
        <v>6461</v>
      </c>
      <c r="AS256" t="s">
        <v>6462</v>
      </c>
      <c r="AV256" s="14" t="s">
        <v>72</v>
      </c>
      <c r="AW256" s="14" t="s">
        <v>73</v>
      </c>
      <c r="AX256" s="14" t="s">
        <v>1723</v>
      </c>
    </row>
    <row r="257" spans="1:50" ht="15" customHeight="1" x14ac:dyDescent="0.4">
      <c r="A257" s="12">
        <v>3884</v>
      </c>
      <c r="B257" s="21" t="s">
        <v>6463</v>
      </c>
      <c r="C257" s="13" t="s">
        <v>6464</v>
      </c>
      <c r="D257" s="25" t="s">
        <v>6464</v>
      </c>
      <c r="E257" s="13"/>
      <c r="F257" s="41"/>
      <c r="G257" s="65" t="s">
        <v>8185</v>
      </c>
      <c r="H257" s="14" t="s">
        <v>1878</v>
      </c>
      <c r="I257" s="15">
        <v>44794</v>
      </c>
      <c r="J257" t="s">
        <v>2719</v>
      </c>
      <c r="K257" t="s">
        <v>51</v>
      </c>
      <c r="L257" t="s">
        <v>52</v>
      </c>
      <c r="M257" t="s">
        <v>53</v>
      </c>
      <c r="N257" t="s">
        <v>6296</v>
      </c>
      <c r="O257" t="s">
        <v>6297</v>
      </c>
      <c r="P257" t="s">
        <v>56</v>
      </c>
      <c r="Q257" s="21" t="s">
        <v>6441</v>
      </c>
      <c r="R257" s="21"/>
      <c r="S257" t="s">
        <v>5900</v>
      </c>
      <c r="T257" t="s">
        <v>6465</v>
      </c>
      <c r="X257" t="s">
        <v>1881</v>
      </c>
      <c r="Z257" s="15"/>
      <c r="AB257">
        <v>42.080843999999999</v>
      </c>
      <c r="AC257">
        <v>-73.370311999999998</v>
      </c>
      <c r="AD257" t="s">
        <v>3984</v>
      </c>
      <c r="AG257" t="s">
        <v>1715</v>
      </c>
      <c r="AH257" t="s">
        <v>63</v>
      </c>
      <c r="AI257" t="s">
        <v>6466</v>
      </c>
      <c r="AJ257">
        <v>194163</v>
      </c>
      <c r="AL257" t="s">
        <v>6467</v>
      </c>
      <c r="AM257" t="s">
        <v>6468</v>
      </c>
      <c r="AN257" t="s">
        <v>6469</v>
      </c>
      <c r="AO257" t="s">
        <v>68</v>
      </c>
      <c r="AQ257" t="s">
        <v>6470</v>
      </c>
      <c r="AR257" t="s">
        <v>6471</v>
      </c>
      <c r="AS257" t="s">
        <v>6472</v>
      </c>
      <c r="AV257" s="14" t="s">
        <v>72</v>
      </c>
      <c r="AW257" s="14" t="s">
        <v>73</v>
      </c>
      <c r="AX257" s="14" t="s">
        <v>1723</v>
      </c>
    </row>
    <row r="258" spans="1:50" ht="15" customHeight="1" x14ac:dyDescent="0.4">
      <c r="A258" s="12">
        <v>3885</v>
      </c>
      <c r="B258" s="21" t="s">
        <v>6473</v>
      </c>
      <c r="C258" s="13" t="s">
        <v>6474</v>
      </c>
      <c r="D258" s="25" t="s">
        <v>6474</v>
      </c>
      <c r="E258" s="13"/>
      <c r="F258" s="41"/>
      <c r="G258" s="65" t="s">
        <v>8185</v>
      </c>
      <c r="H258" s="14" t="s">
        <v>1878</v>
      </c>
      <c r="I258" s="15">
        <v>44794</v>
      </c>
      <c r="J258" t="s">
        <v>2719</v>
      </c>
      <c r="K258" t="s">
        <v>51</v>
      </c>
      <c r="L258" t="s">
        <v>52</v>
      </c>
      <c r="M258" t="s">
        <v>53</v>
      </c>
      <c r="N258" t="s">
        <v>6296</v>
      </c>
      <c r="O258" t="s">
        <v>6297</v>
      </c>
      <c r="P258" t="s">
        <v>56</v>
      </c>
      <c r="Q258" s="21" t="s">
        <v>6441</v>
      </c>
      <c r="R258" s="21"/>
      <c r="S258" t="s">
        <v>6475</v>
      </c>
      <c r="T258" t="s">
        <v>6476</v>
      </c>
      <c r="X258" t="s">
        <v>1881</v>
      </c>
      <c r="Z258" s="15"/>
      <c r="AB258">
        <v>42.079132000000001</v>
      </c>
      <c r="AC258">
        <v>-73.371131000000005</v>
      </c>
      <c r="AD258" t="s">
        <v>5185</v>
      </c>
      <c r="AG258" t="s">
        <v>1715</v>
      </c>
      <c r="AH258" t="s">
        <v>63</v>
      </c>
      <c r="AI258" t="s">
        <v>6477</v>
      </c>
      <c r="AJ258">
        <v>192581</v>
      </c>
      <c r="AL258" t="s">
        <v>6478</v>
      </c>
      <c r="AM258" t="s">
        <v>6479</v>
      </c>
      <c r="AN258" t="s">
        <v>6480</v>
      </c>
      <c r="AO258" t="s">
        <v>68</v>
      </c>
      <c r="AQ258" t="s">
        <v>6481</v>
      </c>
      <c r="AR258" t="s">
        <v>6482</v>
      </c>
      <c r="AS258" t="s">
        <v>6483</v>
      </c>
      <c r="AV258" s="14" t="s">
        <v>72</v>
      </c>
      <c r="AW258" s="14" t="s">
        <v>73</v>
      </c>
      <c r="AX258" s="14" t="s">
        <v>1723</v>
      </c>
    </row>
    <row r="259" spans="1:50" ht="15" customHeight="1" x14ac:dyDescent="0.4">
      <c r="A259" s="12">
        <v>3877</v>
      </c>
      <c r="B259" s="21" t="s">
        <v>6384</v>
      </c>
      <c r="C259" s="13" t="s">
        <v>6385</v>
      </c>
      <c r="D259" s="25" t="s">
        <v>6385</v>
      </c>
      <c r="E259" s="13"/>
      <c r="F259" s="41"/>
      <c r="G259" s="65" t="s">
        <v>8160</v>
      </c>
      <c r="H259" s="14" t="s">
        <v>49</v>
      </c>
      <c r="I259" s="15">
        <v>44794</v>
      </c>
      <c r="J259" t="s">
        <v>2719</v>
      </c>
      <c r="K259" t="s">
        <v>51</v>
      </c>
      <c r="L259" t="s">
        <v>52</v>
      </c>
      <c r="M259" t="s">
        <v>53</v>
      </c>
      <c r="N259" t="s">
        <v>6296</v>
      </c>
      <c r="O259" t="s">
        <v>6297</v>
      </c>
      <c r="P259" t="s">
        <v>56</v>
      </c>
      <c r="Q259" s="21" t="s">
        <v>6386</v>
      </c>
      <c r="R259" s="21"/>
      <c r="S259" t="s">
        <v>6387</v>
      </c>
      <c r="T259" t="s">
        <v>6388</v>
      </c>
      <c r="X259" t="s">
        <v>60</v>
      </c>
      <c r="Z259" s="15"/>
      <c r="AB259">
        <v>42.287503000000001</v>
      </c>
      <c r="AC259">
        <v>-73.315911999999997</v>
      </c>
      <c r="AG259" t="s">
        <v>1715</v>
      </c>
      <c r="AH259" t="s">
        <v>63</v>
      </c>
      <c r="AI259" t="s">
        <v>6389</v>
      </c>
      <c r="AJ259">
        <v>194583</v>
      </c>
      <c r="AL259" t="s">
        <v>6390</v>
      </c>
      <c r="AM259" t="s">
        <v>6391</v>
      </c>
      <c r="AN259" t="s">
        <v>6392</v>
      </c>
      <c r="AO259" t="s">
        <v>68</v>
      </c>
      <c r="AQ259" t="s">
        <v>6393</v>
      </c>
      <c r="AR259" t="s">
        <v>6394</v>
      </c>
      <c r="AS259" t="s">
        <v>6395</v>
      </c>
      <c r="AV259" s="14" t="s">
        <v>72</v>
      </c>
      <c r="AW259" s="14" t="s">
        <v>73</v>
      </c>
      <c r="AX259" s="14" t="s">
        <v>74</v>
      </c>
    </row>
    <row r="260" spans="1:50" ht="15" customHeight="1" x14ac:dyDescent="0.4">
      <c r="A260" s="12">
        <v>3878</v>
      </c>
      <c r="B260" s="21" t="s">
        <v>6396</v>
      </c>
      <c r="C260" s="13" t="s">
        <v>6397</v>
      </c>
      <c r="D260" s="25" t="s">
        <v>6397</v>
      </c>
      <c r="E260" s="13"/>
      <c r="F260" s="41"/>
      <c r="G260" s="65" t="s">
        <v>8185</v>
      </c>
      <c r="H260" s="14" t="s">
        <v>49</v>
      </c>
      <c r="I260" s="15">
        <v>44794</v>
      </c>
      <c r="J260" t="s">
        <v>2719</v>
      </c>
      <c r="K260" t="s">
        <v>51</v>
      </c>
      <c r="L260" t="s">
        <v>52</v>
      </c>
      <c r="M260" t="s">
        <v>53</v>
      </c>
      <c r="N260" t="s">
        <v>6296</v>
      </c>
      <c r="O260" t="s">
        <v>6297</v>
      </c>
      <c r="P260" t="s">
        <v>56</v>
      </c>
      <c r="Q260" s="21" t="s">
        <v>6386</v>
      </c>
      <c r="R260" s="21"/>
      <c r="S260" t="s">
        <v>6398</v>
      </c>
      <c r="T260" t="s">
        <v>6399</v>
      </c>
      <c r="X260" t="s">
        <v>60</v>
      </c>
      <c r="Z260" s="15"/>
      <c r="AB260">
        <v>42.286952999999997</v>
      </c>
      <c r="AC260">
        <v>-73.315492000000006</v>
      </c>
      <c r="AG260" t="s">
        <v>1715</v>
      </c>
      <c r="AH260" t="s">
        <v>63</v>
      </c>
      <c r="AI260" t="s">
        <v>6400</v>
      </c>
      <c r="AJ260">
        <v>194582</v>
      </c>
      <c r="AL260" t="s">
        <v>6401</v>
      </c>
      <c r="AM260" t="s">
        <v>6402</v>
      </c>
      <c r="AN260" t="s">
        <v>6403</v>
      </c>
      <c r="AO260" t="s">
        <v>68</v>
      </c>
      <c r="AQ260" t="s">
        <v>6404</v>
      </c>
      <c r="AR260" t="s">
        <v>6405</v>
      </c>
      <c r="AS260" t="s">
        <v>6406</v>
      </c>
      <c r="AV260" s="14" t="s">
        <v>72</v>
      </c>
      <c r="AW260" s="14" t="s">
        <v>73</v>
      </c>
      <c r="AX260" s="14" t="s">
        <v>74</v>
      </c>
    </row>
    <row r="261" spans="1:50" ht="15" customHeight="1" x14ac:dyDescent="0.4">
      <c r="A261" s="12">
        <v>3879</v>
      </c>
      <c r="B261" s="21" t="s">
        <v>6407</v>
      </c>
      <c r="C261" s="13" t="s">
        <v>6408</v>
      </c>
      <c r="D261" s="25" t="s">
        <v>6408</v>
      </c>
      <c r="E261" s="13"/>
      <c r="F261" s="41"/>
      <c r="G261" s="65" t="s">
        <v>8185</v>
      </c>
      <c r="H261" s="14" t="s">
        <v>49</v>
      </c>
      <c r="I261" s="15">
        <v>44794</v>
      </c>
      <c r="J261" t="s">
        <v>2719</v>
      </c>
      <c r="K261" t="s">
        <v>51</v>
      </c>
      <c r="L261" t="s">
        <v>52</v>
      </c>
      <c r="M261" t="s">
        <v>53</v>
      </c>
      <c r="N261" t="s">
        <v>6296</v>
      </c>
      <c r="O261" t="s">
        <v>6297</v>
      </c>
      <c r="P261" t="s">
        <v>56</v>
      </c>
      <c r="Q261" s="21" t="s">
        <v>6386</v>
      </c>
      <c r="R261" s="21"/>
      <c r="S261" t="s">
        <v>6409</v>
      </c>
      <c r="T261" t="s">
        <v>6410</v>
      </c>
      <c r="X261" t="s">
        <v>60</v>
      </c>
      <c r="Z261" s="15"/>
      <c r="AB261">
        <v>42.286675000000002</v>
      </c>
      <c r="AC261">
        <v>-73.317187000000004</v>
      </c>
      <c r="AG261" t="s">
        <v>1715</v>
      </c>
      <c r="AH261" t="s">
        <v>63</v>
      </c>
      <c r="AI261" t="s">
        <v>6411</v>
      </c>
      <c r="AJ261">
        <v>194581</v>
      </c>
      <c r="AL261" t="s">
        <v>6412</v>
      </c>
      <c r="AM261" t="s">
        <v>6413</v>
      </c>
      <c r="AN261" t="s">
        <v>6414</v>
      </c>
      <c r="AO261" t="s">
        <v>68</v>
      </c>
      <c r="AQ261" t="s">
        <v>6415</v>
      </c>
      <c r="AR261" t="s">
        <v>6416</v>
      </c>
      <c r="AS261" t="s">
        <v>6417</v>
      </c>
      <c r="AV261" s="14" t="s">
        <v>72</v>
      </c>
      <c r="AW261" s="14" t="s">
        <v>73</v>
      </c>
      <c r="AX261" s="14" t="s">
        <v>74</v>
      </c>
    </row>
    <row r="262" spans="1:50" ht="15" customHeight="1" x14ac:dyDescent="0.4">
      <c r="A262" s="12">
        <v>3880</v>
      </c>
      <c r="B262" s="21" t="s">
        <v>6418</v>
      </c>
      <c r="C262" s="13" t="s">
        <v>6419</v>
      </c>
      <c r="D262" s="25" t="s">
        <v>6419</v>
      </c>
      <c r="E262" s="13"/>
      <c r="F262" s="41"/>
      <c r="G262" s="65" t="s">
        <v>8153</v>
      </c>
      <c r="H262" s="14" t="s">
        <v>49</v>
      </c>
      <c r="I262" s="15">
        <v>44794</v>
      </c>
      <c r="J262" t="s">
        <v>2719</v>
      </c>
      <c r="K262" t="s">
        <v>51</v>
      </c>
      <c r="L262" t="s">
        <v>52</v>
      </c>
      <c r="M262" t="s">
        <v>53</v>
      </c>
      <c r="N262" t="s">
        <v>6296</v>
      </c>
      <c r="O262" t="s">
        <v>6297</v>
      </c>
      <c r="P262" t="s">
        <v>56</v>
      </c>
      <c r="Q262" s="21" t="s">
        <v>6386</v>
      </c>
      <c r="R262" s="21"/>
      <c r="S262" t="s">
        <v>6387</v>
      </c>
      <c r="T262" t="s">
        <v>6420</v>
      </c>
      <c r="X262" t="s">
        <v>60</v>
      </c>
      <c r="Z262" s="15"/>
      <c r="AB262">
        <v>42.289945000000003</v>
      </c>
      <c r="AC262">
        <v>-73.317931000000002</v>
      </c>
      <c r="AG262" t="s">
        <v>1715</v>
      </c>
      <c r="AH262" t="s">
        <v>63</v>
      </c>
      <c r="AI262" t="s">
        <v>6421</v>
      </c>
      <c r="AJ262">
        <v>194580</v>
      </c>
      <c r="AL262" t="s">
        <v>6422</v>
      </c>
      <c r="AM262" t="s">
        <v>6423</v>
      </c>
      <c r="AN262" t="s">
        <v>6424</v>
      </c>
      <c r="AO262" t="s">
        <v>68</v>
      </c>
      <c r="AQ262" t="s">
        <v>6425</v>
      </c>
      <c r="AR262" t="s">
        <v>6426</v>
      </c>
      <c r="AS262" t="s">
        <v>6427</v>
      </c>
      <c r="AV262" s="14" t="s">
        <v>72</v>
      </c>
      <c r="AW262" s="14" t="s">
        <v>73</v>
      </c>
      <c r="AX262" s="14" t="s">
        <v>74</v>
      </c>
    </row>
    <row r="263" spans="1:50" ht="15" customHeight="1" x14ac:dyDescent="0.4">
      <c r="A263" s="12">
        <v>3881</v>
      </c>
      <c r="B263" s="21" t="s">
        <v>6428</v>
      </c>
      <c r="C263" s="13" t="s">
        <v>6429</v>
      </c>
      <c r="D263" s="25" t="s">
        <v>6429</v>
      </c>
      <c r="E263" s="13"/>
      <c r="F263" s="41"/>
      <c r="G263" s="65" t="s">
        <v>8185</v>
      </c>
      <c r="H263" s="14" t="s">
        <v>49</v>
      </c>
      <c r="I263" s="15">
        <v>44794</v>
      </c>
      <c r="J263" t="s">
        <v>2719</v>
      </c>
      <c r="K263" t="s">
        <v>51</v>
      </c>
      <c r="L263" t="s">
        <v>52</v>
      </c>
      <c r="M263" t="s">
        <v>53</v>
      </c>
      <c r="N263" t="s">
        <v>6296</v>
      </c>
      <c r="O263" t="s">
        <v>6297</v>
      </c>
      <c r="P263" t="s">
        <v>56</v>
      </c>
      <c r="Q263" s="21" t="s">
        <v>6386</v>
      </c>
      <c r="R263" s="21"/>
      <c r="S263" t="s">
        <v>6430</v>
      </c>
      <c r="T263" t="s">
        <v>6431</v>
      </c>
      <c r="X263" t="s">
        <v>60</v>
      </c>
      <c r="Z263" s="15"/>
      <c r="AB263">
        <v>42.290072000000002</v>
      </c>
      <c r="AC263">
        <v>-73.319390999999996</v>
      </c>
      <c r="AG263" t="s">
        <v>1715</v>
      </c>
      <c r="AH263" t="s">
        <v>63</v>
      </c>
      <c r="AI263" t="s">
        <v>6432</v>
      </c>
      <c r="AJ263">
        <v>194579</v>
      </c>
      <c r="AL263" t="s">
        <v>6433</v>
      </c>
      <c r="AM263" t="s">
        <v>6434</v>
      </c>
      <c r="AN263" t="s">
        <v>6435</v>
      </c>
      <c r="AO263" t="s">
        <v>68</v>
      </c>
      <c r="AQ263" t="s">
        <v>6436</v>
      </c>
      <c r="AR263" t="s">
        <v>6437</v>
      </c>
      <c r="AS263" t="s">
        <v>6438</v>
      </c>
      <c r="AV263" s="14" t="s">
        <v>72</v>
      </c>
      <c r="AW263" s="14" t="s">
        <v>73</v>
      </c>
      <c r="AX263" s="14" t="s">
        <v>74</v>
      </c>
    </row>
    <row r="264" spans="1:50" ht="15" customHeight="1" x14ac:dyDescent="0.4">
      <c r="A264" s="12">
        <v>3886</v>
      </c>
      <c r="B264" s="21" t="s">
        <v>6484</v>
      </c>
      <c r="C264" s="13" t="s">
        <v>6485</v>
      </c>
      <c r="D264" s="25" t="s">
        <v>6485</v>
      </c>
      <c r="E264" s="13"/>
      <c r="F264" s="41"/>
      <c r="G264" s="65" t="s">
        <v>8153</v>
      </c>
      <c r="H264" s="14" t="s">
        <v>49</v>
      </c>
      <c r="I264" s="15">
        <v>44795</v>
      </c>
      <c r="J264" t="s">
        <v>2719</v>
      </c>
      <c r="K264" t="s">
        <v>51</v>
      </c>
      <c r="L264" t="s">
        <v>52</v>
      </c>
      <c r="M264" t="s">
        <v>53</v>
      </c>
      <c r="N264" t="s">
        <v>6296</v>
      </c>
      <c r="O264" t="s">
        <v>6297</v>
      </c>
      <c r="P264" t="s">
        <v>56</v>
      </c>
      <c r="Q264" s="21" t="s">
        <v>6486</v>
      </c>
      <c r="R264" s="21"/>
      <c r="S264" t="s">
        <v>6487</v>
      </c>
      <c r="T264" t="s">
        <v>6488</v>
      </c>
      <c r="X264" t="s">
        <v>60</v>
      </c>
      <c r="Z264" s="15"/>
      <c r="AB264">
        <v>42.084547999999998</v>
      </c>
      <c r="AC264">
        <v>-73.385045000000005</v>
      </c>
      <c r="AD264" t="s">
        <v>225</v>
      </c>
      <c r="AG264" t="s">
        <v>1715</v>
      </c>
      <c r="AH264" t="s">
        <v>63</v>
      </c>
      <c r="AI264" t="s">
        <v>6489</v>
      </c>
      <c r="AJ264">
        <v>194578</v>
      </c>
      <c r="AL264" t="s">
        <v>6490</v>
      </c>
      <c r="AM264" t="s">
        <v>6491</v>
      </c>
      <c r="AN264" t="s">
        <v>6492</v>
      </c>
      <c r="AO264" t="s">
        <v>68</v>
      </c>
      <c r="AQ264" t="s">
        <v>6493</v>
      </c>
      <c r="AR264" t="s">
        <v>6494</v>
      </c>
      <c r="AS264" t="s">
        <v>6495</v>
      </c>
      <c r="AV264" s="14" t="s">
        <v>72</v>
      </c>
      <c r="AW264" s="14" t="s">
        <v>73</v>
      </c>
      <c r="AX264" s="14" t="s">
        <v>74</v>
      </c>
    </row>
    <row r="265" spans="1:50" ht="15" customHeight="1" x14ac:dyDescent="0.4">
      <c r="A265" s="12">
        <v>3887</v>
      </c>
      <c r="B265" s="21" t="s">
        <v>6496</v>
      </c>
      <c r="C265" s="13" t="s">
        <v>6497</v>
      </c>
      <c r="D265" s="25" t="s">
        <v>6497</v>
      </c>
      <c r="E265" s="13"/>
      <c r="F265" s="45" t="s">
        <v>49</v>
      </c>
      <c r="G265" s="65" t="s">
        <v>8161</v>
      </c>
      <c r="H265" s="14" t="s">
        <v>49</v>
      </c>
      <c r="I265" s="15">
        <v>44795</v>
      </c>
      <c r="J265" t="s">
        <v>2719</v>
      </c>
      <c r="K265" t="s">
        <v>51</v>
      </c>
      <c r="L265" t="s">
        <v>52</v>
      </c>
      <c r="M265" t="s">
        <v>53</v>
      </c>
      <c r="N265" t="s">
        <v>6296</v>
      </c>
      <c r="O265" t="s">
        <v>6297</v>
      </c>
      <c r="P265" t="s">
        <v>56</v>
      </c>
      <c r="Q265" s="21" t="s">
        <v>6486</v>
      </c>
      <c r="R265" s="21"/>
      <c r="S265" t="s">
        <v>6498</v>
      </c>
      <c r="T265" t="s">
        <v>6499</v>
      </c>
      <c r="W265" t="s">
        <v>2440</v>
      </c>
      <c r="X265" t="s">
        <v>60</v>
      </c>
      <c r="Z265" s="15"/>
      <c r="AB265">
        <v>42.084218</v>
      </c>
      <c r="AC265">
        <v>-73.385463999999999</v>
      </c>
      <c r="AD265" t="s">
        <v>2808</v>
      </c>
      <c r="AG265" t="s">
        <v>1715</v>
      </c>
      <c r="AH265" t="s">
        <v>63</v>
      </c>
      <c r="AI265" t="s">
        <v>6500</v>
      </c>
      <c r="AJ265">
        <v>192610</v>
      </c>
      <c r="AL265" t="s">
        <v>6501</v>
      </c>
      <c r="AM265" t="s">
        <v>6502</v>
      </c>
      <c r="AN265" t="s">
        <v>6503</v>
      </c>
      <c r="AO265" t="s">
        <v>68</v>
      </c>
      <c r="AQ265" t="s">
        <v>6504</v>
      </c>
      <c r="AR265" t="s">
        <v>6505</v>
      </c>
      <c r="AS265" t="s">
        <v>6506</v>
      </c>
      <c r="AV265" s="14" t="s">
        <v>72</v>
      </c>
      <c r="AW265" s="14" t="s">
        <v>73</v>
      </c>
      <c r="AX265" s="14" t="s">
        <v>74</v>
      </c>
    </row>
    <row r="266" spans="1:50" ht="15" customHeight="1" x14ac:dyDescent="0.4">
      <c r="A266" s="12">
        <v>3888</v>
      </c>
      <c r="B266" s="21" t="s">
        <v>6507</v>
      </c>
      <c r="C266" s="13" t="s">
        <v>6508</v>
      </c>
      <c r="D266" s="25" t="s">
        <v>6508</v>
      </c>
      <c r="E266" s="13"/>
      <c r="F266" s="41" t="s">
        <v>1878</v>
      </c>
      <c r="G266" s="65" t="s">
        <v>8185</v>
      </c>
      <c r="H266" s="14" t="s">
        <v>49</v>
      </c>
      <c r="I266" s="15">
        <v>44795</v>
      </c>
      <c r="J266" t="s">
        <v>2719</v>
      </c>
      <c r="K266" t="s">
        <v>51</v>
      </c>
      <c r="L266" t="s">
        <v>52</v>
      </c>
      <c r="M266" t="s">
        <v>53</v>
      </c>
      <c r="N266" t="s">
        <v>6296</v>
      </c>
      <c r="O266" t="s">
        <v>6297</v>
      </c>
      <c r="P266" t="s">
        <v>56</v>
      </c>
      <c r="Q266" s="21" t="s">
        <v>6486</v>
      </c>
      <c r="R266" s="21"/>
      <c r="S266" t="s">
        <v>6509</v>
      </c>
      <c r="T266" t="s">
        <v>6510</v>
      </c>
      <c r="X266" t="s">
        <v>60</v>
      </c>
      <c r="Z266" s="15"/>
      <c r="AB266">
        <v>42.084738000000002</v>
      </c>
      <c r="AC266">
        <v>-73.385193000000001</v>
      </c>
      <c r="AD266" t="s">
        <v>2285</v>
      </c>
      <c r="AG266" t="s">
        <v>1715</v>
      </c>
      <c r="AH266" t="s">
        <v>63</v>
      </c>
      <c r="AI266" t="s">
        <v>6511</v>
      </c>
      <c r="AJ266">
        <v>192607</v>
      </c>
      <c r="AL266" t="s">
        <v>6512</v>
      </c>
      <c r="AM266" t="s">
        <v>6513</v>
      </c>
      <c r="AN266" t="s">
        <v>6514</v>
      </c>
      <c r="AO266" t="s">
        <v>68</v>
      </c>
      <c r="AQ266" t="s">
        <v>6515</v>
      </c>
      <c r="AR266" t="s">
        <v>6516</v>
      </c>
      <c r="AS266" t="s">
        <v>6517</v>
      </c>
      <c r="AV266" s="14" t="s">
        <v>72</v>
      </c>
      <c r="AW266" s="14" t="s">
        <v>73</v>
      </c>
      <c r="AX266" s="14" t="s">
        <v>74</v>
      </c>
    </row>
    <row r="267" spans="1:50" ht="15" customHeight="1" x14ac:dyDescent="0.4">
      <c r="A267" s="12">
        <v>3889</v>
      </c>
      <c r="B267" s="21" t="s">
        <v>6518</v>
      </c>
      <c r="C267" s="13" t="s">
        <v>6519</v>
      </c>
      <c r="D267" s="25" t="s">
        <v>6519</v>
      </c>
      <c r="E267" s="13"/>
      <c r="F267" s="41"/>
      <c r="G267" s="65" t="s">
        <v>8182</v>
      </c>
      <c r="H267" s="14" t="s">
        <v>49</v>
      </c>
      <c r="I267" s="15">
        <v>44795</v>
      </c>
      <c r="J267" t="s">
        <v>2719</v>
      </c>
      <c r="K267" t="s">
        <v>51</v>
      </c>
      <c r="L267" t="s">
        <v>52</v>
      </c>
      <c r="M267" t="s">
        <v>53</v>
      </c>
      <c r="N267" t="s">
        <v>6296</v>
      </c>
      <c r="O267" t="s">
        <v>6297</v>
      </c>
      <c r="P267" t="s">
        <v>56</v>
      </c>
      <c r="Q267" s="21" t="s">
        <v>6486</v>
      </c>
      <c r="R267" s="21"/>
      <c r="S267" t="s">
        <v>6520</v>
      </c>
      <c r="T267" t="s">
        <v>6521</v>
      </c>
      <c r="X267" t="s">
        <v>60</v>
      </c>
      <c r="Z267" s="15"/>
      <c r="AB267">
        <v>42.084744999999998</v>
      </c>
      <c r="AC267">
        <v>-73.385532999999995</v>
      </c>
      <c r="AD267" t="s">
        <v>4820</v>
      </c>
      <c r="AG267" t="s">
        <v>1715</v>
      </c>
      <c r="AH267" t="s">
        <v>63</v>
      </c>
      <c r="AI267" t="s">
        <v>6522</v>
      </c>
      <c r="AJ267">
        <v>194577</v>
      </c>
      <c r="AL267" t="s">
        <v>6523</v>
      </c>
      <c r="AM267" t="s">
        <v>6524</v>
      </c>
      <c r="AN267" t="s">
        <v>6525</v>
      </c>
      <c r="AO267" t="s">
        <v>68</v>
      </c>
      <c r="AQ267" t="s">
        <v>6526</v>
      </c>
      <c r="AR267" t="s">
        <v>6527</v>
      </c>
      <c r="AS267" t="s">
        <v>6528</v>
      </c>
      <c r="AV267" s="14" t="s">
        <v>72</v>
      </c>
      <c r="AW267" s="14" t="s">
        <v>73</v>
      </c>
      <c r="AX267" s="14" t="s">
        <v>74</v>
      </c>
    </row>
    <row r="268" spans="1:50" ht="15" customHeight="1" x14ac:dyDescent="0.4">
      <c r="A268" s="12">
        <v>3890</v>
      </c>
      <c r="B268" s="21" t="s">
        <v>6529</v>
      </c>
      <c r="C268" s="13" t="s">
        <v>6530</v>
      </c>
      <c r="D268" s="25" t="s">
        <v>6530</v>
      </c>
      <c r="E268" s="13"/>
      <c r="F268" s="43" t="s">
        <v>49</v>
      </c>
      <c r="G268" s="65" t="s">
        <v>8161</v>
      </c>
      <c r="H268" s="14" t="s">
        <v>49</v>
      </c>
      <c r="I268" s="15">
        <v>44795</v>
      </c>
      <c r="J268" t="s">
        <v>2719</v>
      </c>
      <c r="K268" t="s">
        <v>51</v>
      </c>
      <c r="L268" t="s">
        <v>52</v>
      </c>
      <c r="M268" t="s">
        <v>53</v>
      </c>
      <c r="N268" t="s">
        <v>6296</v>
      </c>
      <c r="O268" t="s">
        <v>6297</v>
      </c>
      <c r="P268" t="s">
        <v>56</v>
      </c>
      <c r="Q268" s="21" t="s">
        <v>6486</v>
      </c>
      <c r="R268" s="21"/>
      <c r="S268" t="s">
        <v>6531</v>
      </c>
      <c r="T268" t="s">
        <v>6532</v>
      </c>
      <c r="X268" t="s">
        <v>60</v>
      </c>
      <c r="Z268" s="15"/>
      <c r="AB268">
        <v>42.084995999999997</v>
      </c>
      <c r="AC268">
        <v>-73.385541000000003</v>
      </c>
      <c r="AD268" t="s">
        <v>6533</v>
      </c>
      <c r="AG268" t="s">
        <v>1715</v>
      </c>
      <c r="AH268" t="s">
        <v>63</v>
      </c>
      <c r="AI268" t="s">
        <v>6534</v>
      </c>
      <c r="AJ268">
        <v>193364</v>
      </c>
      <c r="AL268" t="s">
        <v>6535</v>
      </c>
      <c r="AM268" t="s">
        <v>6536</v>
      </c>
      <c r="AN268" t="s">
        <v>6537</v>
      </c>
      <c r="AO268" t="s">
        <v>68</v>
      </c>
      <c r="AQ268" t="s">
        <v>6538</v>
      </c>
      <c r="AR268" t="s">
        <v>6539</v>
      </c>
      <c r="AS268" t="s">
        <v>6540</v>
      </c>
      <c r="AV268" s="14" t="s">
        <v>72</v>
      </c>
      <c r="AW268" s="14" t="s">
        <v>73</v>
      </c>
      <c r="AX268" s="14" t="s">
        <v>74</v>
      </c>
    </row>
    <row r="269" spans="1:50" ht="15" customHeight="1" x14ac:dyDescent="0.4">
      <c r="A269" s="12">
        <v>3891</v>
      </c>
      <c r="B269" s="21" t="s">
        <v>6541</v>
      </c>
      <c r="C269" s="13" t="s">
        <v>6542</v>
      </c>
      <c r="D269" s="25" t="s">
        <v>6542</v>
      </c>
      <c r="E269" s="13"/>
      <c r="F269" s="41"/>
      <c r="G269" s="65" t="s">
        <v>8185</v>
      </c>
      <c r="H269" s="14" t="s">
        <v>1878</v>
      </c>
      <c r="I269" s="15">
        <v>44795</v>
      </c>
      <c r="J269" t="s">
        <v>2719</v>
      </c>
      <c r="K269" t="s">
        <v>51</v>
      </c>
      <c r="L269" t="s">
        <v>52</v>
      </c>
      <c r="M269" t="s">
        <v>53</v>
      </c>
      <c r="N269" t="s">
        <v>6296</v>
      </c>
      <c r="O269" t="s">
        <v>6297</v>
      </c>
      <c r="P269" t="s">
        <v>56</v>
      </c>
      <c r="Q269" s="21" t="s">
        <v>6486</v>
      </c>
      <c r="R269" s="21"/>
      <c r="S269" t="s">
        <v>6543</v>
      </c>
      <c r="T269" t="s">
        <v>6544</v>
      </c>
      <c r="X269" t="s">
        <v>1881</v>
      </c>
      <c r="Z269" s="15"/>
      <c r="AB269">
        <v>42.082520000000002</v>
      </c>
      <c r="AC269">
        <v>-73.384530999999996</v>
      </c>
      <c r="AD269" t="s">
        <v>2337</v>
      </c>
      <c r="AG269" t="s">
        <v>1715</v>
      </c>
      <c r="AH269" t="s">
        <v>63</v>
      </c>
      <c r="AI269" t="s">
        <v>6545</v>
      </c>
      <c r="AJ269">
        <v>194164</v>
      </c>
      <c r="AL269" t="s">
        <v>6546</v>
      </c>
      <c r="AM269" t="s">
        <v>6547</v>
      </c>
      <c r="AN269" t="s">
        <v>6548</v>
      </c>
      <c r="AO269" t="s">
        <v>68</v>
      </c>
      <c r="AQ269" t="s">
        <v>6549</v>
      </c>
      <c r="AR269" t="s">
        <v>6550</v>
      </c>
      <c r="AS269" t="s">
        <v>6551</v>
      </c>
      <c r="AV269" s="14" t="s">
        <v>72</v>
      </c>
      <c r="AW269" s="14" t="s">
        <v>73</v>
      </c>
      <c r="AX269" s="14" t="s">
        <v>1723</v>
      </c>
    </row>
    <row r="270" spans="1:50" ht="15" customHeight="1" x14ac:dyDescent="0.4">
      <c r="A270" s="12">
        <v>1950</v>
      </c>
      <c r="B270" t="s">
        <v>244</v>
      </c>
      <c r="D270" t="s">
        <v>245</v>
      </c>
      <c r="E270" s="13"/>
      <c r="F270" s="41"/>
      <c r="G270" s="65" t="s">
        <v>8185</v>
      </c>
      <c r="H270" s="14" t="s">
        <v>49</v>
      </c>
      <c r="I270" s="15">
        <v>42922</v>
      </c>
      <c r="J270" t="s">
        <v>246</v>
      </c>
      <c r="K270" t="s">
        <v>51</v>
      </c>
      <c r="L270" t="s">
        <v>52</v>
      </c>
      <c r="M270" t="s">
        <v>247</v>
      </c>
      <c r="N270" t="s">
        <v>248</v>
      </c>
      <c r="Q270" s="16" t="s">
        <v>249</v>
      </c>
      <c r="R270" s="21"/>
      <c r="S270" t="s">
        <v>250</v>
      </c>
      <c r="X270" t="s">
        <v>60</v>
      </c>
      <c r="Z270" s="15"/>
      <c r="AB270" s="17">
        <v>49.713590000000003</v>
      </c>
      <c r="AC270" s="17">
        <v>-95.243489999999994</v>
      </c>
      <c r="AD270" t="s">
        <v>251</v>
      </c>
      <c r="AG270" t="s">
        <v>62</v>
      </c>
      <c r="AH270" t="s">
        <v>63</v>
      </c>
      <c r="AI270" t="s">
        <v>252</v>
      </c>
      <c r="AJ270">
        <v>184786</v>
      </c>
      <c r="AL270" t="s">
        <v>253</v>
      </c>
      <c r="AM270" t="s">
        <v>254</v>
      </c>
      <c r="AN270" t="s">
        <v>255</v>
      </c>
      <c r="AO270" t="s">
        <v>68</v>
      </c>
      <c r="AQ270" t="s">
        <v>256</v>
      </c>
      <c r="AR270" t="s">
        <v>257</v>
      </c>
      <c r="AS270" t="s">
        <v>258</v>
      </c>
      <c r="AV270" s="14" t="s">
        <v>72</v>
      </c>
      <c r="AW270" s="14" t="s">
        <v>73</v>
      </c>
      <c r="AX270" s="14" t="s">
        <v>74</v>
      </c>
    </row>
    <row r="271" spans="1:50" ht="15" customHeight="1" x14ac:dyDescent="0.4">
      <c r="A271" s="12">
        <v>1951</v>
      </c>
      <c r="B271" t="s">
        <v>259</v>
      </c>
      <c r="D271" t="s">
        <v>260</v>
      </c>
      <c r="E271" s="13"/>
      <c r="F271" s="41"/>
      <c r="G271" s="65" t="s">
        <v>8185</v>
      </c>
      <c r="H271" s="14" t="s">
        <v>49</v>
      </c>
      <c r="I271" s="15">
        <v>42922</v>
      </c>
      <c r="J271" t="s">
        <v>246</v>
      </c>
      <c r="K271" t="s">
        <v>51</v>
      </c>
      <c r="L271" t="s">
        <v>52</v>
      </c>
      <c r="M271" t="s">
        <v>247</v>
      </c>
      <c r="N271" t="s">
        <v>248</v>
      </c>
      <c r="Q271" s="16" t="s">
        <v>249</v>
      </c>
      <c r="R271" s="21"/>
      <c r="S271" t="s">
        <v>250</v>
      </c>
      <c r="X271" t="s">
        <v>60</v>
      </c>
      <c r="Z271" s="15"/>
      <c r="AB271">
        <v>49.713760000000001</v>
      </c>
      <c r="AC271">
        <v>-95.243849999999995</v>
      </c>
      <c r="AD271" t="s">
        <v>261</v>
      </c>
      <c r="AG271" t="s">
        <v>62</v>
      </c>
      <c r="AH271" t="s">
        <v>63</v>
      </c>
      <c r="AI271" t="s">
        <v>262</v>
      </c>
      <c r="AJ271">
        <v>184787</v>
      </c>
      <c r="AL271" t="s">
        <v>263</v>
      </c>
      <c r="AM271" t="s">
        <v>264</v>
      </c>
      <c r="AN271" t="s">
        <v>265</v>
      </c>
      <c r="AO271" t="s">
        <v>68</v>
      </c>
      <c r="AQ271" t="s">
        <v>266</v>
      </c>
      <c r="AR271" t="s">
        <v>267</v>
      </c>
      <c r="AS271" t="s">
        <v>268</v>
      </c>
      <c r="AT271" s="31" t="s">
        <v>269</v>
      </c>
      <c r="AU271" s="31" t="s">
        <v>85</v>
      </c>
      <c r="AV271" s="14" t="s">
        <v>72</v>
      </c>
      <c r="AW271" s="14" t="s">
        <v>73</v>
      </c>
      <c r="AX271" s="14" t="s">
        <v>74</v>
      </c>
    </row>
    <row r="272" spans="1:50" ht="15" customHeight="1" x14ac:dyDescent="0.4">
      <c r="A272" s="12">
        <v>1952</v>
      </c>
      <c r="B272" t="s">
        <v>270</v>
      </c>
      <c r="D272" t="s">
        <v>271</v>
      </c>
      <c r="E272" s="13"/>
      <c r="F272" s="41"/>
      <c r="G272" s="65" t="s">
        <v>8185</v>
      </c>
      <c r="H272" s="14" t="s">
        <v>49</v>
      </c>
      <c r="I272" s="15">
        <v>42922</v>
      </c>
      <c r="J272" t="s">
        <v>246</v>
      </c>
      <c r="K272" t="s">
        <v>51</v>
      </c>
      <c r="L272" t="s">
        <v>52</v>
      </c>
      <c r="M272" t="s">
        <v>247</v>
      </c>
      <c r="N272" t="s">
        <v>248</v>
      </c>
      <c r="Q272" s="16" t="s">
        <v>249</v>
      </c>
      <c r="R272" s="21"/>
      <c r="S272" t="s">
        <v>272</v>
      </c>
      <c r="X272" t="s">
        <v>60</v>
      </c>
      <c r="Z272" s="15"/>
      <c r="AB272" s="17">
        <v>49.712780000000002</v>
      </c>
      <c r="AC272" s="17">
        <v>-95.244320000000002</v>
      </c>
      <c r="AD272" t="s">
        <v>273</v>
      </c>
      <c r="AG272" t="s">
        <v>62</v>
      </c>
      <c r="AH272" t="s">
        <v>63</v>
      </c>
      <c r="AI272" t="s">
        <v>274</v>
      </c>
      <c r="AJ272">
        <v>184788</v>
      </c>
      <c r="AL272" t="s">
        <v>275</v>
      </c>
      <c r="AM272" t="s">
        <v>276</v>
      </c>
      <c r="AN272" t="s">
        <v>277</v>
      </c>
      <c r="AO272" t="s">
        <v>68</v>
      </c>
      <c r="AQ272" t="s">
        <v>278</v>
      </c>
      <c r="AR272" t="s">
        <v>279</v>
      </c>
      <c r="AS272" t="s">
        <v>280</v>
      </c>
      <c r="AV272" s="14" t="s">
        <v>72</v>
      </c>
      <c r="AW272" s="14" t="s">
        <v>73</v>
      </c>
      <c r="AX272" s="14" t="s">
        <v>74</v>
      </c>
    </row>
    <row r="273" spans="1:50" ht="15" customHeight="1" x14ac:dyDescent="0.4">
      <c r="A273" s="12">
        <v>1953</v>
      </c>
      <c r="B273" t="s">
        <v>281</v>
      </c>
      <c r="D273" t="s">
        <v>282</v>
      </c>
      <c r="E273" s="13"/>
      <c r="F273" s="41"/>
      <c r="G273" s="65" t="s">
        <v>8185</v>
      </c>
      <c r="H273" s="14" t="s">
        <v>49</v>
      </c>
      <c r="I273" s="15">
        <v>42922</v>
      </c>
      <c r="J273" t="s">
        <v>246</v>
      </c>
      <c r="K273" t="s">
        <v>51</v>
      </c>
      <c r="L273" t="s">
        <v>52</v>
      </c>
      <c r="M273" t="s">
        <v>247</v>
      </c>
      <c r="N273" t="s">
        <v>248</v>
      </c>
      <c r="Q273" t="s">
        <v>249</v>
      </c>
      <c r="R273" s="16" t="s">
        <v>283</v>
      </c>
      <c r="S273" t="s">
        <v>250</v>
      </c>
      <c r="X273" t="s">
        <v>60</v>
      </c>
      <c r="Z273" s="15"/>
      <c r="AB273" s="17">
        <v>49.712780000000002</v>
      </c>
      <c r="AC273" s="17">
        <v>-95.244500000000002</v>
      </c>
      <c r="AD273" t="s">
        <v>284</v>
      </c>
      <c r="AG273" t="s">
        <v>62</v>
      </c>
      <c r="AH273" t="s">
        <v>63</v>
      </c>
      <c r="AI273" t="s">
        <v>285</v>
      </c>
      <c r="AJ273">
        <v>184789</v>
      </c>
      <c r="AL273" t="s">
        <v>286</v>
      </c>
      <c r="AM273" t="s">
        <v>287</v>
      </c>
      <c r="AN273" t="s">
        <v>288</v>
      </c>
      <c r="AO273" t="s">
        <v>68</v>
      </c>
      <c r="AQ273" t="s">
        <v>289</v>
      </c>
      <c r="AR273" t="s">
        <v>290</v>
      </c>
      <c r="AS273" t="s">
        <v>291</v>
      </c>
      <c r="AV273" s="14" t="s">
        <v>72</v>
      </c>
      <c r="AW273" s="14" t="s">
        <v>73</v>
      </c>
      <c r="AX273" s="14" t="s">
        <v>74</v>
      </c>
    </row>
    <row r="274" spans="1:50" ht="15" customHeight="1" x14ac:dyDescent="0.4">
      <c r="A274" s="12">
        <v>1954</v>
      </c>
      <c r="B274" t="s">
        <v>292</v>
      </c>
      <c r="D274" t="s">
        <v>293</v>
      </c>
      <c r="E274" s="13"/>
      <c r="F274" s="41"/>
      <c r="G274" s="65" t="s">
        <v>8185</v>
      </c>
      <c r="H274" s="14" t="s">
        <v>49</v>
      </c>
      <c r="I274" s="15">
        <v>42922</v>
      </c>
      <c r="J274" t="s">
        <v>246</v>
      </c>
      <c r="K274" t="s">
        <v>51</v>
      </c>
      <c r="L274" t="s">
        <v>52</v>
      </c>
      <c r="M274" t="s">
        <v>247</v>
      </c>
      <c r="N274" t="s">
        <v>248</v>
      </c>
      <c r="Q274" t="s">
        <v>249</v>
      </c>
      <c r="R274" s="16" t="s">
        <v>294</v>
      </c>
      <c r="S274" t="s">
        <v>250</v>
      </c>
      <c r="X274" t="s">
        <v>60</v>
      </c>
      <c r="Z274" s="15"/>
      <c r="AB274" s="17">
        <v>49.712159999999997</v>
      </c>
      <c r="AC274" s="17">
        <v>-95.244630000000001</v>
      </c>
      <c r="AD274" t="s">
        <v>295</v>
      </c>
      <c r="AG274" t="s">
        <v>62</v>
      </c>
      <c r="AH274" t="s">
        <v>63</v>
      </c>
      <c r="AI274" t="s">
        <v>296</v>
      </c>
      <c r="AJ274">
        <v>184790</v>
      </c>
      <c r="AL274" t="s">
        <v>297</v>
      </c>
      <c r="AM274" t="s">
        <v>298</v>
      </c>
      <c r="AN274" t="s">
        <v>299</v>
      </c>
      <c r="AO274" t="s">
        <v>68</v>
      </c>
      <c r="AQ274" t="s">
        <v>300</v>
      </c>
      <c r="AR274" t="s">
        <v>301</v>
      </c>
      <c r="AS274" t="s">
        <v>302</v>
      </c>
      <c r="AV274" s="14" t="s">
        <v>72</v>
      </c>
      <c r="AW274" s="14" t="s">
        <v>73</v>
      </c>
      <c r="AX274" s="14" t="s">
        <v>74</v>
      </c>
    </row>
    <row r="275" spans="1:50" ht="15" customHeight="1" x14ac:dyDescent="0.4">
      <c r="A275" s="12">
        <v>1955</v>
      </c>
      <c r="B275" t="s">
        <v>303</v>
      </c>
      <c r="D275" t="s">
        <v>304</v>
      </c>
      <c r="E275" s="13"/>
      <c r="F275" s="41"/>
      <c r="G275" s="65" t="s">
        <v>8185</v>
      </c>
      <c r="H275" s="14" t="s">
        <v>49</v>
      </c>
      <c r="I275" s="15">
        <v>42922</v>
      </c>
      <c r="J275" t="s">
        <v>246</v>
      </c>
      <c r="K275" t="s">
        <v>51</v>
      </c>
      <c r="L275" t="s">
        <v>52</v>
      </c>
      <c r="M275" t="s">
        <v>247</v>
      </c>
      <c r="N275" t="s">
        <v>248</v>
      </c>
      <c r="Q275" t="s">
        <v>249</v>
      </c>
      <c r="R275" s="16" t="s">
        <v>294</v>
      </c>
      <c r="S275" t="s">
        <v>250</v>
      </c>
      <c r="X275" t="s">
        <v>78</v>
      </c>
      <c r="Y275" t="s">
        <v>79</v>
      </c>
      <c r="Z275" s="15">
        <v>45597</v>
      </c>
      <c r="AA275" t="s">
        <v>48</v>
      </c>
      <c r="AB275" s="17">
        <v>49.712040000000002</v>
      </c>
      <c r="AC275" s="17">
        <v>-95.244799999999998</v>
      </c>
      <c r="AD275" t="s">
        <v>305</v>
      </c>
      <c r="AG275" t="s">
        <v>62</v>
      </c>
      <c r="AH275" t="s">
        <v>63</v>
      </c>
      <c r="AI275" t="s">
        <v>306</v>
      </c>
      <c r="AJ275">
        <v>184791</v>
      </c>
      <c r="AL275" t="s">
        <v>307</v>
      </c>
      <c r="AM275" t="s">
        <v>308</v>
      </c>
      <c r="AN275" t="s">
        <v>309</v>
      </c>
      <c r="AO275" t="s">
        <v>68</v>
      </c>
      <c r="AQ275" t="s">
        <v>310</v>
      </c>
      <c r="AR275" t="s">
        <v>311</v>
      </c>
      <c r="AS275" t="s">
        <v>312</v>
      </c>
      <c r="AT275" s="31" t="s">
        <v>313</v>
      </c>
      <c r="AU275" s="31" t="s">
        <v>85</v>
      </c>
      <c r="AV275" s="14" t="s">
        <v>72</v>
      </c>
      <c r="AW275" s="14" t="s">
        <v>73</v>
      </c>
      <c r="AX275" s="14" t="s">
        <v>74</v>
      </c>
    </row>
    <row r="276" spans="1:50" ht="15" customHeight="1" x14ac:dyDescent="0.4">
      <c r="A276" s="12">
        <v>1956</v>
      </c>
      <c r="B276" t="s">
        <v>314</v>
      </c>
      <c r="D276" t="s">
        <v>315</v>
      </c>
      <c r="E276" s="13"/>
      <c r="F276" s="41"/>
      <c r="G276" s="65" t="s">
        <v>8185</v>
      </c>
      <c r="H276" s="14" t="s">
        <v>49</v>
      </c>
      <c r="I276" s="15">
        <v>42922</v>
      </c>
      <c r="J276" t="s">
        <v>246</v>
      </c>
      <c r="K276" t="s">
        <v>51</v>
      </c>
      <c r="L276" t="s">
        <v>52</v>
      </c>
      <c r="M276" t="s">
        <v>247</v>
      </c>
      <c r="N276" t="s">
        <v>248</v>
      </c>
      <c r="Q276" t="s">
        <v>249</v>
      </c>
      <c r="R276" s="16" t="s">
        <v>294</v>
      </c>
      <c r="S276" t="s">
        <v>250</v>
      </c>
      <c r="X276" t="s">
        <v>60</v>
      </c>
      <c r="Z276" s="15"/>
      <c r="AB276" s="17">
        <v>49.711950000000002</v>
      </c>
      <c r="AC276" s="17">
        <v>-95.244919999999993</v>
      </c>
      <c r="AD276" t="s">
        <v>316</v>
      </c>
      <c r="AG276" t="s">
        <v>62</v>
      </c>
      <c r="AH276" t="s">
        <v>63</v>
      </c>
      <c r="AI276" t="s">
        <v>317</v>
      </c>
      <c r="AJ276">
        <v>184792</v>
      </c>
      <c r="AL276" t="s">
        <v>318</v>
      </c>
      <c r="AM276" t="s">
        <v>319</v>
      </c>
      <c r="AN276" t="s">
        <v>320</v>
      </c>
      <c r="AO276" t="s">
        <v>68</v>
      </c>
      <c r="AQ276" t="s">
        <v>321</v>
      </c>
      <c r="AR276" t="s">
        <v>322</v>
      </c>
      <c r="AS276" t="s">
        <v>323</v>
      </c>
      <c r="AV276" s="14" t="s">
        <v>72</v>
      </c>
      <c r="AW276" s="14" t="s">
        <v>73</v>
      </c>
      <c r="AX276" s="14" t="s">
        <v>74</v>
      </c>
    </row>
    <row r="277" spans="1:50" ht="15" customHeight="1" x14ac:dyDescent="0.4">
      <c r="A277" s="12">
        <v>1957</v>
      </c>
      <c r="B277" t="s">
        <v>324</v>
      </c>
      <c r="D277" t="s">
        <v>325</v>
      </c>
      <c r="E277" s="13"/>
      <c r="F277" s="41"/>
      <c r="G277" s="65" t="s">
        <v>8185</v>
      </c>
      <c r="H277" s="14" t="s">
        <v>49</v>
      </c>
      <c r="I277" s="15">
        <v>42922</v>
      </c>
      <c r="J277" t="s">
        <v>246</v>
      </c>
      <c r="K277" t="s">
        <v>51</v>
      </c>
      <c r="L277" t="s">
        <v>52</v>
      </c>
      <c r="M277" t="s">
        <v>247</v>
      </c>
      <c r="N277" t="s">
        <v>248</v>
      </c>
      <c r="Q277" t="s">
        <v>249</v>
      </c>
      <c r="R277" s="16" t="s">
        <v>294</v>
      </c>
      <c r="S277" t="s">
        <v>250</v>
      </c>
      <c r="X277" t="s">
        <v>60</v>
      </c>
      <c r="Z277" s="15"/>
      <c r="AB277" s="17">
        <v>49.712090000000003</v>
      </c>
      <c r="AC277" s="17">
        <v>-95.244960000000006</v>
      </c>
      <c r="AD277" t="s">
        <v>326</v>
      </c>
      <c r="AG277" t="s">
        <v>62</v>
      </c>
      <c r="AH277" t="s">
        <v>63</v>
      </c>
      <c r="AI277" t="s">
        <v>327</v>
      </c>
      <c r="AJ277">
        <v>184793</v>
      </c>
      <c r="AL277" t="s">
        <v>328</v>
      </c>
      <c r="AM277" t="s">
        <v>329</v>
      </c>
      <c r="AN277" t="s">
        <v>330</v>
      </c>
      <c r="AO277" t="s">
        <v>68</v>
      </c>
      <c r="AQ277" t="s">
        <v>331</v>
      </c>
      <c r="AR277" t="s">
        <v>332</v>
      </c>
      <c r="AS277" t="s">
        <v>333</v>
      </c>
      <c r="AV277" s="14" t="s">
        <v>72</v>
      </c>
      <c r="AW277" s="14" t="s">
        <v>73</v>
      </c>
      <c r="AX277" s="14" t="s">
        <v>74</v>
      </c>
    </row>
    <row r="278" spans="1:50" ht="15" customHeight="1" x14ac:dyDescent="0.4">
      <c r="A278" s="12">
        <v>1958</v>
      </c>
      <c r="B278" t="s">
        <v>334</v>
      </c>
      <c r="D278" t="s">
        <v>335</v>
      </c>
      <c r="E278" s="13"/>
      <c r="F278" s="41"/>
      <c r="G278" s="65" t="s">
        <v>8185</v>
      </c>
      <c r="H278" s="14" t="s">
        <v>49</v>
      </c>
      <c r="I278" s="15">
        <v>42922</v>
      </c>
      <c r="J278" t="s">
        <v>246</v>
      </c>
      <c r="K278" t="s">
        <v>51</v>
      </c>
      <c r="L278" t="s">
        <v>52</v>
      </c>
      <c r="M278" t="s">
        <v>247</v>
      </c>
      <c r="N278" t="s">
        <v>248</v>
      </c>
      <c r="Q278" t="s">
        <v>249</v>
      </c>
      <c r="R278" s="16"/>
      <c r="S278" t="s">
        <v>250</v>
      </c>
      <c r="X278" t="s">
        <v>60</v>
      </c>
      <c r="Z278" s="15"/>
      <c r="AB278" s="17">
        <v>49.711869999999998</v>
      </c>
      <c r="AC278" s="17">
        <v>-95.244720000000001</v>
      </c>
      <c r="AD278" t="s">
        <v>336</v>
      </c>
      <c r="AG278" t="s">
        <v>62</v>
      </c>
      <c r="AH278" t="s">
        <v>63</v>
      </c>
      <c r="AI278" t="s">
        <v>337</v>
      </c>
      <c r="AJ278">
        <v>184794</v>
      </c>
      <c r="AL278" t="s">
        <v>338</v>
      </c>
      <c r="AM278" t="s">
        <v>339</v>
      </c>
      <c r="AN278" t="s">
        <v>340</v>
      </c>
      <c r="AO278" t="s">
        <v>68</v>
      </c>
      <c r="AQ278" t="s">
        <v>341</v>
      </c>
      <c r="AR278" t="s">
        <v>342</v>
      </c>
      <c r="AS278" t="s">
        <v>343</v>
      </c>
      <c r="AV278" s="14" t="s">
        <v>72</v>
      </c>
      <c r="AW278" s="14" t="s">
        <v>73</v>
      </c>
      <c r="AX278" s="14" t="s">
        <v>74</v>
      </c>
    </row>
    <row r="279" spans="1:50" ht="15" customHeight="1" x14ac:dyDescent="0.4">
      <c r="A279" s="12">
        <v>1959</v>
      </c>
      <c r="B279" t="s">
        <v>344</v>
      </c>
      <c r="D279" t="s">
        <v>345</v>
      </c>
      <c r="E279" s="13"/>
      <c r="F279" s="41"/>
      <c r="G279" s="65" t="s">
        <v>8185</v>
      </c>
      <c r="H279" s="14" t="s">
        <v>49</v>
      </c>
      <c r="I279" s="15">
        <v>42922</v>
      </c>
      <c r="J279" t="s">
        <v>246</v>
      </c>
      <c r="K279" t="s">
        <v>51</v>
      </c>
      <c r="L279" t="s">
        <v>52</v>
      </c>
      <c r="M279" t="s">
        <v>247</v>
      </c>
      <c r="N279" t="s">
        <v>248</v>
      </c>
      <c r="Q279" t="s">
        <v>249</v>
      </c>
      <c r="R279" s="16"/>
      <c r="S279" t="s">
        <v>250</v>
      </c>
      <c r="X279" t="s">
        <v>78</v>
      </c>
      <c r="Y279" t="s">
        <v>79</v>
      </c>
      <c r="Z279" s="15">
        <v>45597</v>
      </c>
      <c r="AA279" t="s">
        <v>48</v>
      </c>
      <c r="AB279" s="17">
        <v>49.711869999999998</v>
      </c>
      <c r="AC279" s="17">
        <v>-95.244560000000007</v>
      </c>
      <c r="AD279" t="s">
        <v>346</v>
      </c>
      <c r="AG279" t="s">
        <v>62</v>
      </c>
      <c r="AH279" t="s">
        <v>63</v>
      </c>
      <c r="AI279" t="s">
        <v>347</v>
      </c>
      <c r="AJ279">
        <v>184795</v>
      </c>
      <c r="AL279" t="s">
        <v>348</v>
      </c>
      <c r="AM279" t="s">
        <v>349</v>
      </c>
      <c r="AN279" t="s">
        <v>350</v>
      </c>
      <c r="AO279" t="s">
        <v>68</v>
      </c>
      <c r="AQ279" t="s">
        <v>351</v>
      </c>
      <c r="AR279" t="s">
        <v>352</v>
      </c>
      <c r="AS279" t="s">
        <v>353</v>
      </c>
      <c r="AT279" s="31" t="s">
        <v>354</v>
      </c>
      <c r="AU279" s="31" t="s">
        <v>85</v>
      </c>
      <c r="AV279" s="14" t="s">
        <v>72</v>
      </c>
      <c r="AW279" s="14" t="s">
        <v>73</v>
      </c>
      <c r="AX279" s="14" t="s">
        <v>74</v>
      </c>
    </row>
    <row r="280" spans="1:50" ht="15" customHeight="1" x14ac:dyDescent="0.4">
      <c r="A280" s="12">
        <v>1960</v>
      </c>
      <c r="B280" t="s">
        <v>355</v>
      </c>
      <c r="D280" t="s">
        <v>356</v>
      </c>
      <c r="E280" s="13"/>
      <c r="F280" s="41"/>
      <c r="G280" s="65" t="s">
        <v>8185</v>
      </c>
      <c r="H280" s="14" t="s">
        <v>49</v>
      </c>
      <c r="I280" s="15">
        <v>42923</v>
      </c>
      <c r="J280" t="s">
        <v>174</v>
      </c>
      <c r="K280" t="s">
        <v>51</v>
      </c>
      <c r="L280" t="s">
        <v>52</v>
      </c>
      <c r="M280" t="s">
        <v>247</v>
      </c>
      <c r="N280" t="s">
        <v>248</v>
      </c>
      <c r="Q280" s="16" t="s">
        <v>357</v>
      </c>
      <c r="R280" s="21"/>
      <c r="S280" t="s">
        <v>358</v>
      </c>
      <c r="X280" t="s">
        <v>78</v>
      </c>
      <c r="Y280" t="s">
        <v>79</v>
      </c>
      <c r="Z280" s="15">
        <v>45597</v>
      </c>
      <c r="AA280" t="s">
        <v>48</v>
      </c>
      <c r="AB280" s="17">
        <v>49.761040000000001</v>
      </c>
      <c r="AC280" s="17">
        <v>-99.159710000000004</v>
      </c>
      <c r="AD280" t="s">
        <v>359</v>
      </c>
      <c r="AG280" t="s">
        <v>62</v>
      </c>
      <c r="AH280" t="s">
        <v>63</v>
      </c>
      <c r="AI280" t="s">
        <v>360</v>
      </c>
      <c r="AJ280">
        <v>184796</v>
      </c>
      <c r="AL280" t="s">
        <v>361</v>
      </c>
      <c r="AM280" t="s">
        <v>362</v>
      </c>
      <c r="AN280" t="s">
        <v>363</v>
      </c>
      <c r="AO280" t="s">
        <v>68</v>
      </c>
      <c r="AQ280" t="s">
        <v>364</v>
      </c>
      <c r="AR280" t="s">
        <v>365</v>
      </c>
      <c r="AS280" t="s">
        <v>366</v>
      </c>
      <c r="AT280" s="31" t="s">
        <v>367</v>
      </c>
      <c r="AU280" s="31" t="s">
        <v>85</v>
      </c>
      <c r="AV280" s="14" t="s">
        <v>72</v>
      </c>
      <c r="AW280" s="14" t="s">
        <v>73</v>
      </c>
      <c r="AX280" s="14" t="s">
        <v>74</v>
      </c>
    </row>
    <row r="281" spans="1:50" s="52" customFormat="1" ht="15" customHeight="1" x14ac:dyDescent="0.4">
      <c r="A281" s="12">
        <v>1961</v>
      </c>
      <c r="B281" t="s">
        <v>368</v>
      </c>
      <c r="C281"/>
      <c r="D281" t="s">
        <v>369</v>
      </c>
      <c r="E281" s="13"/>
      <c r="F281" s="41"/>
      <c r="G281" s="65" t="s">
        <v>8185</v>
      </c>
      <c r="H281" s="14" t="s">
        <v>49</v>
      </c>
      <c r="I281" s="15">
        <v>42923</v>
      </c>
      <c r="J281" t="s">
        <v>174</v>
      </c>
      <c r="K281" t="s">
        <v>51</v>
      </c>
      <c r="L281" t="s">
        <v>52</v>
      </c>
      <c r="M281" t="s">
        <v>247</v>
      </c>
      <c r="N281" t="s">
        <v>248</v>
      </c>
      <c r="O281"/>
      <c r="P281"/>
      <c r="Q281" s="16" t="s">
        <v>357</v>
      </c>
      <c r="R281" s="16"/>
      <c r="S281" t="s">
        <v>358</v>
      </c>
      <c r="T281"/>
      <c r="U281"/>
      <c r="V281"/>
      <c r="W281"/>
      <c r="X281" t="s">
        <v>60</v>
      </c>
      <c r="Y281"/>
      <c r="Z281" s="15"/>
      <c r="AA281"/>
      <c r="AB281" s="17">
        <v>49.760950000000001</v>
      </c>
      <c r="AC281" s="17">
        <v>-99.159829999999999</v>
      </c>
      <c r="AD281" t="s">
        <v>370</v>
      </c>
      <c r="AE281"/>
      <c r="AF281"/>
      <c r="AG281" t="s">
        <v>62</v>
      </c>
      <c r="AH281" t="s">
        <v>63</v>
      </c>
      <c r="AI281" t="s">
        <v>371</v>
      </c>
      <c r="AJ281">
        <v>184797</v>
      </c>
      <c r="AK281"/>
      <c r="AL281" t="s">
        <v>372</v>
      </c>
      <c r="AM281" t="s">
        <v>373</v>
      </c>
      <c r="AN281" t="s">
        <v>374</v>
      </c>
      <c r="AO281" t="s">
        <v>68</v>
      </c>
      <c r="AP281"/>
      <c r="AQ281" t="s">
        <v>375</v>
      </c>
      <c r="AR281" t="s">
        <v>376</v>
      </c>
      <c r="AS281" t="s">
        <v>377</v>
      </c>
      <c r="AT281" s="31"/>
      <c r="AU281" s="31"/>
      <c r="AV281" s="14" t="s">
        <v>72</v>
      </c>
      <c r="AW281" s="14" t="s">
        <v>73</v>
      </c>
      <c r="AX281" s="14" t="s">
        <v>74</v>
      </c>
    </row>
    <row r="282" spans="1:50" ht="15" customHeight="1" x14ac:dyDescent="0.4">
      <c r="A282" s="12">
        <v>1962</v>
      </c>
      <c r="B282" t="s">
        <v>378</v>
      </c>
      <c r="D282" t="s">
        <v>379</v>
      </c>
      <c r="E282" s="13"/>
      <c r="F282" s="41"/>
      <c r="G282" s="65" t="s">
        <v>8185</v>
      </c>
      <c r="H282" s="14" t="s">
        <v>49</v>
      </c>
      <c r="I282" s="15">
        <v>42923</v>
      </c>
      <c r="J282" t="s">
        <v>174</v>
      </c>
      <c r="K282" t="s">
        <v>51</v>
      </c>
      <c r="L282" t="s">
        <v>52</v>
      </c>
      <c r="M282" t="s">
        <v>247</v>
      </c>
      <c r="N282" t="s">
        <v>248</v>
      </c>
      <c r="Q282" s="16" t="s">
        <v>357</v>
      </c>
      <c r="R282" s="16"/>
      <c r="S282" t="s">
        <v>358</v>
      </c>
      <c r="X282" t="s">
        <v>60</v>
      </c>
      <c r="Z282" s="15"/>
      <c r="AB282" s="17">
        <v>49.76061</v>
      </c>
      <c r="AC282" s="17">
        <v>-99.159279999999995</v>
      </c>
      <c r="AD282" t="s">
        <v>359</v>
      </c>
      <c r="AG282" t="s">
        <v>62</v>
      </c>
      <c r="AH282" t="s">
        <v>63</v>
      </c>
      <c r="AI282" t="s">
        <v>380</v>
      </c>
      <c r="AJ282">
        <v>184798</v>
      </c>
      <c r="AL282" t="s">
        <v>381</v>
      </c>
      <c r="AM282" t="s">
        <v>382</v>
      </c>
      <c r="AN282" t="s">
        <v>383</v>
      </c>
      <c r="AO282" t="s">
        <v>68</v>
      </c>
      <c r="AQ282" t="s">
        <v>384</v>
      </c>
      <c r="AR282" t="s">
        <v>385</v>
      </c>
      <c r="AS282" t="s">
        <v>386</v>
      </c>
      <c r="AV282" s="14" t="s">
        <v>72</v>
      </c>
      <c r="AW282" s="14" t="s">
        <v>73</v>
      </c>
      <c r="AX282" s="14" t="s">
        <v>74</v>
      </c>
    </row>
    <row r="283" spans="1:50" ht="15" customHeight="1" x14ac:dyDescent="0.4">
      <c r="A283" s="12">
        <v>1963</v>
      </c>
      <c r="B283" t="s">
        <v>387</v>
      </c>
      <c r="D283" t="s">
        <v>388</v>
      </c>
      <c r="E283" s="13"/>
      <c r="F283" s="41"/>
      <c r="G283" s="65" t="s">
        <v>8185</v>
      </c>
      <c r="H283" s="14" t="s">
        <v>49</v>
      </c>
      <c r="I283" s="15">
        <v>42923</v>
      </c>
      <c r="J283" t="s">
        <v>174</v>
      </c>
      <c r="K283" t="s">
        <v>51</v>
      </c>
      <c r="L283" t="s">
        <v>52</v>
      </c>
      <c r="M283" t="s">
        <v>247</v>
      </c>
      <c r="N283" t="s">
        <v>248</v>
      </c>
      <c r="Q283" s="16" t="s">
        <v>357</v>
      </c>
      <c r="R283" s="16"/>
      <c r="S283" t="s">
        <v>389</v>
      </c>
      <c r="X283" t="s">
        <v>78</v>
      </c>
      <c r="Y283" t="s">
        <v>79</v>
      </c>
      <c r="Z283" s="15">
        <v>45597</v>
      </c>
      <c r="AA283" t="s">
        <v>48</v>
      </c>
      <c r="AB283" s="17">
        <v>49.761369999999999</v>
      </c>
      <c r="AC283" s="17">
        <v>-99.160399999999996</v>
      </c>
      <c r="AD283" t="s">
        <v>390</v>
      </c>
      <c r="AG283" t="s">
        <v>62</v>
      </c>
      <c r="AH283" t="s">
        <v>63</v>
      </c>
      <c r="AI283" t="s">
        <v>391</v>
      </c>
      <c r="AJ283">
        <v>184799</v>
      </c>
      <c r="AL283" t="s">
        <v>392</v>
      </c>
      <c r="AM283" t="s">
        <v>393</v>
      </c>
      <c r="AN283" t="s">
        <v>394</v>
      </c>
      <c r="AO283" t="s">
        <v>68</v>
      </c>
      <c r="AQ283" t="s">
        <v>395</v>
      </c>
      <c r="AR283" t="s">
        <v>396</v>
      </c>
      <c r="AS283" t="s">
        <v>397</v>
      </c>
      <c r="AT283" s="31" t="s">
        <v>398</v>
      </c>
      <c r="AU283" s="31" t="s">
        <v>85</v>
      </c>
      <c r="AV283" s="14" t="s">
        <v>72</v>
      </c>
      <c r="AW283" s="14" t="s">
        <v>73</v>
      </c>
      <c r="AX283" s="14" t="s">
        <v>74</v>
      </c>
    </row>
    <row r="284" spans="1:50" ht="15" customHeight="1" x14ac:dyDescent="0.4">
      <c r="A284" s="12">
        <v>1964</v>
      </c>
      <c r="B284" t="s">
        <v>399</v>
      </c>
      <c r="D284" t="s">
        <v>400</v>
      </c>
      <c r="E284" s="13"/>
      <c r="F284" s="41"/>
      <c r="G284" s="65" t="s">
        <v>8185</v>
      </c>
      <c r="H284" s="14" t="s">
        <v>49</v>
      </c>
      <c r="I284" s="15">
        <v>42923</v>
      </c>
      <c r="J284" t="s">
        <v>174</v>
      </c>
      <c r="K284" t="s">
        <v>51</v>
      </c>
      <c r="L284" t="s">
        <v>52</v>
      </c>
      <c r="M284" t="s">
        <v>247</v>
      </c>
      <c r="N284" t="s">
        <v>248</v>
      </c>
      <c r="Q284" s="16" t="s">
        <v>357</v>
      </c>
      <c r="R284" s="16"/>
      <c r="S284" t="s">
        <v>358</v>
      </c>
      <c r="X284" t="s">
        <v>401</v>
      </c>
      <c r="Y284" t="s">
        <v>402</v>
      </c>
      <c r="Z284" s="15">
        <v>44873</v>
      </c>
      <c r="AA284" t="s">
        <v>48</v>
      </c>
      <c r="AB284" s="17">
        <v>49.76117</v>
      </c>
      <c r="AC284" s="17">
        <v>-99.161420000000007</v>
      </c>
      <c r="AD284" t="s">
        <v>403</v>
      </c>
      <c r="AG284" t="s">
        <v>62</v>
      </c>
      <c r="AH284" t="s">
        <v>63</v>
      </c>
      <c r="AI284" t="s">
        <v>404</v>
      </c>
      <c r="AJ284">
        <v>184800</v>
      </c>
      <c r="AL284" t="s">
        <v>405</v>
      </c>
      <c r="AM284" t="s">
        <v>406</v>
      </c>
      <c r="AN284" t="s">
        <v>407</v>
      </c>
      <c r="AO284" t="s">
        <v>68</v>
      </c>
      <c r="AQ284" t="s">
        <v>408</v>
      </c>
      <c r="AR284" t="s">
        <v>409</v>
      </c>
      <c r="AS284" t="s">
        <v>410</v>
      </c>
      <c r="AV284" s="14" t="s">
        <v>72</v>
      </c>
      <c r="AW284" s="14" t="s">
        <v>73</v>
      </c>
      <c r="AX284" s="14" t="s">
        <v>74</v>
      </c>
    </row>
    <row r="285" spans="1:50" ht="15" customHeight="1" x14ac:dyDescent="0.4">
      <c r="A285" s="12">
        <v>1965</v>
      </c>
      <c r="B285" t="s">
        <v>411</v>
      </c>
      <c r="D285" t="s">
        <v>412</v>
      </c>
      <c r="E285" s="13"/>
      <c r="F285" s="41"/>
      <c r="G285" s="65" t="s">
        <v>8185</v>
      </c>
      <c r="H285" s="14" t="s">
        <v>49</v>
      </c>
      <c r="I285" s="15">
        <v>42923</v>
      </c>
      <c r="J285" t="s">
        <v>174</v>
      </c>
      <c r="K285" t="s">
        <v>51</v>
      </c>
      <c r="L285" t="s">
        <v>52</v>
      </c>
      <c r="M285" t="s">
        <v>247</v>
      </c>
      <c r="N285" t="s">
        <v>248</v>
      </c>
      <c r="Q285" s="16" t="s">
        <v>357</v>
      </c>
      <c r="R285" s="16"/>
      <c r="S285" t="s">
        <v>358</v>
      </c>
      <c r="X285" t="s">
        <v>60</v>
      </c>
      <c r="Z285" s="15"/>
      <c r="AB285" s="17">
        <v>49.761470000000003</v>
      </c>
      <c r="AC285" s="17">
        <v>-99.158860000000004</v>
      </c>
      <c r="AD285" t="s">
        <v>413</v>
      </c>
      <c r="AG285" t="s">
        <v>62</v>
      </c>
      <c r="AH285" t="s">
        <v>63</v>
      </c>
      <c r="AI285" t="s">
        <v>414</v>
      </c>
      <c r="AJ285">
        <v>184801</v>
      </c>
      <c r="AL285" t="s">
        <v>415</v>
      </c>
      <c r="AM285" t="s">
        <v>416</v>
      </c>
      <c r="AN285" t="s">
        <v>417</v>
      </c>
      <c r="AO285" t="s">
        <v>68</v>
      </c>
      <c r="AQ285" t="s">
        <v>418</v>
      </c>
      <c r="AR285" t="s">
        <v>419</v>
      </c>
      <c r="AS285" t="s">
        <v>420</v>
      </c>
      <c r="AV285" s="14" t="s">
        <v>72</v>
      </c>
      <c r="AW285" s="14" t="s">
        <v>73</v>
      </c>
      <c r="AX285" s="14" t="s">
        <v>74</v>
      </c>
    </row>
    <row r="286" spans="1:50" ht="15" customHeight="1" x14ac:dyDescent="0.4">
      <c r="A286" s="12">
        <v>1966</v>
      </c>
      <c r="B286" t="s">
        <v>421</v>
      </c>
      <c r="D286" t="s">
        <v>422</v>
      </c>
      <c r="E286" s="13"/>
      <c r="F286" s="41"/>
      <c r="G286" s="65" t="s">
        <v>8185</v>
      </c>
      <c r="H286" s="14" t="s">
        <v>49</v>
      </c>
      <c r="I286" s="15">
        <v>42923</v>
      </c>
      <c r="J286" t="s">
        <v>174</v>
      </c>
      <c r="K286" t="s">
        <v>51</v>
      </c>
      <c r="L286" t="s">
        <v>52</v>
      </c>
      <c r="M286" t="s">
        <v>247</v>
      </c>
      <c r="N286" t="s">
        <v>248</v>
      </c>
      <c r="Q286" s="16" t="s">
        <v>357</v>
      </c>
      <c r="R286" s="16"/>
      <c r="S286" t="s">
        <v>358</v>
      </c>
      <c r="X286" t="s">
        <v>60</v>
      </c>
      <c r="Z286" s="15"/>
      <c r="AB286" s="17">
        <v>49.761029999999998</v>
      </c>
      <c r="AC286" s="17">
        <v>-99.158479999999997</v>
      </c>
      <c r="AD286" t="s">
        <v>423</v>
      </c>
      <c r="AG286" t="s">
        <v>62</v>
      </c>
      <c r="AH286" t="s">
        <v>63</v>
      </c>
      <c r="AI286" t="s">
        <v>424</v>
      </c>
      <c r="AJ286">
        <v>184802</v>
      </c>
      <c r="AL286" t="s">
        <v>425</v>
      </c>
      <c r="AM286" t="s">
        <v>426</v>
      </c>
      <c r="AN286" t="s">
        <v>427</v>
      </c>
      <c r="AO286" t="s">
        <v>68</v>
      </c>
      <c r="AQ286" t="s">
        <v>428</v>
      </c>
      <c r="AR286" t="s">
        <v>429</v>
      </c>
      <c r="AS286" t="s">
        <v>430</v>
      </c>
      <c r="AV286" s="14" t="s">
        <v>72</v>
      </c>
      <c r="AW286" s="14" t="s">
        <v>73</v>
      </c>
      <c r="AX286" s="14" t="s">
        <v>74</v>
      </c>
    </row>
    <row r="287" spans="1:50" ht="15" customHeight="1" x14ac:dyDescent="0.4">
      <c r="A287" s="12">
        <v>1967</v>
      </c>
      <c r="B287" t="s">
        <v>431</v>
      </c>
      <c r="D287" t="s">
        <v>432</v>
      </c>
      <c r="E287" s="13"/>
      <c r="F287" s="41"/>
      <c r="G287" s="65" t="s">
        <v>8185</v>
      </c>
      <c r="H287" s="14" t="s">
        <v>49</v>
      </c>
      <c r="I287" s="15">
        <v>42923</v>
      </c>
      <c r="J287" t="s">
        <v>174</v>
      </c>
      <c r="K287" t="s">
        <v>51</v>
      </c>
      <c r="L287" t="s">
        <v>52</v>
      </c>
      <c r="M287" t="s">
        <v>247</v>
      </c>
      <c r="N287" t="s">
        <v>248</v>
      </c>
      <c r="Q287" s="16" t="s">
        <v>357</v>
      </c>
      <c r="R287" s="16"/>
      <c r="S287" t="s">
        <v>433</v>
      </c>
      <c r="X287" t="s">
        <v>60</v>
      </c>
      <c r="Z287" s="15"/>
      <c r="AB287" s="17">
        <v>49.760429999999999</v>
      </c>
      <c r="AC287" s="17">
        <v>-99.158580000000001</v>
      </c>
      <c r="AD287" t="s">
        <v>413</v>
      </c>
      <c r="AG287" t="s">
        <v>62</v>
      </c>
      <c r="AH287" t="s">
        <v>63</v>
      </c>
      <c r="AI287" t="s">
        <v>434</v>
      </c>
      <c r="AJ287">
        <v>184803</v>
      </c>
      <c r="AL287" t="s">
        <v>435</v>
      </c>
      <c r="AM287" t="s">
        <v>436</v>
      </c>
      <c r="AN287" t="s">
        <v>437</v>
      </c>
      <c r="AO287" t="s">
        <v>68</v>
      </c>
      <c r="AQ287" t="s">
        <v>438</v>
      </c>
      <c r="AR287" t="s">
        <v>439</v>
      </c>
      <c r="AS287" t="s">
        <v>440</v>
      </c>
      <c r="AV287" s="14" t="s">
        <v>72</v>
      </c>
      <c r="AW287" s="14" t="s">
        <v>73</v>
      </c>
      <c r="AX287" s="14" t="s">
        <v>74</v>
      </c>
    </row>
    <row r="288" spans="1:50" s="34" customFormat="1" ht="15" customHeight="1" x14ac:dyDescent="0.4">
      <c r="A288" s="12">
        <v>1968</v>
      </c>
      <c r="B288" t="s">
        <v>441</v>
      </c>
      <c r="C288"/>
      <c r="D288" t="s">
        <v>442</v>
      </c>
      <c r="E288" s="13"/>
      <c r="F288" s="41"/>
      <c r="G288" s="65" t="s">
        <v>8185</v>
      </c>
      <c r="H288" s="14" t="s">
        <v>49</v>
      </c>
      <c r="I288" s="15">
        <v>42923</v>
      </c>
      <c r="J288" t="s">
        <v>174</v>
      </c>
      <c r="K288" t="s">
        <v>51</v>
      </c>
      <c r="L288" t="s">
        <v>52</v>
      </c>
      <c r="M288" t="s">
        <v>247</v>
      </c>
      <c r="N288" t="s">
        <v>248</v>
      </c>
      <c r="O288"/>
      <c r="P288"/>
      <c r="Q288" s="16" t="s">
        <v>357</v>
      </c>
      <c r="R288" s="16"/>
      <c r="S288" t="s">
        <v>358</v>
      </c>
      <c r="T288"/>
      <c r="U288"/>
      <c r="V288"/>
      <c r="W288"/>
      <c r="X288" t="s">
        <v>60</v>
      </c>
      <c r="Y288"/>
      <c r="Z288" s="15"/>
      <c r="AA288"/>
      <c r="AB288" s="17">
        <v>49.760060000000003</v>
      </c>
      <c r="AC288" s="17">
        <v>-99.158259999999999</v>
      </c>
      <c r="AD288" t="s">
        <v>443</v>
      </c>
      <c r="AE288"/>
      <c r="AF288"/>
      <c r="AG288" t="s">
        <v>62</v>
      </c>
      <c r="AH288" t="s">
        <v>63</v>
      </c>
      <c r="AI288" t="s">
        <v>444</v>
      </c>
      <c r="AJ288">
        <v>184810</v>
      </c>
      <c r="AK288"/>
      <c r="AL288" t="s">
        <v>445</v>
      </c>
      <c r="AM288" t="s">
        <v>446</v>
      </c>
      <c r="AN288" t="s">
        <v>447</v>
      </c>
      <c r="AO288" t="s">
        <v>68</v>
      </c>
      <c r="AP288"/>
      <c r="AQ288" t="s">
        <v>448</v>
      </c>
      <c r="AR288" t="s">
        <v>449</v>
      </c>
      <c r="AS288" t="s">
        <v>450</v>
      </c>
      <c r="AT288" s="31"/>
      <c r="AU288" s="31"/>
      <c r="AV288" s="14" t="s">
        <v>72</v>
      </c>
      <c r="AW288" s="14" t="s">
        <v>73</v>
      </c>
      <c r="AX288" s="14" t="s">
        <v>74</v>
      </c>
    </row>
    <row r="289" spans="1:50" ht="15" customHeight="1" x14ac:dyDescent="0.4">
      <c r="A289" s="12">
        <v>1969</v>
      </c>
      <c r="B289" t="s">
        <v>451</v>
      </c>
      <c r="D289" t="s">
        <v>452</v>
      </c>
      <c r="E289" s="13"/>
      <c r="F289" s="41"/>
      <c r="G289" s="65" t="s">
        <v>8185</v>
      </c>
      <c r="H289" s="14" t="s">
        <v>49</v>
      </c>
      <c r="I289" s="15">
        <v>42923</v>
      </c>
      <c r="J289" t="s">
        <v>174</v>
      </c>
      <c r="K289" t="s">
        <v>51</v>
      </c>
      <c r="L289" t="s">
        <v>52</v>
      </c>
      <c r="M289" t="s">
        <v>247</v>
      </c>
      <c r="N289" t="s">
        <v>248</v>
      </c>
      <c r="Q289" s="16" t="s">
        <v>357</v>
      </c>
      <c r="R289" s="16"/>
      <c r="S289" t="s">
        <v>358</v>
      </c>
      <c r="X289" t="s">
        <v>78</v>
      </c>
      <c r="Y289" t="s">
        <v>79</v>
      </c>
      <c r="Z289" s="15">
        <v>45597</v>
      </c>
      <c r="AA289" t="s">
        <v>48</v>
      </c>
      <c r="AB289" s="17">
        <v>49.760550000000002</v>
      </c>
      <c r="AC289" s="17">
        <v>-99.158439999999999</v>
      </c>
      <c r="AD289" t="s">
        <v>453</v>
      </c>
      <c r="AG289" t="s">
        <v>62</v>
      </c>
      <c r="AH289" t="s">
        <v>63</v>
      </c>
      <c r="AI289" t="s">
        <v>454</v>
      </c>
      <c r="AJ289">
        <v>184811</v>
      </c>
      <c r="AL289" t="s">
        <v>455</v>
      </c>
      <c r="AM289" t="s">
        <v>456</v>
      </c>
      <c r="AN289" t="s">
        <v>457</v>
      </c>
      <c r="AO289" t="s">
        <v>68</v>
      </c>
      <c r="AQ289" t="s">
        <v>458</v>
      </c>
      <c r="AR289" t="s">
        <v>459</v>
      </c>
      <c r="AS289" t="s">
        <v>460</v>
      </c>
      <c r="AT289" s="31" t="s">
        <v>461</v>
      </c>
      <c r="AU289" s="31" t="s">
        <v>85</v>
      </c>
      <c r="AV289" s="14" t="s">
        <v>72</v>
      </c>
      <c r="AW289" s="14" t="s">
        <v>73</v>
      </c>
      <c r="AX289" s="14" t="s">
        <v>74</v>
      </c>
    </row>
    <row r="290" spans="1:50" ht="15" customHeight="1" x14ac:dyDescent="0.4">
      <c r="A290" s="12">
        <v>1970</v>
      </c>
      <c r="B290" t="s">
        <v>462</v>
      </c>
      <c r="D290" t="s">
        <v>463</v>
      </c>
      <c r="E290" s="13"/>
      <c r="F290" s="41"/>
      <c r="G290" s="65" t="s">
        <v>8185</v>
      </c>
      <c r="H290" s="14" t="s">
        <v>49</v>
      </c>
      <c r="I290" s="15">
        <v>42923</v>
      </c>
      <c r="J290" t="s">
        <v>174</v>
      </c>
      <c r="K290" t="s">
        <v>51</v>
      </c>
      <c r="L290" t="s">
        <v>52</v>
      </c>
      <c r="M290" t="s">
        <v>247</v>
      </c>
      <c r="N290" t="s">
        <v>248</v>
      </c>
      <c r="Q290" s="16" t="s">
        <v>464</v>
      </c>
      <c r="R290" s="16" t="s">
        <v>465</v>
      </c>
      <c r="S290" t="s">
        <v>466</v>
      </c>
      <c r="X290" t="s">
        <v>60</v>
      </c>
      <c r="Z290" s="15"/>
      <c r="AB290" s="17"/>
      <c r="AC290" s="17"/>
      <c r="AD290">
        <v>1255</v>
      </c>
      <c r="AF290" t="s">
        <v>467</v>
      </c>
      <c r="AG290" t="s">
        <v>62</v>
      </c>
      <c r="AH290" t="s">
        <v>63</v>
      </c>
      <c r="AI290" t="s">
        <v>468</v>
      </c>
      <c r="AJ290">
        <v>184812</v>
      </c>
      <c r="AL290" t="s">
        <v>469</v>
      </c>
      <c r="AM290" t="s">
        <v>470</v>
      </c>
      <c r="AN290" t="s">
        <v>471</v>
      </c>
      <c r="AO290" t="s">
        <v>68</v>
      </c>
      <c r="AQ290" t="s">
        <v>472</v>
      </c>
      <c r="AR290" t="s">
        <v>473</v>
      </c>
      <c r="AS290" t="s">
        <v>474</v>
      </c>
      <c r="AV290" s="14" t="s">
        <v>72</v>
      </c>
      <c r="AW290" s="14" t="s">
        <v>73</v>
      </c>
      <c r="AX290" s="14" t="s">
        <v>74</v>
      </c>
    </row>
    <row r="291" spans="1:50" ht="15" customHeight="1" x14ac:dyDescent="0.4">
      <c r="A291" s="12">
        <v>1971</v>
      </c>
      <c r="B291" t="s">
        <v>475</v>
      </c>
      <c r="D291" t="s">
        <v>476</v>
      </c>
      <c r="E291" s="13"/>
      <c r="F291" s="41"/>
      <c r="G291" s="65" t="s">
        <v>8185</v>
      </c>
      <c r="H291" s="14" t="s">
        <v>49</v>
      </c>
      <c r="I291" s="15">
        <v>42923</v>
      </c>
      <c r="J291" t="s">
        <v>174</v>
      </c>
      <c r="K291" t="s">
        <v>51</v>
      </c>
      <c r="L291" t="s">
        <v>52</v>
      </c>
      <c r="M291" t="s">
        <v>247</v>
      </c>
      <c r="N291" t="s">
        <v>248</v>
      </c>
      <c r="Q291" s="16" t="s">
        <v>464</v>
      </c>
      <c r="R291" s="16" t="s">
        <v>477</v>
      </c>
      <c r="S291" t="s">
        <v>466</v>
      </c>
      <c r="X291" t="s">
        <v>78</v>
      </c>
      <c r="Y291" t="s">
        <v>79</v>
      </c>
      <c r="Z291" s="15">
        <v>45597</v>
      </c>
      <c r="AA291" t="s">
        <v>48</v>
      </c>
      <c r="AB291" s="17">
        <v>49.85783</v>
      </c>
      <c r="AC291" s="17">
        <v>-97.249110000000002</v>
      </c>
      <c r="AD291" t="s">
        <v>478</v>
      </c>
      <c r="AG291" t="s">
        <v>62</v>
      </c>
      <c r="AH291" t="s">
        <v>63</v>
      </c>
      <c r="AI291" t="s">
        <v>479</v>
      </c>
      <c r="AJ291">
        <v>184813</v>
      </c>
      <c r="AL291" t="s">
        <v>480</v>
      </c>
      <c r="AM291" t="s">
        <v>481</v>
      </c>
      <c r="AN291" t="s">
        <v>482</v>
      </c>
      <c r="AO291" t="s">
        <v>68</v>
      </c>
      <c r="AQ291" t="s">
        <v>483</v>
      </c>
      <c r="AR291" t="s">
        <v>484</v>
      </c>
      <c r="AS291" t="s">
        <v>485</v>
      </c>
      <c r="AT291" s="31" t="s">
        <v>486</v>
      </c>
      <c r="AU291" s="31" t="s">
        <v>85</v>
      </c>
      <c r="AV291" s="14" t="s">
        <v>72</v>
      </c>
      <c r="AW291" s="14" t="s">
        <v>73</v>
      </c>
      <c r="AX291" s="14" t="s">
        <v>74</v>
      </c>
    </row>
    <row r="292" spans="1:50" ht="15" customHeight="1" x14ac:dyDescent="0.4">
      <c r="A292" s="12">
        <v>1972</v>
      </c>
      <c r="B292" t="s">
        <v>487</v>
      </c>
      <c r="D292" t="s">
        <v>488</v>
      </c>
      <c r="E292" s="13"/>
      <c r="F292" s="41"/>
      <c r="G292" s="65" t="s">
        <v>8185</v>
      </c>
      <c r="H292" s="14" t="s">
        <v>49</v>
      </c>
      <c r="I292" s="15">
        <v>42923</v>
      </c>
      <c r="J292" t="s">
        <v>174</v>
      </c>
      <c r="K292" t="s">
        <v>51</v>
      </c>
      <c r="L292" t="s">
        <v>52</v>
      </c>
      <c r="M292" t="s">
        <v>247</v>
      </c>
      <c r="N292" t="s">
        <v>248</v>
      </c>
      <c r="Q292" s="16" t="s">
        <v>464</v>
      </c>
      <c r="R292" s="16" t="s">
        <v>489</v>
      </c>
      <c r="S292" t="s">
        <v>490</v>
      </c>
      <c r="X292" t="s">
        <v>60</v>
      </c>
      <c r="Z292" s="15"/>
      <c r="AB292" s="17">
        <v>49.857779999999998</v>
      </c>
      <c r="AC292" s="17">
        <v>-97.248480000000001</v>
      </c>
      <c r="AD292" t="s">
        <v>491</v>
      </c>
      <c r="AG292" t="s">
        <v>62</v>
      </c>
      <c r="AH292" t="s">
        <v>63</v>
      </c>
      <c r="AI292" t="s">
        <v>492</v>
      </c>
      <c r="AJ292">
        <v>184814</v>
      </c>
      <c r="AL292" t="s">
        <v>493</v>
      </c>
      <c r="AM292" t="s">
        <v>494</v>
      </c>
      <c r="AN292" t="s">
        <v>495</v>
      </c>
      <c r="AO292" t="s">
        <v>68</v>
      </c>
      <c r="AQ292" t="s">
        <v>496</v>
      </c>
      <c r="AR292" t="s">
        <v>497</v>
      </c>
      <c r="AS292" t="s">
        <v>498</v>
      </c>
      <c r="AV292" s="14" t="s">
        <v>72</v>
      </c>
      <c r="AW292" s="14" t="s">
        <v>73</v>
      </c>
      <c r="AX292" s="14" t="s">
        <v>74</v>
      </c>
    </row>
    <row r="293" spans="1:50" ht="15" customHeight="1" x14ac:dyDescent="0.4">
      <c r="A293" s="12">
        <v>1973</v>
      </c>
      <c r="B293" t="s">
        <v>499</v>
      </c>
      <c r="D293" t="s">
        <v>500</v>
      </c>
      <c r="E293" s="13"/>
      <c r="F293" s="41"/>
      <c r="G293" s="65" t="s">
        <v>8185</v>
      </c>
      <c r="H293" s="14" t="s">
        <v>49</v>
      </c>
      <c r="I293" s="15">
        <v>42923</v>
      </c>
      <c r="J293" t="s">
        <v>174</v>
      </c>
      <c r="K293" t="s">
        <v>51</v>
      </c>
      <c r="L293" t="s">
        <v>52</v>
      </c>
      <c r="M293" t="s">
        <v>247</v>
      </c>
      <c r="N293" t="s">
        <v>248</v>
      </c>
      <c r="Q293" s="16" t="s">
        <v>464</v>
      </c>
      <c r="R293" s="21"/>
      <c r="S293" t="s">
        <v>466</v>
      </c>
      <c r="X293" t="s">
        <v>60</v>
      </c>
      <c r="Z293" s="15"/>
      <c r="AB293" s="17">
        <v>49.854230000000001</v>
      </c>
      <c r="AC293" s="17">
        <v>-97.248199999999997</v>
      </c>
      <c r="AD293" t="s">
        <v>501</v>
      </c>
      <c r="AG293" t="s">
        <v>62</v>
      </c>
      <c r="AH293" t="s">
        <v>63</v>
      </c>
      <c r="AI293" t="s">
        <v>502</v>
      </c>
      <c r="AJ293">
        <v>184804</v>
      </c>
      <c r="AL293" t="s">
        <v>503</v>
      </c>
      <c r="AM293" t="s">
        <v>504</v>
      </c>
      <c r="AN293" t="s">
        <v>505</v>
      </c>
      <c r="AO293" t="s">
        <v>68</v>
      </c>
      <c r="AQ293" t="s">
        <v>506</v>
      </c>
      <c r="AR293" t="s">
        <v>507</v>
      </c>
      <c r="AS293" t="s">
        <v>508</v>
      </c>
      <c r="AV293" s="14" t="s">
        <v>72</v>
      </c>
      <c r="AW293" s="14" t="s">
        <v>73</v>
      </c>
      <c r="AX293" s="14" t="s">
        <v>74</v>
      </c>
    </row>
    <row r="294" spans="1:50" ht="15" customHeight="1" x14ac:dyDescent="0.4">
      <c r="A294" s="12">
        <v>1974</v>
      </c>
      <c r="B294" t="s">
        <v>509</v>
      </c>
      <c r="D294" t="s">
        <v>510</v>
      </c>
      <c r="E294" s="13"/>
      <c r="F294" s="41"/>
      <c r="G294" s="65" t="s">
        <v>8185</v>
      </c>
      <c r="H294" s="14" t="s">
        <v>49</v>
      </c>
      <c r="I294" s="15">
        <v>42923</v>
      </c>
      <c r="J294" t="s">
        <v>174</v>
      </c>
      <c r="K294" t="s">
        <v>51</v>
      </c>
      <c r="L294" t="s">
        <v>52</v>
      </c>
      <c r="M294" t="s">
        <v>247</v>
      </c>
      <c r="N294" t="s">
        <v>248</v>
      </c>
      <c r="Q294" s="16" t="s">
        <v>464</v>
      </c>
      <c r="R294" s="21"/>
      <c r="S294" t="s">
        <v>466</v>
      </c>
      <c r="X294" t="s">
        <v>78</v>
      </c>
      <c r="Y294" t="s">
        <v>79</v>
      </c>
      <c r="Z294" s="15">
        <v>45597</v>
      </c>
      <c r="AA294" t="s">
        <v>48</v>
      </c>
      <c r="AB294" s="17">
        <v>49.853920000000002</v>
      </c>
      <c r="AC294" s="17">
        <v>-97.248279999999994</v>
      </c>
      <c r="AD294" t="s">
        <v>511</v>
      </c>
      <c r="AG294" t="s">
        <v>62</v>
      </c>
      <c r="AH294" t="s">
        <v>63</v>
      </c>
      <c r="AI294" t="s">
        <v>512</v>
      </c>
      <c r="AJ294">
        <v>184805</v>
      </c>
      <c r="AL294" t="s">
        <v>513</v>
      </c>
      <c r="AM294" t="s">
        <v>514</v>
      </c>
      <c r="AN294" t="s">
        <v>515</v>
      </c>
      <c r="AO294" t="s">
        <v>68</v>
      </c>
      <c r="AQ294" t="s">
        <v>516</v>
      </c>
      <c r="AR294" t="s">
        <v>517</v>
      </c>
      <c r="AS294" t="s">
        <v>518</v>
      </c>
      <c r="AT294" s="31" t="s">
        <v>519</v>
      </c>
      <c r="AU294" s="31" t="s">
        <v>85</v>
      </c>
      <c r="AV294" s="14" t="s">
        <v>72</v>
      </c>
      <c r="AW294" s="14" t="s">
        <v>73</v>
      </c>
      <c r="AX294" s="14" t="s">
        <v>74</v>
      </c>
    </row>
    <row r="295" spans="1:50" ht="15" customHeight="1" x14ac:dyDescent="0.4">
      <c r="A295" s="12">
        <v>1975</v>
      </c>
      <c r="B295" t="s">
        <v>520</v>
      </c>
      <c r="D295" t="s">
        <v>521</v>
      </c>
      <c r="E295" s="13"/>
      <c r="F295" s="41"/>
      <c r="G295" s="65" t="s">
        <v>8185</v>
      </c>
      <c r="H295" s="14" t="s">
        <v>49</v>
      </c>
      <c r="I295" s="15">
        <v>42923</v>
      </c>
      <c r="J295" t="s">
        <v>174</v>
      </c>
      <c r="K295" t="s">
        <v>51</v>
      </c>
      <c r="L295" t="s">
        <v>52</v>
      </c>
      <c r="M295" t="s">
        <v>247</v>
      </c>
      <c r="N295" t="s">
        <v>248</v>
      </c>
      <c r="Q295" s="16" t="s">
        <v>464</v>
      </c>
      <c r="R295" s="16" t="s">
        <v>477</v>
      </c>
      <c r="S295" t="s">
        <v>466</v>
      </c>
      <c r="X295" t="s">
        <v>60</v>
      </c>
      <c r="Z295" s="15"/>
      <c r="AB295" s="17">
        <v>49.853990000000003</v>
      </c>
      <c r="AC295" s="17">
        <v>-97.247439999999997</v>
      </c>
      <c r="AD295" t="s">
        <v>522</v>
      </c>
      <c r="AG295" t="s">
        <v>62</v>
      </c>
      <c r="AH295" t="s">
        <v>63</v>
      </c>
      <c r="AI295" t="s">
        <v>523</v>
      </c>
      <c r="AJ295">
        <v>184806</v>
      </c>
      <c r="AL295" t="s">
        <v>524</v>
      </c>
      <c r="AM295" t="s">
        <v>525</v>
      </c>
      <c r="AN295" t="s">
        <v>526</v>
      </c>
      <c r="AO295" t="s">
        <v>68</v>
      </c>
      <c r="AQ295" t="s">
        <v>527</v>
      </c>
      <c r="AR295" t="s">
        <v>528</v>
      </c>
      <c r="AS295" t="s">
        <v>529</v>
      </c>
      <c r="AV295" s="14" t="s">
        <v>72</v>
      </c>
      <c r="AW295" s="14" t="s">
        <v>73</v>
      </c>
      <c r="AX295" s="14" t="s">
        <v>74</v>
      </c>
    </row>
    <row r="296" spans="1:50" ht="15" customHeight="1" x14ac:dyDescent="0.4">
      <c r="A296" s="12">
        <v>1976</v>
      </c>
      <c r="B296" t="s">
        <v>530</v>
      </c>
      <c r="D296" t="s">
        <v>531</v>
      </c>
      <c r="E296" s="13"/>
      <c r="F296" s="41"/>
      <c r="G296" s="65" t="s">
        <v>8185</v>
      </c>
      <c r="H296" s="14" t="s">
        <v>49</v>
      </c>
      <c r="I296" s="15">
        <v>42923</v>
      </c>
      <c r="J296" t="s">
        <v>174</v>
      </c>
      <c r="K296" t="s">
        <v>51</v>
      </c>
      <c r="L296" t="s">
        <v>52</v>
      </c>
      <c r="M296" t="s">
        <v>247</v>
      </c>
      <c r="N296" t="s">
        <v>248</v>
      </c>
      <c r="Q296" s="16" t="s">
        <v>464</v>
      </c>
      <c r="R296" s="16" t="s">
        <v>477</v>
      </c>
      <c r="S296" t="s">
        <v>466</v>
      </c>
      <c r="X296" t="s">
        <v>60</v>
      </c>
      <c r="Z296" s="15"/>
      <c r="AB296" s="17">
        <v>49.854170000000003</v>
      </c>
      <c r="AC296" s="17">
        <v>-97.246889999999993</v>
      </c>
      <c r="AD296" t="s">
        <v>532</v>
      </c>
      <c r="AG296" t="s">
        <v>62</v>
      </c>
      <c r="AH296" t="s">
        <v>63</v>
      </c>
      <c r="AI296" t="s">
        <v>533</v>
      </c>
      <c r="AJ296">
        <v>184815</v>
      </c>
      <c r="AL296" t="s">
        <v>534</v>
      </c>
      <c r="AM296" t="s">
        <v>535</v>
      </c>
      <c r="AN296" t="s">
        <v>536</v>
      </c>
      <c r="AO296" t="s">
        <v>68</v>
      </c>
      <c r="AQ296" t="s">
        <v>537</v>
      </c>
      <c r="AR296" t="s">
        <v>538</v>
      </c>
      <c r="AS296" t="s">
        <v>539</v>
      </c>
      <c r="AV296" s="14" t="s">
        <v>72</v>
      </c>
      <c r="AW296" s="14" t="s">
        <v>73</v>
      </c>
      <c r="AX296" s="14" t="s">
        <v>74</v>
      </c>
    </row>
    <row r="297" spans="1:50" ht="15" customHeight="1" x14ac:dyDescent="0.4">
      <c r="A297" s="12">
        <v>1977</v>
      </c>
      <c r="B297" t="s">
        <v>540</v>
      </c>
      <c r="D297" t="s">
        <v>541</v>
      </c>
      <c r="E297" s="13"/>
      <c r="F297" s="41"/>
      <c r="G297" s="65" t="s">
        <v>8185</v>
      </c>
      <c r="H297" s="14" t="s">
        <v>49</v>
      </c>
      <c r="I297" s="15">
        <v>42923</v>
      </c>
      <c r="J297" t="s">
        <v>174</v>
      </c>
      <c r="K297" t="s">
        <v>51</v>
      </c>
      <c r="L297" t="s">
        <v>52</v>
      </c>
      <c r="M297" t="s">
        <v>247</v>
      </c>
      <c r="N297" t="s">
        <v>248</v>
      </c>
      <c r="Q297" s="16" t="s">
        <v>464</v>
      </c>
      <c r="R297" s="16" t="s">
        <v>477</v>
      </c>
      <c r="S297" t="s">
        <v>466</v>
      </c>
      <c r="X297" t="s">
        <v>60</v>
      </c>
      <c r="Z297" s="15"/>
      <c r="AB297" s="17">
        <v>49.854210000000002</v>
      </c>
      <c r="AC297" s="17">
        <v>-97.246210000000005</v>
      </c>
      <c r="AD297" t="s">
        <v>542</v>
      </c>
      <c r="AG297" t="s">
        <v>62</v>
      </c>
      <c r="AH297" t="s">
        <v>63</v>
      </c>
      <c r="AI297" t="s">
        <v>543</v>
      </c>
      <c r="AJ297">
        <v>184807</v>
      </c>
      <c r="AL297" t="s">
        <v>544</v>
      </c>
      <c r="AM297" t="s">
        <v>545</v>
      </c>
      <c r="AN297" t="s">
        <v>546</v>
      </c>
      <c r="AO297" t="s">
        <v>68</v>
      </c>
      <c r="AQ297" t="s">
        <v>547</v>
      </c>
      <c r="AR297" t="s">
        <v>548</v>
      </c>
      <c r="AS297" t="s">
        <v>549</v>
      </c>
      <c r="AV297" s="14" t="s">
        <v>72</v>
      </c>
      <c r="AW297" s="14" t="s">
        <v>73</v>
      </c>
      <c r="AX297" s="14" t="s">
        <v>74</v>
      </c>
    </row>
    <row r="298" spans="1:50" ht="15" customHeight="1" x14ac:dyDescent="0.4">
      <c r="A298" s="12">
        <v>1978</v>
      </c>
      <c r="B298" t="s">
        <v>550</v>
      </c>
      <c r="D298" t="s">
        <v>551</v>
      </c>
      <c r="E298" s="13"/>
      <c r="F298" s="41"/>
      <c r="G298" s="65" t="s">
        <v>8185</v>
      </c>
      <c r="H298" s="14" t="s">
        <v>49</v>
      </c>
      <c r="I298" s="15">
        <v>42923</v>
      </c>
      <c r="J298" t="s">
        <v>174</v>
      </c>
      <c r="K298" t="s">
        <v>51</v>
      </c>
      <c r="L298" t="s">
        <v>52</v>
      </c>
      <c r="M298" t="s">
        <v>247</v>
      </c>
      <c r="N298" t="s">
        <v>248</v>
      </c>
      <c r="Q298" s="16" t="s">
        <v>464</v>
      </c>
      <c r="R298" s="16" t="s">
        <v>477</v>
      </c>
      <c r="S298" t="s">
        <v>466</v>
      </c>
      <c r="X298" t="s">
        <v>60</v>
      </c>
      <c r="Z298" s="15"/>
      <c r="AB298" s="17">
        <v>49.853740000000002</v>
      </c>
      <c r="AC298" s="17">
        <v>-97.247389999999996</v>
      </c>
      <c r="AD298" t="s">
        <v>552</v>
      </c>
      <c r="AG298" t="s">
        <v>62</v>
      </c>
      <c r="AH298" t="s">
        <v>63</v>
      </c>
      <c r="AI298" t="s">
        <v>553</v>
      </c>
      <c r="AJ298">
        <v>184808</v>
      </c>
      <c r="AL298" t="s">
        <v>554</v>
      </c>
      <c r="AM298" t="s">
        <v>555</v>
      </c>
      <c r="AN298" t="s">
        <v>556</v>
      </c>
      <c r="AO298" t="s">
        <v>68</v>
      </c>
      <c r="AQ298" t="s">
        <v>557</v>
      </c>
      <c r="AR298" t="s">
        <v>558</v>
      </c>
      <c r="AS298" t="s">
        <v>559</v>
      </c>
      <c r="AV298" s="14" t="s">
        <v>72</v>
      </c>
      <c r="AW298" s="14" t="s">
        <v>73</v>
      </c>
      <c r="AX298" s="14" t="s">
        <v>74</v>
      </c>
    </row>
    <row r="299" spans="1:50" ht="15" customHeight="1" x14ac:dyDescent="0.4">
      <c r="A299" s="12">
        <v>1979</v>
      </c>
      <c r="B299" t="s">
        <v>560</v>
      </c>
      <c r="D299" t="s">
        <v>561</v>
      </c>
      <c r="E299" s="13"/>
      <c r="F299" s="41"/>
      <c r="G299" s="65" t="s">
        <v>8185</v>
      </c>
      <c r="H299" s="14" t="s">
        <v>49</v>
      </c>
      <c r="I299" s="15">
        <v>42923</v>
      </c>
      <c r="J299" t="s">
        <v>174</v>
      </c>
      <c r="K299" t="s">
        <v>51</v>
      </c>
      <c r="L299" t="s">
        <v>52</v>
      </c>
      <c r="M299" t="s">
        <v>247</v>
      </c>
      <c r="N299" t="s">
        <v>248</v>
      </c>
      <c r="Q299" s="16" t="s">
        <v>464</v>
      </c>
      <c r="R299" s="16" t="s">
        <v>477</v>
      </c>
      <c r="S299" t="s">
        <v>466</v>
      </c>
      <c r="X299" t="s">
        <v>78</v>
      </c>
      <c r="Y299" t="s">
        <v>562</v>
      </c>
      <c r="Z299" s="15">
        <v>45597</v>
      </c>
      <c r="AA299" t="s">
        <v>48</v>
      </c>
      <c r="AB299" s="17">
        <v>49.853439999999999</v>
      </c>
      <c r="AC299" s="17">
        <v>-97.246610000000004</v>
      </c>
      <c r="AD299" t="s">
        <v>563</v>
      </c>
      <c r="AG299" t="s">
        <v>62</v>
      </c>
      <c r="AH299" t="s">
        <v>63</v>
      </c>
      <c r="AI299" t="s">
        <v>564</v>
      </c>
      <c r="AJ299">
        <v>184809</v>
      </c>
      <c r="AL299" t="s">
        <v>565</v>
      </c>
      <c r="AM299" t="s">
        <v>566</v>
      </c>
      <c r="AN299" t="s">
        <v>567</v>
      </c>
      <c r="AO299" t="s">
        <v>68</v>
      </c>
      <c r="AQ299" t="s">
        <v>568</v>
      </c>
      <c r="AR299" t="s">
        <v>569</v>
      </c>
      <c r="AS299" t="s">
        <v>570</v>
      </c>
      <c r="AT299" s="31" t="s">
        <v>571</v>
      </c>
      <c r="AU299" s="31" t="s">
        <v>85</v>
      </c>
      <c r="AV299" s="14" t="s">
        <v>72</v>
      </c>
      <c r="AW299" s="14" t="s">
        <v>73</v>
      </c>
      <c r="AX299" s="14" t="s">
        <v>74</v>
      </c>
    </row>
    <row r="300" spans="1:50" ht="15" customHeight="1" x14ac:dyDescent="0.4">
      <c r="A300" s="12">
        <v>3605</v>
      </c>
      <c r="B300" s="21" t="s">
        <v>3192</v>
      </c>
      <c r="C300" s="13"/>
      <c r="D300" s="25" t="s">
        <v>3193</v>
      </c>
      <c r="E300" s="13"/>
      <c r="F300" s="41" t="s">
        <v>3178</v>
      </c>
      <c r="G300" s="65" t="s">
        <v>8185</v>
      </c>
      <c r="H300" s="14" t="s">
        <v>3178</v>
      </c>
      <c r="I300" s="15">
        <v>44736</v>
      </c>
      <c r="J300" t="s">
        <v>2719</v>
      </c>
      <c r="K300" t="s">
        <v>51</v>
      </c>
      <c r="L300" t="s">
        <v>52</v>
      </c>
      <c r="M300" t="s">
        <v>53</v>
      </c>
      <c r="N300" t="s">
        <v>54</v>
      </c>
      <c r="O300" t="s">
        <v>3164</v>
      </c>
      <c r="P300" t="s">
        <v>56</v>
      </c>
      <c r="Q300" s="21" t="s">
        <v>3165</v>
      </c>
      <c r="R300" s="21"/>
      <c r="S300">
        <v>0</v>
      </c>
      <c r="T300">
        <v>0</v>
      </c>
      <c r="X300" t="s">
        <v>3194</v>
      </c>
      <c r="Y300" t="s">
        <v>3183</v>
      </c>
      <c r="Z300" s="15" t="s">
        <v>3183</v>
      </c>
      <c r="AA300" t="s">
        <v>3183</v>
      </c>
      <c r="AB300">
        <v>35.436273</v>
      </c>
      <c r="AC300">
        <v>-98.355593900000002</v>
      </c>
      <c r="AD300" t="s">
        <v>3195</v>
      </c>
      <c r="AG300" t="s">
        <v>1715</v>
      </c>
      <c r="AH300" t="s">
        <v>63</v>
      </c>
      <c r="AI300" t="s">
        <v>3196</v>
      </c>
      <c r="AJ300">
        <v>193685</v>
      </c>
      <c r="AL300" t="s">
        <v>3197</v>
      </c>
      <c r="AM300" t="s">
        <v>3198</v>
      </c>
      <c r="AN300" t="s">
        <v>3199</v>
      </c>
      <c r="AO300" t="s">
        <v>68</v>
      </c>
      <c r="AQ300" t="s">
        <v>3200</v>
      </c>
      <c r="AR300" t="s">
        <v>3201</v>
      </c>
      <c r="AS300" t="s">
        <v>3202</v>
      </c>
      <c r="AV300" s="14" t="e">
        <v>#N/A</v>
      </c>
      <c r="AW300" s="14" t="e">
        <v>#N/A</v>
      </c>
      <c r="AX300" s="14" t="e">
        <v>#N/A</v>
      </c>
    </row>
    <row r="301" spans="1:50" ht="15" customHeight="1" x14ac:dyDescent="0.4">
      <c r="A301" s="12">
        <v>3767</v>
      </c>
      <c r="B301" s="21" t="s">
        <v>5087</v>
      </c>
      <c r="C301" s="13" t="s">
        <v>5088</v>
      </c>
      <c r="D301" s="25" t="s">
        <v>5088</v>
      </c>
      <c r="E301" s="13"/>
      <c r="F301" s="41"/>
      <c r="G301" s="65" t="s">
        <v>8185</v>
      </c>
      <c r="H301" s="14" t="s">
        <v>2222</v>
      </c>
      <c r="I301" s="15">
        <v>44770</v>
      </c>
      <c r="J301" t="s">
        <v>2719</v>
      </c>
      <c r="K301" t="s">
        <v>51</v>
      </c>
      <c r="L301" t="s">
        <v>52</v>
      </c>
      <c r="M301" t="s">
        <v>53</v>
      </c>
      <c r="N301" t="s">
        <v>871</v>
      </c>
      <c r="O301" t="s">
        <v>5089</v>
      </c>
      <c r="P301" t="s">
        <v>56</v>
      </c>
      <c r="Q301" s="21" t="s">
        <v>5090</v>
      </c>
      <c r="R301" s="21"/>
      <c r="S301" t="s">
        <v>5091</v>
      </c>
      <c r="T301" t="s">
        <v>5092</v>
      </c>
      <c r="X301" t="s">
        <v>2225</v>
      </c>
      <c r="Z301" s="15"/>
      <c r="AB301">
        <v>42.766748999999997</v>
      </c>
      <c r="AC301">
        <v>-84.385411000000005</v>
      </c>
      <c r="AD301" t="s">
        <v>5093</v>
      </c>
      <c r="AG301" t="s">
        <v>1715</v>
      </c>
      <c r="AH301" t="s">
        <v>63</v>
      </c>
      <c r="AI301" t="s">
        <v>5094</v>
      </c>
      <c r="AJ301">
        <v>192616</v>
      </c>
      <c r="AL301" t="s">
        <v>5095</v>
      </c>
      <c r="AM301" t="s">
        <v>5096</v>
      </c>
      <c r="AN301" t="s">
        <v>5097</v>
      </c>
      <c r="AO301" t="s">
        <v>68</v>
      </c>
      <c r="AQ301" t="s">
        <v>5098</v>
      </c>
      <c r="AR301" t="s">
        <v>5099</v>
      </c>
      <c r="AS301" t="s">
        <v>5100</v>
      </c>
      <c r="AV301" s="14" t="s">
        <v>72</v>
      </c>
      <c r="AW301" s="14" t="s">
        <v>73</v>
      </c>
      <c r="AX301" s="14" t="s">
        <v>74</v>
      </c>
    </row>
    <row r="302" spans="1:50" ht="15" customHeight="1" x14ac:dyDescent="0.4">
      <c r="A302" s="12">
        <v>3768</v>
      </c>
      <c r="B302" s="21" t="s">
        <v>5101</v>
      </c>
      <c r="C302" s="13" t="s">
        <v>5102</v>
      </c>
      <c r="D302" s="25" t="s">
        <v>5102</v>
      </c>
      <c r="E302" s="13"/>
      <c r="F302" s="41"/>
      <c r="G302" s="65" t="s">
        <v>8185</v>
      </c>
      <c r="H302" s="14" t="s">
        <v>1878</v>
      </c>
      <c r="I302" s="15">
        <v>44770</v>
      </c>
      <c r="J302" t="s">
        <v>2719</v>
      </c>
      <c r="K302" t="s">
        <v>51</v>
      </c>
      <c r="L302" t="s">
        <v>52</v>
      </c>
      <c r="M302" t="s">
        <v>53</v>
      </c>
      <c r="N302" t="s">
        <v>871</v>
      </c>
      <c r="O302" t="s">
        <v>5089</v>
      </c>
      <c r="P302" t="s">
        <v>56</v>
      </c>
      <c r="Q302" s="21" t="s">
        <v>5090</v>
      </c>
      <c r="R302" s="21"/>
      <c r="S302" t="s">
        <v>5103</v>
      </c>
      <c r="T302" t="s">
        <v>5104</v>
      </c>
      <c r="X302" t="s">
        <v>1881</v>
      </c>
      <c r="Z302" s="15"/>
      <c r="AB302">
        <v>42.766618999999999</v>
      </c>
      <c r="AC302">
        <v>-84.385326000000006</v>
      </c>
      <c r="AD302" t="s">
        <v>5105</v>
      </c>
      <c r="AG302" t="s">
        <v>1715</v>
      </c>
      <c r="AH302" t="s">
        <v>63</v>
      </c>
      <c r="AI302" t="s">
        <v>5106</v>
      </c>
      <c r="AJ302">
        <v>194210</v>
      </c>
      <c r="AL302" t="s">
        <v>5107</v>
      </c>
      <c r="AM302" t="s">
        <v>5108</v>
      </c>
      <c r="AN302" t="s">
        <v>5109</v>
      </c>
      <c r="AO302" t="s">
        <v>68</v>
      </c>
      <c r="AQ302" t="s">
        <v>5110</v>
      </c>
      <c r="AR302" t="s">
        <v>5111</v>
      </c>
      <c r="AS302" t="s">
        <v>5112</v>
      </c>
      <c r="AV302" s="14" t="s">
        <v>72</v>
      </c>
      <c r="AW302" s="14" t="s">
        <v>73</v>
      </c>
      <c r="AX302" s="14" t="s">
        <v>1723</v>
      </c>
    </row>
    <row r="303" spans="1:50" ht="15" customHeight="1" x14ac:dyDescent="0.4">
      <c r="A303" s="12">
        <v>3769</v>
      </c>
      <c r="B303" s="21" t="s">
        <v>5113</v>
      </c>
      <c r="C303" s="13" t="s">
        <v>5114</v>
      </c>
      <c r="D303" s="25" t="s">
        <v>5114</v>
      </c>
      <c r="E303" s="13"/>
      <c r="F303" s="43" t="s">
        <v>2222</v>
      </c>
      <c r="G303" s="65" t="s">
        <v>8149</v>
      </c>
      <c r="H303" s="14" t="s">
        <v>2222</v>
      </c>
      <c r="I303" s="15">
        <v>44770</v>
      </c>
      <c r="J303" t="s">
        <v>2719</v>
      </c>
      <c r="K303" t="s">
        <v>51</v>
      </c>
      <c r="L303" t="s">
        <v>52</v>
      </c>
      <c r="M303" t="s">
        <v>53</v>
      </c>
      <c r="N303" t="s">
        <v>871</v>
      </c>
      <c r="O303" t="s">
        <v>5089</v>
      </c>
      <c r="P303" t="s">
        <v>56</v>
      </c>
      <c r="Q303" s="21" t="s">
        <v>5090</v>
      </c>
      <c r="R303" s="21"/>
      <c r="S303" t="s">
        <v>5115</v>
      </c>
      <c r="T303" t="s">
        <v>5116</v>
      </c>
      <c r="X303" t="s">
        <v>2225</v>
      </c>
      <c r="Z303" s="15"/>
      <c r="AB303">
        <v>42.767558000000001</v>
      </c>
      <c r="AC303">
        <v>-84.384491999999995</v>
      </c>
      <c r="AD303" t="s">
        <v>5068</v>
      </c>
      <c r="AG303" t="s">
        <v>1715</v>
      </c>
      <c r="AH303" t="s">
        <v>63</v>
      </c>
      <c r="AI303" t="s">
        <v>5117</v>
      </c>
      <c r="AJ303">
        <v>192614</v>
      </c>
      <c r="AL303" t="s">
        <v>5118</v>
      </c>
      <c r="AM303" t="s">
        <v>5119</v>
      </c>
      <c r="AN303" t="s">
        <v>5120</v>
      </c>
      <c r="AO303" t="s">
        <v>68</v>
      </c>
      <c r="AQ303" t="s">
        <v>5121</v>
      </c>
      <c r="AR303" t="s">
        <v>5122</v>
      </c>
      <c r="AS303" t="s">
        <v>5123</v>
      </c>
      <c r="AV303" s="14" t="s">
        <v>72</v>
      </c>
      <c r="AW303" s="14" t="s">
        <v>73</v>
      </c>
      <c r="AX303" s="14" t="s">
        <v>74</v>
      </c>
    </row>
    <row r="304" spans="1:50" ht="15" customHeight="1" x14ac:dyDescent="0.4">
      <c r="A304" s="12">
        <v>3770</v>
      </c>
      <c r="B304" s="21" t="s">
        <v>5124</v>
      </c>
      <c r="C304" s="13" t="s">
        <v>5125</v>
      </c>
      <c r="D304" s="25" t="s">
        <v>5125</v>
      </c>
      <c r="E304" s="13"/>
      <c r="F304" s="41"/>
      <c r="G304" s="65" t="s">
        <v>8185</v>
      </c>
      <c r="H304" s="14" t="s">
        <v>1878</v>
      </c>
      <c r="I304" s="15">
        <v>44770</v>
      </c>
      <c r="J304" t="s">
        <v>2719</v>
      </c>
      <c r="K304" t="s">
        <v>51</v>
      </c>
      <c r="L304" t="s">
        <v>52</v>
      </c>
      <c r="M304" t="s">
        <v>53</v>
      </c>
      <c r="N304" t="s">
        <v>871</v>
      </c>
      <c r="O304" t="s">
        <v>5089</v>
      </c>
      <c r="P304" t="s">
        <v>56</v>
      </c>
      <c r="Q304" s="21" t="s">
        <v>5090</v>
      </c>
      <c r="R304" s="21"/>
      <c r="S304" t="s">
        <v>5126</v>
      </c>
      <c r="T304" t="s">
        <v>5127</v>
      </c>
      <c r="X304" t="s">
        <v>1881</v>
      </c>
      <c r="Z304" s="15"/>
      <c r="AB304">
        <v>42.767026000000001</v>
      </c>
      <c r="AC304">
        <v>-84.384641000000002</v>
      </c>
      <c r="AD304" t="s">
        <v>4975</v>
      </c>
      <c r="AG304" t="s">
        <v>1715</v>
      </c>
      <c r="AH304" t="s">
        <v>63</v>
      </c>
      <c r="AI304" t="s">
        <v>5128</v>
      </c>
      <c r="AJ304">
        <v>194211</v>
      </c>
      <c r="AL304" t="s">
        <v>5129</v>
      </c>
      <c r="AM304" t="s">
        <v>5130</v>
      </c>
      <c r="AN304" t="s">
        <v>5131</v>
      </c>
      <c r="AO304" t="s">
        <v>68</v>
      </c>
      <c r="AQ304" t="s">
        <v>5132</v>
      </c>
      <c r="AR304" t="s">
        <v>5133</v>
      </c>
      <c r="AS304" t="s">
        <v>5134</v>
      </c>
      <c r="AV304" s="14" t="s">
        <v>72</v>
      </c>
      <c r="AW304" s="14" t="s">
        <v>73</v>
      </c>
      <c r="AX304" s="14" t="s">
        <v>1723</v>
      </c>
    </row>
    <row r="305" spans="1:50" ht="15" customHeight="1" x14ac:dyDescent="0.4">
      <c r="A305" s="12">
        <v>3771</v>
      </c>
      <c r="B305" s="21" t="s">
        <v>5135</v>
      </c>
      <c r="C305" s="13" t="s">
        <v>5136</v>
      </c>
      <c r="D305" s="25" t="s">
        <v>5136</v>
      </c>
      <c r="E305" s="13"/>
      <c r="F305" s="41"/>
      <c r="G305" s="65" t="s">
        <v>8185</v>
      </c>
      <c r="H305" s="14" t="s">
        <v>2222</v>
      </c>
      <c r="I305" s="15">
        <v>44770</v>
      </c>
      <c r="J305" t="s">
        <v>2719</v>
      </c>
      <c r="K305" t="s">
        <v>51</v>
      </c>
      <c r="L305" t="s">
        <v>52</v>
      </c>
      <c r="M305" t="s">
        <v>53</v>
      </c>
      <c r="N305" t="s">
        <v>871</v>
      </c>
      <c r="O305" t="s">
        <v>5089</v>
      </c>
      <c r="P305" t="s">
        <v>56</v>
      </c>
      <c r="Q305" s="21" t="s">
        <v>5090</v>
      </c>
      <c r="R305" s="21"/>
      <c r="S305" t="s">
        <v>5137</v>
      </c>
      <c r="T305" t="s">
        <v>5138</v>
      </c>
      <c r="X305" t="s">
        <v>2225</v>
      </c>
      <c r="Z305" s="15"/>
      <c r="AB305">
        <v>42.766160999999997</v>
      </c>
      <c r="AC305">
        <v>-84.382458999999997</v>
      </c>
      <c r="AD305" t="s">
        <v>5139</v>
      </c>
      <c r="AG305" t="s">
        <v>1715</v>
      </c>
      <c r="AH305" t="s">
        <v>63</v>
      </c>
      <c r="AI305" t="s">
        <v>5140</v>
      </c>
      <c r="AJ305">
        <v>192615</v>
      </c>
      <c r="AL305" t="s">
        <v>5141</v>
      </c>
      <c r="AM305" t="s">
        <v>5142</v>
      </c>
      <c r="AN305" t="s">
        <v>5143</v>
      </c>
      <c r="AO305" t="s">
        <v>68</v>
      </c>
      <c r="AQ305" t="s">
        <v>5144</v>
      </c>
      <c r="AR305" t="s">
        <v>5145</v>
      </c>
      <c r="AS305" t="s">
        <v>5146</v>
      </c>
      <c r="AV305" s="14" t="s">
        <v>72</v>
      </c>
      <c r="AW305" s="14" t="s">
        <v>73</v>
      </c>
      <c r="AX305" s="14" t="s">
        <v>74</v>
      </c>
    </row>
    <row r="306" spans="1:50" ht="15" customHeight="1" x14ac:dyDescent="0.4">
      <c r="A306" s="12">
        <v>3772</v>
      </c>
      <c r="B306" s="21" t="s">
        <v>5147</v>
      </c>
      <c r="C306" s="13" t="s">
        <v>5148</v>
      </c>
      <c r="D306" s="25" t="s">
        <v>5148</v>
      </c>
      <c r="E306" s="13"/>
      <c r="F306" s="41"/>
      <c r="G306" s="65" t="s">
        <v>8185</v>
      </c>
      <c r="H306" s="14" t="s">
        <v>1878</v>
      </c>
      <c r="I306" s="15">
        <v>44770</v>
      </c>
      <c r="J306" t="s">
        <v>2719</v>
      </c>
      <c r="K306" t="s">
        <v>51</v>
      </c>
      <c r="L306" t="s">
        <v>52</v>
      </c>
      <c r="M306" t="s">
        <v>53</v>
      </c>
      <c r="N306" t="s">
        <v>871</v>
      </c>
      <c r="O306" t="s">
        <v>5089</v>
      </c>
      <c r="P306" t="s">
        <v>56</v>
      </c>
      <c r="Q306" s="21" t="s">
        <v>5090</v>
      </c>
      <c r="R306" s="21"/>
      <c r="S306" t="s">
        <v>5149</v>
      </c>
      <c r="T306" t="s">
        <v>5150</v>
      </c>
      <c r="X306" t="s">
        <v>1881</v>
      </c>
      <c r="Z306" s="15"/>
      <c r="AB306">
        <v>42.766255000000001</v>
      </c>
      <c r="AC306">
        <v>-84.382334999999998</v>
      </c>
      <c r="AD306" t="s">
        <v>5093</v>
      </c>
      <c r="AG306" t="s">
        <v>1715</v>
      </c>
      <c r="AH306" t="s">
        <v>63</v>
      </c>
      <c r="AI306" t="s">
        <v>5151</v>
      </c>
      <c r="AJ306">
        <v>194212</v>
      </c>
      <c r="AL306" t="s">
        <v>5152</v>
      </c>
      <c r="AM306" t="s">
        <v>5153</v>
      </c>
      <c r="AN306" t="s">
        <v>5154</v>
      </c>
      <c r="AO306" t="s">
        <v>68</v>
      </c>
      <c r="AQ306" t="s">
        <v>5155</v>
      </c>
      <c r="AR306" t="s">
        <v>5156</v>
      </c>
      <c r="AS306" t="s">
        <v>5157</v>
      </c>
      <c r="AV306" s="14" t="s">
        <v>72</v>
      </c>
      <c r="AW306" s="14" t="s">
        <v>73</v>
      </c>
      <c r="AX306" s="14" t="s">
        <v>1723</v>
      </c>
    </row>
    <row r="307" spans="1:50" ht="15" customHeight="1" x14ac:dyDescent="0.4">
      <c r="A307" s="12">
        <v>3773</v>
      </c>
      <c r="B307" s="21" t="s">
        <v>5158</v>
      </c>
      <c r="C307" s="13" t="s">
        <v>5159</v>
      </c>
      <c r="D307" s="25" t="s">
        <v>5159</v>
      </c>
      <c r="E307" s="13"/>
      <c r="F307" s="43" t="s">
        <v>2222</v>
      </c>
      <c r="G307" s="65" t="s">
        <v>8158</v>
      </c>
      <c r="H307" s="14" t="s">
        <v>2222</v>
      </c>
      <c r="I307" s="15">
        <v>44770</v>
      </c>
      <c r="J307" t="s">
        <v>2719</v>
      </c>
      <c r="K307" t="s">
        <v>51</v>
      </c>
      <c r="L307" t="s">
        <v>52</v>
      </c>
      <c r="M307" t="s">
        <v>53</v>
      </c>
      <c r="N307" t="s">
        <v>871</v>
      </c>
      <c r="O307" t="s">
        <v>5089</v>
      </c>
      <c r="P307" t="s">
        <v>56</v>
      </c>
      <c r="Q307" s="21" t="s">
        <v>5090</v>
      </c>
      <c r="R307" s="21"/>
      <c r="S307" t="s">
        <v>5160</v>
      </c>
      <c r="T307" t="s">
        <v>5161</v>
      </c>
      <c r="X307" t="s">
        <v>2225</v>
      </c>
      <c r="Z307" s="15"/>
      <c r="AB307">
        <v>42.765813999999999</v>
      </c>
      <c r="AC307">
        <v>-84.381325000000004</v>
      </c>
      <c r="AD307" t="s">
        <v>5162</v>
      </c>
      <c r="AG307" t="s">
        <v>1715</v>
      </c>
      <c r="AH307" t="s">
        <v>63</v>
      </c>
      <c r="AI307" t="s">
        <v>5163</v>
      </c>
      <c r="AJ307">
        <v>193365</v>
      </c>
      <c r="AL307" t="s">
        <v>5164</v>
      </c>
      <c r="AM307" t="s">
        <v>5165</v>
      </c>
      <c r="AN307" t="s">
        <v>5166</v>
      </c>
      <c r="AO307" t="s">
        <v>68</v>
      </c>
      <c r="AQ307" t="s">
        <v>5167</v>
      </c>
      <c r="AR307" t="s">
        <v>5168</v>
      </c>
      <c r="AS307" t="s">
        <v>5169</v>
      </c>
      <c r="AV307" s="14" t="s">
        <v>72</v>
      </c>
      <c r="AW307" s="14" t="s">
        <v>73</v>
      </c>
      <c r="AX307" s="14" t="s">
        <v>74</v>
      </c>
    </row>
    <row r="308" spans="1:50" ht="15" customHeight="1" x14ac:dyDescent="0.4">
      <c r="A308" s="12">
        <v>3774</v>
      </c>
      <c r="B308" s="21" t="s">
        <v>5170</v>
      </c>
      <c r="C308" s="13" t="s">
        <v>5171</v>
      </c>
      <c r="D308" s="25" t="s">
        <v>5171</v>
      </c>
      <c r="E308" s="13"/>
      <c r="F308" s="41"/>
      <c r="G308" s="65" t="s">
        <v>8185</v>
      </c>
      <c r="H308" s="14" t="s">
        <v>1878</v>
      </c>
      <c r="I308" s="15">
        <v>44770</v>
      </c>
      <c r="J308" t="s">
        <v>2719</v>
      </c>
      <c r="K308" t="s">
        <v>51</v>
      </c>
      <c r="L308" t="s">
        <v>52</v>
      </c>
      <c r="M308" t="s">
        <v>53</v>
      </c>
      <c r="N308" t="s">
        <v>871</v>
      </c>
      <c r="O308" t="s">
        <v>5089</v>
      </c>
      <c r="P308" t="s">
        <v>56</v>
      </c>
      <c r="Q308" s="21" t="s">
        <v>5090</v>
      </c>
      <c r="R308" s="21"/>
      <c r="S308" t="s">
        <v>5172</v>
      </c>
      <c r="T308" t="s">
        <v>5173</v>
      </c>
      <c r="W308" t="s">
        <v>1758</v>
      </c>
      <c r="X308" t="s">
        <v>1881</v>
      </c>
      <c r="Z308" s="15"/>
      <c r="AB308">
        <v>42.765597999999997</v>
      </c>
      <c r="AC308">
        <v>-84.378050000000002</v>
      </c>
      <c r="AD308" t="s">
        <v>3862</v>
      </c>
      <c r="AG308" t="s">
        <v>1715</v>
      </c>
      <c r="AH308" t="s">
        <v>63</v>
      </c>
      <c r="AI308" t="s">
        <v>5174</v>
      </c>
      <c r="AJ308">
        <v>194213</v>
      </c>
      <c r="AL308" t="s">
        <v>5175</v>
      </c>
      <c r="AM308" t="s">
        <v>5176</v>
      </c>
      <c r="AN308" t="s">
        <v>5177</v>
      </c>
      <c r="AO308" t="s">
        <v>68</v>
      </c>
      <c r="AQ308" t="s">
        <v>5178</v>
      </c>
      <c r="AR308" t="s">
        <v>5179</v>
      </c>
      <c r="AS308" t="s">
        <v>5180</v>
      </c>
      <c r="AV308" s="14" t="s">
        <v>72</v>
      </c>
      <c r="AW308" s="14" t="s">
        <v>73</v>
      </c>
      <c r="AX308" s="14" t="s">
        <v>1723</v>
      </c>
    </row>
    <row r="309" spans="1:50" ht="15" customHeight="1" x14ac:dyDescent="0.4">
      <c r="A309" s="12">
        <v>3775</v>
      </c>
      <c r="B309" s="21" t="s">
        <v>5181</v>
      </c>
      <c r="C309" s="13" t="s">
        <v>5182</v>
      </c>
      <c r="D309" s="25" t="s">
        <v>5182</v>
      </c>
      <c r="E309" s="13"/>
      <c r="F309" s="41"/>
      <c r="G309" s="65" t="s">
        <v>8185</v>
      </c>
      <c r="H309" s="14" t="s">
        <v>2222</v>
      </c>
      <c r="I309" s="15">
        <v>44770</v>
      </c>
      <c r="J309" t="s">
        <v>2719</v>
      </c>
      <c r="K309" t="s">
        <v>51</v>
      </c>
      <c r="L309" t="s">
        <v>52</v>
      </c>
      <c r="M309" t="s">
        <v>53</v>
      </c>
      <c r="N309" t="s">
        <v>871</v>
      </c>
      <c r="O309" t="s">
        <v>5089</v>
      </c>
      <c r="P309" t="s">
        <v>56</v>
      </c>
      <c r="Q309" s="21" t="s">
        <v>5090</v>
      </c>
      <c r="R309" s="21"/>
      <c r="S309" t="s">
        <v>5183</v>
      </c>
      <c r="T309" t="s">
        <v>5184</v>
      </c>
      <c r="X309" t="s">
        <v>2225</v>
      </c>
      <c r="Z309" s="15"/>
      <c r="AB309">
        <v>42.765287000000001</v>
      </c>
      <c r="AC309">
        <v>-84.382497000000001</v>
      </c>
      <c r="AD309" t="s">
        <v>5185</v>
      </c>
      <c r="AG309" t="s">
        <v>1715</v>
      </c>
      <c r="AH309" t="s">
        <v>63</v>
      </c>
      <c r="AI309" t="s">
        <v>5186</v>
      </c>
      <c r="AJ309">
        <v>192606</v>
      </c>
      <c r="AL309" t="s">
        <v>5187</v>
      </c>
      <c r="AM309" t="s">
        <v>5188</v>
      </c>
      <c r="AN309" t="s">
        <v>5189</v>
      </c>
      <c r="AO309" t="s">
        <v>68</v>
      </c>
      <c r="AQ309" t="s">
        <v>5190</v>
      </c>
      <c r="AR309" t="s">
        <v>5191</v>
      </c>
      <c r="AS309" t="s">
        <v>5192</v>
      </c>
      <c r="AV309" s="14" t="s">
        <v>72</v>
      </c>
      <c r="AW309" s="14" t="s">
        <v>73</v>
      </c>
      <c r="AX309" s="14" t="s">
        <v>74</v>
      </c>
    </row>
    <row r="310" spans="1:50" ht="15" customHeight="1" x14ac:dyDescent="0.4">
      <c r="A310" s="12">
        <v>3776</v>
      </c>
      <c r="B310" s="21" t="s">
        <v>5193</v>
      </c>
      <c r="C310" s="13" t="s">
        <v>5194</v>
      </c>
      <c r="D310" s="25" t="s">
        <v>5194</v>
      </c>
      <c r="E310" s="13"/>
      <c r="F310" s="41"/>
      <c r="G310" s="65" t="s">
        <v>8185</v>
      </c>
      <c r="H310" s="14" t="s">
        <v>1878</v>
      </c>
      <c r="I310" s="15">
        <v>44770</v>
      </c>
      <c r="J310" t="s">
        <v>2719</v>
      </c>
      <c r="K310" t="s">
        <v>51</v>
      </c>
      <c r="L310" t="s">
        <v>52</v>
      </c>
      <c r="M310" t="s">
        <v>53</v>
      </c>
      <c r="N310" t="s">
        <v>871</v>
      </c>
      <c r="O310" t="s">
        <v>5089</v>
      </c>
      <c r="P310" t="s">
        <v>56</v>
      </c>
      <c r="Q310" s="21" t="s">
        <v>5090</v>
      </c>
      <c r="R310" s="21"/>
      <c r="S310" t="s">
        <v>5195</v>
      </c>
      <c r="T310" t="s">
        <v>5196</v>
      </c>
      <c r="X310" t="s">
        <v>1881</v>
      </c>
      <c r="Z310" s="15"/>
      <c r="AB310">
        <v>42.765120000000003</v>
      </c>
      <c r="AC310">
        <v>-84.382422000000005</v>
      </c>
      <c r="AD310" t="s">
        <v>3031</v>
      </c>
      <c r="AG310" t="s">
        <v>1715</v>
      </c>
      <c r="AH310" t="s">
        <v>63</v>
      </c>
      <c r="AI310" t="s">
        <v>5197</v>
      </c>
      <c r="AJ310">
        <v>194214</v>
      </c>
      <c r="AL310" t="s">
        <v>5198</v>
      </c>
      <c r="AM310" t="s">
        <v>5199</v>
      </c>
      <c r="AN310" t="s">
        <v>5200</v>
      </c>
      <c r="AO310" t="s">
        <v>68</v>
      </c>
      <c r="AQ310" t="s">
        <v>5201</v>
      </c>
      <c r="AR310" t="s">
        <v>5202</v>
      </c>
      <c r="AS310" t="s">
        <v>5203</v>
      </c>
      <c r="AV310" s="14" t="s">
        <v>72</v>
      </c>
      <c r="AW310" s="14" t="s">
        <v>73</v>
      </c>
      <c r="AX310" s="14" t="s">
        <v>1723</v>
      </c>
    </row>
    <row r="311" spans="1:50" ht="15" customHeight="1" x14ac:dyDescent="0.4">
      <c r="A311" s="12">
        <v>3777</v>
      </c>
      <c r="B311" s="21" t="s">
        <v>5204</v>
      </c>
      <c r="C311" s="13" t="s">
        <v>5205</v>
      </c>
      <c r="D311" s="25" t="s">
        <v>5205</v>
      </c>
      <c r="E311" s="13"/>
      <c r="F311" s="41"/>
      <c r="G311" s="65" t="s">
        <v>8182</v>
      </c>
      <c r="H311" s="14" t="s">
        <v>49</v>
      </c>
      <c r="I311" s="15">
        <v>44770</v>
      </c>
      <c r="J311" t="s">
        <v>2719</v>
      </c>
      <c r="K311" t="s">
        <v>51</v>
      </c>
      <c r="L311" t="s">
        <v>52</v>
      </c>
      <c r="M311" t="s">
        <v>53</v>
      </c>
      <c r="N311" t="s">
        <v>871</v>
      </c>
      <c r="O311" t="s">
        <v>5089</v>
      </c>
      <c r="P311" t="s">
        <v>56</v>
      </c>
      <c r="Q311" s="21" t="s">
        <v>5090</v>
      </c>
      <c r="R311" s="21"/>
      <c r="S311" t="s">
        <v>5206</v>
      </c>
      <c r="T311" t="s">
        <v>5207</v>
      </c>
      <c r="W311" t="s">
        <v>2321</v>
      </c>
      <c r="X311" t="s">
        <v>60</v>
      </c>
      <c r="Z311" s="15"/>
      <c r="AB311">
        <v>42.765065999999997</v>
      </c>
      <c r="AC311">
        <v>-84.389009000000001</v>
      </c>
      <c r="AD311" t="s">
        <v>5208</v>
      </c>
      <c r="AG311" t="s">
        <v>1715</v>
      </c>
      <c r="AH311" t="s">
        <v>63</v>
      </c>
      <c r="AI311" t="s">
        <v>5209</v>
      </c>
      <c r="AJ311">
        <v>194458</v>
      </c>
      <c r="AL311" t="s">
        <v>5210</v>
      </c>
      <c r="AM311" t="s">
        <v>5211</v>
      </c>
      <c r="AN311" t="s">
        <v>5212</v>
      </c>
      <c r="AO311" t="s">
        <v>68</v>
      </c>
      <c r="AQ311" t="s">
        <v>5213</v>
      </c>
      <c r="AR311" t="s">
        <v>5214</v>
      </c>
      <c r="AS311" t="s">
        <v>5215</v>
      </c>
      <c r="AV311" s="14" t="s">
        <v>72</v>
      </c>
      <c r="AW311" s="14" t="s">
        <v>73</v>
      </c>
      <c r="AX311" s="14" t="s">
        <v>74</v>
      </c>
    </row>
    <row r="312" spans="1:50" ht="15" customHeight="1" x14ac:dyDescent="0.4">
      <c r="A312" s="12">
        <v>3748</v>
      </c>
      <c r="B312" s="21" t="s">
        <v>4862</v>
      </c>
      <c r="C312" s="13" t="s">
        <v>4863</v>
      </c>
      <c r="D312" s="25" t="s">
        <v>4863</v>
      </c>
      <c r="E312" s="13"/>
      <c r="F312" s="41"/>
      <c r="G312" s="65" t="s">
        <v>8185</v>
      </c>
      <c r="H312" s="14" t="s">
        <v>3090</v>
      </c>
      <c r="I312" s="15">
        <v>44769</v>
      </c>
      <c r="J312" t="s">
        <v>2719</v>
      </c>
      <c r="K312" t="s">
        <v>51</v>
      </c>
      <c r="L312" t="s">
        <v>52</v>
      </c>
      <c r="M312" t="s">
        <v>53</v>
      </c>
      <c r="N312" t="s">
        <v>871</v>
      </c>
      <c r="O312" t="s">
        <v>4864</v>
      </c>
      <c r="P312" t="s">
        <v>56</v>
      </c>
      <c r="Q312" s="21" t="s">
        <v>4865</v>
      </c>
      <c r="R312" s="21"/>
      <c r="S312" t="s">
        <v>4866</v>
      </c>
      <c r="T312" t="s">
        <v>4867</v>
      </c>
      <c r="X312" t="s">
        <v>3096</v>
      </c>
      <c r="Z312" s="15"/>
      <c r="AB312">
        <v>42.413184000000001</v>
      </c>
      <c r="AC312">
        <v>-83.988669000000002</v>
      </c>
      <c r="AD312" t="s">
        <v>4868</v>
      </c>
      <c r="AG312" t="s">
        <v>1715</v>
      </c>
      <c r="AH312" t="s">
        <v>63</v>
      </c>
      <c r="AI312" t="s">
        <v>4869</v>
      </c>
      <c r="AJ312">
        <v>194559</v>
      </c>
      <c r="AL312" t="s">
        <v>4870</v>
      </c>
      <c r="AM312" t="s">
        <v>4871</v>
      </c>
      <c r="AN312" t="s">
        <v>4872</v>
      </c>
      <c r="AO312" t="s">
        <v>68</v>
      </c>
      <c r="AQ312" t="s">
        <v>4873</v>
      </c>
      <c r="AR312" t="s">
        <v>4874</v>
      </c>
      <c r="AS312" t="s">
        <v>4875</v>
      </c>
      <c r="AV312" s="14" t="s">
        <v>72</v>
      </c>
      <c r="AW312" s="14" t="s">
        <v>73</v>
      </c>
      <c r="AX312" s="14" t="s">
        <v>74</v>
      </c>
    </row>
    <row r="313" spans="1:50" ht="15" customHeight="1" x14ac:dyDescent="0.4">
      <c r="A313" s="12">
        <v>3749</v>
      </c>
      <c r="B313" s="21" t="s">
        <v>4876</v>
      </c>
      <c r="C313" s="13" t="s">
        <v>4877</v>
      </c>
      <c r="D313" s="25" t="s">
        <v>4877</v>
      </c>
      <c r="E313" s="13"/>
      <c r="F313" s="41"/>
      <c r="G313" s="65" t="s">
        <v>8185</v>
      </c>
      <c r="H313" s="14" t="s">
        <v>3090</v>
      </c>
      <c r="I313" s="15">
        <v>44769</v>
      </c>
      <c r="J313" t="s">
        <v>2719</v>
      </c>
      <c r="K313" t="s">
        <v>51</v>
      </c>
      <c r="L313" t="s">
        <v>52</v>
      </c>
      <c r="M313" t="s">
        <v>53</v>
      </c>
      <c r="N313" t="s">
        <v>871</v>
      </c>
      <c r="O313" t="s">
        <v>4864</v>
      </c>
      <c r="P313" t="s">
        <v>56</v>
      </c>
      <c r="Q313" s="21" t="s">
        <v>4865</v>
      </c>
      <c r="R313" s="21"/>
      <c r="S313" t="s">
        <v>4878</v>
      </c>
      <c r="T313" t="s">
        <v>4879</v>
      </c>
      <c r="W313" t="s">
        <v>1758</v>
      </c>
      <c r="X313" t="s">
        <v>3096</v>
      </c>
      <c r="Z313" s="15"/>
      <c r="AB313">
        <v>42.412661</v>
      </c>
      <c r="AC313">
        <v>-83.988339999999994</v>
      </c>
      <c r="AD313" t="s">
        <v>4880</v>
      </c>
      <c r="AG313" t="s">
        <v>1715</v>
      </c>
      <c r="AH313" t="s">
        <v>63</v>
      </c>
      <c r="AI313" t="s">
        <v>4881</v>
      </c>
      <c r="AJ313">
        <v>194558</v>
      </c>
      <c r="AL313" t="s">
        <v>4882</v>
      </c>
      <c r="AM313" t="s">
        <v>4883</v>
      </c>
      <c r="AN313" t="s">
        <v>4884</v>
      </c>
      <c r="AO313" t="s">
        <v>68</v>
      </c>
      <c r="AQ313" t="s">
        <v>4885</v>
      </c>
      <c r="AR313" t="s">
        <v>4886</v>
      </c>
      <c r="AS313" t="s">
        <v>4887</v>
      </c>
      <c r="AV313" s="14" t="s">
        <v>72</v>
      </c>
      <c r="AW313" s="14" t="s">
        <v>73</v>
      </c>
      <c r="AX313" s="14" t="s">
        <v>74</v>
      </c>
    </row>
    <row r="314" spans="1:50" ht="15" customHeight="1" x14ac:dyDescent="0.4">
      <c r="A314" s="12">
        <v>3750</v>
      </c>
      <c r="B314" s="21" t="s">
        <v>4888</v>
      </c>
      <c r="C314" s="13" t="s">
        <v>4889</v>
      </c>
      <c r="D314" s="25" t="s">
        <v>4889</v>
      </c>
      <c r="E314" s="13"/>
      <c r="F314" s="41"/>
      <c r="G314" s="65" t="s">
        <v>8185</v>
      </c>
      <c r="H314" s="14" t="s">
        <v>3090</v>
      </c>
      <c r="I314" s="15">
        <v>44769</v>
      </c>
      <c r="J314" t="s">
        <v>2719</v>
      </c>
      <c r="K314" t="s">
        <v>51</v>
      </c>
      <c r="L314" t="s">
        <v>52</v>
      </c>
      <c r="M314" t="s">
        <v>53</v>
      </c>
      <c r="N314" t="s">
        <v>871</v>
      </c>
      <c r="O314" t="s">
        <v>4864</v>
      </c>
      <c r="P314" t="s">
        <v>56</v>
      </c>
      <c r="Q314" s="21" t="s">
        <v>4865</v>
      </c>
      <c r="R314" s="21"/>
      <c r="S314" t="s">
        <v>4890</v>
      </c>
      <c r="T314" t="s">
        <v>4891</v>
      </c>
      <c r="W314" t="s">
        <v>1758</v>
      </c>
      <c r="X314" t="s">
        <v>3096</v>
      </c>
      <c r="Z314" s="15"/>
      <c r="AB314">
        <v>42.412246000000003</v>
      </c>
      <c r="AC314">
        <v>-83.988105000000004</v>
      </c>
      <c r="AD314" t="s">
        <v>4892</v>
      </c>
      <c r="AG314" t="s">
        <v>1715</v>
      </c>
      <c r="AH314" t="s">
        <v>63</v>
      </c>
      <c r="AI314" t="s">
        <v>4893</v>
      </c>
      <c r="AJ314">
        <v>194557</v>
      </c>
      <c r="AL314" t="s">
        <v>4894</v>
      </c>
      <c r="AM314" t="s">
        <v>4895</v>
      </c>
      <c r="AN314" t="s">
        <v>4896</v>
      </c>
      <c r="AO314" t="s">
        <v>68</v>
      </c>
      <c r="AQ314" t="s">
        <v>4897</v>
      </c>
      <c r="AR314" t="s">
        <v>4898</v>
      </c>
      <c r="AS314" t="s">
        <v>4899</v>
      </c>
      <c r="AV314" s="14" t="s">
        <v>72</v>
      </c>
      <c r="AW314" s="14" t="s">
        <v>73</v>
      </c>
      <c r="AX314" s="14" t="s">
        <v>74</v>
      </c>
    </row>
    <row r="315" spans="1:50" ht="15" customHeight="1" x14ac:dyDescent="0.4">
      <c r="A315" s="12">
        <v>3751</v>
      </c>
      <c r="B315" s="21" t="s">
        <v>4900</v>
      </c>
      <c r="C315" s="13" t="s">
        <v>4901</v>
      </c>
      <c r="D315" s="25" t="s">
        <v>4901</v>
      </c>
      <c r="E315" s="13"/>
      <c r="F315" s="41"/>
      <c r="G315" s="65" t="s">
        <v>8185</v>
      </c>
      <c r="H315" s="14" t="s">
        <v>3090</v>
      </c>
      <c r="I315" s="15">
        <v>44769</v>
      </c>
      <c r="J315" t="s">
        <v>2719</v>
      </c>
      <c r="K315" t="s">
        <v>51</v>
      </c>
      <c r="L315" t="s">
        <v>52</v>
      </c>
      <c r="M315" t="s">
        <v>53</v>
      </c>
      <c r="N315" t="s">
        <v>871</v>
      </c>
      <c r="O315" t="s">
        <v>4864</v>
      </c>
      <c r="P315" t="s">
        <v>56</v>
      </c>
      <c r="Q315" s="21" t="s">
        <v>4865</v>
      </c>
      <c r="R315" s="21"/>
      <c r="S315" t="s">
        <v>4902</v>
      </c>
      <c r="T315" t="s">
        <v>4903</v>
      </c>
      <c r="W315" t="s">
        <v>1758</v>
      </c>
      <c r="X315" t="s">
        <v>3096</v>
      </c>
      <c r="Z315" s="15"/>
      <c r="AB315">
        <v>42.411929999999998</v>
      </c>
      <c r="AC315">
        <v>-83.987283000000005</v>
      </c>
      <c r="AD315" t="s">
        <v>4904</v>
      </c>
      <c r="AG315" t="s">
        <v>1715</v>
      </c>
      <c r="AH315" t="s">
        <v>63</v>
      </c>
      <c r="AI315" t="s">
        <v>4905</v>
      </c>
      <c r="AJ315">
        <v>194556</v>
      </c>
      <c r="AL315" t="s">
        <v>4906</v>
      </c>
      <c r="AM315" t="s">
        <v>4907</v>
      </c>
      <c r="AN315" t="s">
        <v>4908</v>
      </c>
      <c r="AO315" t="s">
        <v>68</v>
      </c>
      <c r="AQ315" t="s">
        <v>4909</v>
      </c>
      <c r="AR315" t="s">
        <v>4910</v>
      </c>
      <c r="AS315" t="s">
        <v>4911</v>
      </c>
      <c r="AV315" s="14" t="s">
        <v>72</v>
      </c>
      <c r="AW315" s="14" t="s">
        <v>73</v>
      </c>
      <c r="AX315" s="14" t="s">
        <v>74</v>
      </c>
    </row>
    <row r="316" spans="1:50" ht="15" customHeight="1" x14ac:dyDescent="0.4">
      <c r="A316" s="12">
        <v>3752</v>
      </c>
      <c r="B316" s="21" t="s">
        <v>4912</v>
      </c>
      <c r="C316" s="13" t="s">
        <v>4913</v>
      </c>
      <c r="D316" s="25" t="s">
        <v>4913</v>
      </c>
      <c r="E316" s="13"/>
      <c r="F316" s="41"/>
      <c r="G316" s="65" t="s">
        <v>8185</v>
      </c>
      <c r="H316" s="14" t="s">
        <v>1878</v>
      </c>
      <c r="I316" s="15">
        <v>44769</v>
      </c>
      <c r="J316" t="s">
        <v>2719</v>
      </c>
      <c r="K316" t="s">
        <v>51</v>
      </c>
      <c r="L316" t="s">
        <v>52</v>
      </c>
      <c r="M316" t="s">
        <v>53</v>
      </c>
      <c r="N316" t="s">
        <v>871</v>
      </c>
      <c r="O316" t="s">
        <v>4864</v>
      </c>
      <c r="P316" t="s">
        <v>56</v>
      </c>
      <c r="Q316" s="21" t="s">
        <v>4865</v>
      </c>
      <c r="R316" s="21"/>
      <c r="S316" t="s">
        <v>4914</v>
      </c>
      <c r="T316" t="s">
        <v>4915</v>
      </c>
      <c r="X316" t="s">
        <v>1881</v>
      </c>
      <c r="Z316" s="15"/>
      <c r="AB316">
        <v>42.411619999999999</v>
      </c>
      <c r="AC316">
        <v>-83.985316999999995</v>
      </c>
      <c r="AD316" t="s">
        <v>4916</v>
      </c>
      <c r="AG316" t="s">
        <v>1715</v>
      </c>
      <c r="AH316" t="s">
        <v>63</v>
      </c>
      <c r="AI316" t="s">
        <v>4917</v>
      </c>
      <c r="AJ316">
        <v>192536</v>
      </c>
      <c r="AL316" t="s">
        <v>4918</v>
      </c>
      <c r="AM316" t="s">
        <v>4919</v>
      </c>
      <c r="AN316" t="s">
        <v>4920</v>
      </c>
      <c r="AO316" t="s">
        <v>68</v>
      </c>
      <c r="AQ316" t="s">
        <v>4921</v>
      </c>
      <c r="AR316" t="s">
        <v>4922</v>
      </c>
      <c r="AS316" t="s">
        <v>4923</v>
      </c>
      <c r="AV316" s="14" t="s">
        <v>72</v>
      </c>
      <c r="AW316" s="14" t="s">
        <v>73</v>
      </c>
      <c r="AX316" s="14" t="s">
        <v>1723</v>
      </c>
    </row>
    <row r="317" spans="1:50" ht="15" customHeight="1" x14ac:dyDescent="0.4">
      <c r="A317" s="12">
        <v>3753</v>
      </c>
      <c r="B317" s="21" t="s">
        <v>4924</v>
      </c>
      <c r="C317" s="13" t="s">
        <v>4925</v>
      </c>
      <c r="D317" s="25" t="s">
        <v>4925</v>
      </c>
      <c r="E317" s="13"/>
      <c r="F317" s="41"/>
      <c r="G317" s="65" t="s">
        <v>8180</v>
      </c>
      <c r="H317" s="14" t="s">
        <v>3090</v>
      </c>
      <c r="I317" s="15">
        <v>44769</v>
      </c>
      <c r="J317" t="s">
        <v>2719</v>
      </c>
      <c r="K317" t="s">
        <v>51</v>
      </c>
      <c r="L317" t="s">
        <v>52</v>
      </c>
      <c r="M317" t="s">
        <v>53</v>
      </c>
      <c r="N317" t="s">
        <v>871</v>
      </c>
      <c r="O317" t="s">
        <v>4864</v>
      </c>
      <c r="P317" t="s">
        <v>56</v>
      </c>
      <c r="Q317" s="21" t="s">
        <v>4865</v>
      </c>
      <c r="R317" s="21"/>
      <c r="S317" t="s">
        <v>4926</v>
      </c>
      <c r="T317" t="s">
        <v>4927</v>
      </c>
      <c r="X317" t="s">
        <v>3096</v>
      </c>
      <c r="Z317" s="15"/>
      <c r="AB317">
        <v>42.411672000000003</v>
      </c>
      <c r="AC317">
        <v>-83.985433</v>
      </c>
      <c r="AD317" t="s">
        <v>4928</v>
      </c>
      <c r="AG317" t="s">
        <v>1715</v>
      </c>
      <c r="AH317" t="s">
        <v>63</v>
      </c>
      <c r="AI317" t="s">
        <v>4929</v>
      </c>
      <c r="AJ317">
        <v>194555</v>
      </c>
      <c r="AL317" t="s">
        <v>4930</v>
      </c>
      <c r="AM317" t="s">
        <v>4931</v>
      </c>
      <c r="AN317" t="s">
        <v>4932</v>
      </c>
      <c r="AO317" t="s">
        <v>68</v>
      </c>
      <c r="AQ317" t="s">
        <v>4933</v>
      </c>
      <c r="AR317" t="s">
        <v>4934</v>
      </c>
      <c r="AS317" t="s">
        <v>4935</v>
      </c>
      <c r="AV317" s="14" t="s">
        <v>72</v>
      </c>
      <c r="AW317" s="14" t="s">
        <v>73</v>
      </c>
      <c r="AX317" s="14" t="s">
        <v>74</v>
      </c>
    </row>
    <row r="318" spans="1:50" ht="15" customHeight="1" x14ac:dyDescent="0.4">
      <c r="A318" s="12">
        <v>3754</v>
      </c>
      <c r="B318" s="21" t="s">
        <v>4936</v>
      </c>
      <c r="C318" s="13" t="s">
        <v>4937</v>
      </c>
      <c r="D318" s="25" t="s">
        <v>4937</v>
      </c>
      <c r="E318" s="13"/>
      <c r="F318" s="41"/>
      <c r="G318" s="65" t="s">
        <v>8185</v>
      </c>
      <c r="H318" s="14" t="s">
        <v>1878</v>
      </c>
      <c r="I318" s="15">
        <v>44769</v>
      </c>
      <c r="J318" t="s">
        <v>2719</v>
      </c>
      <c r="K318" t="s">
        <v>51</v>
      </c>
      <c r="L318" t="s">
        <v>52</v>
      </c>
      <c r="M318" t="s">
        <v>53</v>
      </c>
      <c r="N318" t="s">
        <v>871</v>
      </c>
      <c r="O318" t="s">
        <v>4864</v>
      </c>
      <c r="P318" t="s">
        <v>56</v>
      </c>
      <c r="Q318" s="21" t="s">
        <v>4865</v>
      </c>
      <c r="R318" s="21"/>
      <c r="S318" t="s">
        <v>4938</v>
      </c>
      <c r="T318" t="s">
        <v>4939</v>
      </c>
      <c r="X318" t="s">
        <v>1881</v>
      </c>
      <c r="Z318" s="15"/>
      <c r="AB318">
        <v>42.411777000000001</v>
      </c>
      <c r="AC318">
        <v>-83.984634999999997</v>
      </c>
      <c r="AD318" t="s">
        <v>4940</v>
      </c>
      <c r="AG318" t="s">
        <v>1715</v>
      </c>
      <c r="AH318" t="s">
        <v>63</v>
      </c>
      <c r="AI318" t="s">
        <v>4941</v>
      </c>
      <c r="AJ318">
        <v>192534</v>
      </c>
      <c r="AL318" t="s">
        <v>4942</v>
      </c>
      <c r="AM318" t="s">
        <v>4943</v>
      </c>
      <c r="AN318" t="s">
        <v>4944</v>
      </c>
      <c r="AO318" t="s">
        <v>68</v>
      </c>
      <c r="AQ318" t="s">
        <v>4945</v>
      </c>
      <c r="AR318" t="s">
        <v>4946</v>
      </c>
      <c r="AS318" t="s">
        <v>4947</v>
      </c>
      <c r="AV318" s="14" t="s">
        <v>72</v>
      </c>
      <c r="AW318" s="14" t="s">
        <v>73</v>
      </c>
      <c r="AX318" s="14" t="s">
        <v>1723</v>
      </c>
    </row>
    <row r="319" spans="1:50" ht="15" customHeight="1" x14ac:dyDescent="0.4">
      <c r="A319" s="12">
        <v>3755</v>
      </c>
      <c r="B319" s="21" t="s">
        <v>4948</v>
      </c>
      <c r="C319" s="13" t="s">
        <v>4949</v>
      </c>
      <c r="D319" s="25" t="s">
        <v>4949</v>
      </c>
      <c r="E319" s="13"/>
      <c r="F319" s="41"/>
      <c r="G319" s="65" t="s">
        <v>8185</v>
      </c>
      <c r="H319" s="14" t="s">
        <v>1878</v>
      </c>
      <c r="I319" s="15">
        <v>44769</v>
      </c>
      <c r="J319" t="s">
        <v>2719</v>
      </c>
      <c r="K319" t="s">
        <v>51</v>
      </c>
      <c r="L319" t="s">
        <v>52</v>
      </c>
      <c r="M319" t="s">
        <v>53</v>
      </c>
      <c r="N319" t="s">
        <v>871</v>
      </c>
      <c r="O319" t="s">
        <v>4864</v>
      </c>
      <c r="P319" t="s">
        <v>56</v>
      </c>
      <c r="Q319" s="21" t="s">
        <v>4865</v>
      </c>
      <c r="R319" s="21"/>
      <c r="S319" t="s">
        <v>4950</v>
      </c>
      <c r="T319" t="s">
        <v>4951</v>
      </c>
      <c r="X319" t="s">
        <v>1881</v>
      </c>
      <c r="Z319" s="15"/>
      <c r="AB319">
        <v>42.411445000000001</v>
      </c>
      <c r="AC319">
        <v>-83.983795000000001</v>
      </c>
      <c r="AD319" t="s">
        <v>4952</v>
      </c>
      <c r="AG319" t="s">
        <v>1715</v>
      </c>
      <c r="AH319" t="s">
        <v>63</v>
      </c>
      <c r="AI319" t="s">
        <v>4953</v>
      </c>
      <c r="AJ319">
        <v>194208</v>
      </c>
      <c r="AL319" t="s">
        <v>4954</v>
      </c>
      <c r="AM319" t="s">
        <v>4955</v>
      </c>
      <c r="AN319" t="s">
        <v>4956</v>
      </c>
      <c r="AO319" t="s">
        <v>68</v>
      </c>
      <c r="AQ319" t="s">
        <v>4957</v>
      </c>
      <c r="AR319" t="s">
        <v>4958</v>
      </c>
      <c r="AS319" t="s">
        <v>4959</v>
      </c>
      <c r="AV319" s="14" t="s">
        <v>72</v>
      </c>
      <c r="AW319" s="14" t="s">
        <v>73</v>
      </c>
      <c r="AX319" s="14" t="s">
        <v>1723</v>
      </c>
    </row>
    <row r="320" spans="1:50" ht="15" customHeight="1" x14ac:dyDescent="0.4">
      <c r="A320" s="12">
        <v>3756</v>
      </c>
      <c r="B320" s="21" t="s">
        <v>4960</v>
      </c>
      <c r="C320" s="13" t="s">
        <v>4961</v>
      </c>
      <c r="D320" s="25" t="s">
        <v>4961</v>
      </c>
      <c r="E320" s="13"/>
      <c r="F320" s="41"/>
      <c r="G320" s="65" t="s">
        <v>8185</v>
      </c>
      <c r="H320" s="14" t="s">
        <v>1878</v>
      </c>
      <c r="I320" s="15">
        <v>44769</v>
      </c>
      <c r="J320" t="s">
        <v>2719</v>
      </c>
      <c r="K320" t="s">
        <v>51</v>
      </c>
      <c r="L320" t="s">
        <v>52</v>
      </c>
      <c r="M320" t="s">
        <v>53</v>
      </c>
      <c r="N320" t="s">
        <v>871</v>
      </c>
      <c r="O320" t="s">
        <v>4864</v>
      </c>
      <c r="P320" t="s">
        <v>56</v>
      </c>
      <c r="Q320" s="21" t="s">
        <v>4865</v>
      </c>
      <c r="R320" s="21"/>
      <c r="S320" t="s">
        <v>4962</v>
      </c>
      <c r="T320" t="s">
        <v>4963</v>
      </c>
      <c r="X320" t="s">
        <v>1881</v>
      </c>
      <c r="Z320" s="15"/>
      <c r="AB320">
        <v>42.411288999999996</v>
      </c>
      <c r="AC320">
        <v>-83.982500999999999</v>
      </c>
      <c r="AD320" t="s">
        <v>4631</v>
      </c>
      <c r="AG320" t="s">
        <v>1715</v>
      </c>
      <c r="AH320" t="s">
        <v>63</v>
      </c>
      <c r="AI320" t="s">
        <v>4964</v>
      </c>
      <c r="AJ320">
        <v>194209</v>
      </c>
      <c r="AL320" t="s">
        <v>4965</v>
      </c>
      <c r="AM320" t="s">
        <v>4966</v>
      </c>
      <c r="AN320" t="s">
        <v>4967</v>
      </c>
      <c r="AO320" t="s">
        <v>68</v>
      </c>
      <c r="AQ320" t="s">
        <v>4968</v>
      </c>
      <c r="AR320" t="s">
        <v>4969</v>
      </c>
      <c r="AS320" t="s">
        <v>4970</v>
      </c>
      <c r="AV320" s="14" t="s">
        <v>72</v>
      </c>
      <c r="AW320" s="14" t="s">
        <v>73</v>
      </c>
      <c r="AX320" s="14" t="s">
        <v>1723</v>
      </c>
    </row>
    <row r="321" spans="1:50" ht="15" customHeight="1" x14ac:dyDescent="0.4">
      <c r="A321" s="12">
        <v>3757</v>
      </c>
      <c r="B321" s="21" t="s">
        <v>4971</v>
      </c>
      <c r="C321" s="13" t="s">
        <v>4972</v>
      </c>
      <c r="D321" s="25" t="s">
        <v>4972</v>
      </c>
      <c r="E321" s="13"/>
      <c r="F321" s="41"/>
      <c r="G321" s="65" t="s">
        <v>8185</v>
      </c>
      <c r="H321" s="14" t="s">
        <v>2222</v>
      </c>
      <c r="I321" s="15">
        <v>44769</v>
      </c>
      <c r="J321" t="s">
        <v>2719</v>
      </c>
      <c r="K321" t="s">
        <v>51</v>
      </c>
      <c r="L321" t="s">
        <v>52</v>
      </c>
      <c r="M321" t="s">
        <v>53</v>
      </c>
      <c r="N321" t="s">
        <v>871</v>
      </c>
      <c r="O321" t="s">
        <v>4864</v>
      </c>
      <c r="P321" t="s">
        <v>56</v>
      </c>
      <c r="Q321" s="21" t="s">
        <v>4865</v>
      </c>
      <c r="R321" s="21"/>
      <c r="S321" t="s">
        <v>4973</v>
      </c>
      <c r="T321" t="s">
        <v>4974</v>
      </c>
      <c r="W321" t="s">
        <v>1758</v>
      </c>
      <c r="X321" t="s">
        <v>2225</v>
      </c>
      <c r="Z321" s="15"/>
      <c r="AB321">
        <v>42.416812</v>
      </c>
      <c r="AC321">
        <v>-83.997923999999998</v>
      </c>
      <c r="AD321" t="s">
        <v>4975</v>
      </c>
      <c r="AG321" t="s">
        <v>1715</v>
      </c>
      <c r="AH321" t="s">
        <v>63</v>
      </c>
      <c r="AI321" t="s">
        <v>4976</v>
      </c>
      <c r="AJ321">
        <v>192605</v>
      </c>
      <c r="AL321" t="s">
        <v>4977</v>
      </c>
      <c r="AM321" t="s">
        <v>4978</v>
      </c>
      <c r="AN321" t="s">
        <v>4979</v>
      </c>
      <c r="AO321" t="s">
        <v>68</v>
      </c>
      <c r="AQ321" t="s">
        <v>4980</v>
      </c>
      <c r="AR321" t="s">
        <v>4981</v>
      </c>
      <c r="AS321" t="s">
        <v>4982</v>
      </c>
      <c r="AV321" s="14" t="s">
        <v>72</v>
      </c>
      <c r="AW321" s="14" t="s">
        <v>73</v>
      </c>
      <c r="AX321" s="14" t="s">
        <v>74</v>
      </c>
    </row>
    <row r="322" spans="1:50" ht="15" customHeight="1" x14ac:dyDescent="0.4">
      <c r="A322" s="12">
        <v>3758</v>
      </c>
      <c r="B322" s="21" t="s">
        <v>4983</v>
      </c>
      <c r="C322" s="13" t="s">
        <v>4984</v>
      </c>
      <c r="D322" s="25" t="s">
        <v>4984</v>
      </c>
      <c r="E322" s="13"/>
      <c r="F322" s="41"/>
      <c r="G322" s="65" t="s">
        <v>8185</v>
      </c>
      <c r="H322" s="14" t="s">
        <v>2222</v>
      </c>
      <c r="I322" s="15">
        <v>44769</v>
      </c>
      <c r="J322" t="s">
        <v>2719</v>
      </c>
      <c r="K322" t="s">
        <v>51</v>
      </c>
      <c r="L322" t="s">
        <v>52</v>
      </c>
      <c r="M322" t="s">
        <v>53</v>
      </c>
      <c r="N322" t="s">
        <v>871</v>
      </c>
      <c r="O322" t="s">
        <v>4864</v>
      </c>
      <c r="P322" t="s">
        <v>56</v>
      </c>
      <c r="Q322" s="21" t="s">
        <v>4865</v>
      </c>
      <c r="R322" s="21"/>
      <c r="S322" t="s">
        <v>4985</v>
      </c>
      <c r="T322" t="s">
        <v>4986</v>
      </c>
      <c r="W322" t="s">
        <v>1758</v>
      </c>
      <c r="X322" t="s">
        <v>2225</v>
      </c>
      <c r="Z322" s="15"/>
      <c r="AB322">
        <v>42.417439999999999</v>
      </c>
      <c r="AC322">
        <v>-83.999618999999996</v>
      </c>
      <c r="AD322" t="s">
        <v>3862</v>
      </c>
      <c r="AG322" t="s">
        <v>1715</v>
      </c>
      <c r="AH322" t="s">
        <v>63</v>
      </c>
      <c r="AI322" t="s">
        <v>4987</v>
      </c>
      <c r="AJ322">
        <v>192671</v>
      </c>
      <c r="AL322" t="s">
        <v>4988</v>
      </c>
      <c r="AM322" t="s">
        <v>4989</v>
      </c>
      <c r="AN322" t="s">
        <v>4990</v>
      </c>
      <c r="AO322" t="s">
        <v>68</v>
      </c>
      <c r="AQ322" t="s">
        <v>4991</v>
      </c>
      <c r="AR322" t="s">
        <v>4992</v>
      </c>
      <c r="AS322" t="s">
        <v>4993</v>
      </c>
      <c r="AV322" s="14" t="s">
        <v>72</v>
      </c>
      <c r="AW322" s="14" t="s">
        <v>73</v>
      </c>
      <c r="AX322" s="14" t="s">
        <v>74</v>
      </c>
    </row>
    <row r="323" spans="1:50" ht="15" customHeight="1" x14ac:dyDescent="0.4">
      <c r="A323" s="12">
        <v>3759</v>
      </c>
      <c r="B323" s="21" t="s">
        <v>4994</v>
      </c>
      <c r="C323" s="13" t="s">
        <v>4995</v>
      </c>
      <c r="D323" s="25" t="s">
        <v>4995</v>
      </c>
      <c r="E323" s="13"/>
      <c r="F323" s="41"/>
      <c r="G323" s="65" t="s">
        <v>8185</v>
      </c>
      <c r="H323" s="14" t="s">
        <v>2222</v>
      </c>
      <c r="I323" s="15">
        <v>44769</v>
      </c>
      <c r="J323" t="s">
        <v>2719</v>
      </c>
      <c r="K323" t="s">
        <v>51</v>
      </c>
      <c r="L323" t="s">
        <v>52</v>
      </c>
      <c r="M323" t="s">
        <v>53</v>
      </c>
      <c r="N323" t="s">
        <v>871</v>
      </c>
      <c r="O323" t="s">
        <v>4864</v>
      </c>
      <c r="P323" t="s">
        <v>56</v>
      </c>
      <c r="Q323" s="21" t="s">
        <v>4865</v>
      </c>
      <c r="R323" s="21"/>
      <c r="S323" t="s">
        <v>4996</v>
      </c>
      <c r="T323" t="s">
        <v>4997</v>
      </c>
      <c r="W323" t="s">
        <v>2321</v>
      </c>
      <c r="X323" t="s">
        <v>2225</v>
      </c>
      <c r="Z323" s="15"/>
      <c r="AB323">
        <v>42.416401</v>
      </c>
      <c r="AC323">
        <v>-83.400390700000003</v>
      </c>
      <c r="AD323" t="s">
        <v>4631</v>
      </c>
      <c r="AG323" t="s">
        <v>1715</v>
      </c>
      <c r="AH323" t="s">
        <v>63</v>
      </c>
      <c r="AI323" t="s">
        <v>4998</v>
      </c>
      <c r="AJ323">
        <v>192600</v>
      </c>
      <c r="AL323" t="s">
        <v>4999</v>
      </c>
      <c r="AM323" t="s">
        <v>5000</v>
      </c>
      <c r="AN323" t="s">
        <v>5001</v>
      </c>
      <c r="AO323" t="s">
        <v>68</v>
      </c>
      <c r="AQ323" t="s">
        <v>5002</v>
      </c>
      <c r="AR323" t="s">
        <v>5003</v>
      </c>
      <c r="AS323" t="s">
        <v>5004</v>
      </c>
      <c r="AV323" s="14" t="s">
        <v>72</v>
      </c>
      <c r="AW323" s="14" t="s">
        <v>73</v>
      </c>
      <c r="AX323" s="14" t="s">
        <v>74</v>
      </c>
    </row>
    <row r="324" spans="1:50" ht="15" customHeight="1" x14ac:dyDescent="0.4">
      <c r="A324" s="12">
        <v>3760</v>
      </c>
      <c r="B324" s="21" t="s">
        <v>5005</v>
      </c>
      <c r="C324" s="13" t="s">
        <v>5006</v>
      </c>
      <c r="D324" s="25" t="s">
        <v>5006</v>
      </c>
      <c r="E324" s="13"/>
      <c r="F324" s="41"/>
      <c r="G324" s="65" t="s">
        <v>8185</v>
      </c>
      <c r="H324" s="14" t="s">
        <v>2222</v>
      </c>
      <c r="I324" s="15">
        <v>44769</v>
      </c>
      <c r="J324" t="s">
        <v>2719</v>
      </c>
      <c r="K324" t="s">
        <v>51</v>
      </c>
      <c r="L324" t="s">
        <v>52</v>
      </c>
      <c r="M324" t="s">
        <v>53</v>
      </c>
      <c r="N324" t="s">
        <v>871</v>
      </c>
      <c r="O324" t="s">
        <v>4864</v>
      </c>
      <c r="P324" t="s">
        <v>56</v>
      </c>
      <c r="Q324" s="21" t="s">
        <v>4865</v>
      </c>
      <c r="R324" s="21"/>
      <c r="S324" t="s">
        <v>5007</v>
      </c>
      <c r="T324" t="s">
        <v>5008</v>
      </c>
      <c r="X324" t="s">
        <v>2225</v>
      </c>
      <c r="Z324" s="15"/>
      <c r="AB324">
        <v>42.418191</v>
      </c>
      <c r="AC324">
        <v>-84.002222000000003</v>
      </c>
      <c r="AD324" t="s">
        <v>5009</v>
      </c>
      <c r="AG324" t="s">
        <v>1715</v>
      </c>
      <c r="AH324" t="s">
        <v>63</v>
      </c>
      <c r="AI324" t="s">
        <v>5010</v>
      </c>
      <c r="AJ324">
        <v>192617</v>
      </c>
      <c r="AL324" t="s">
        <v>5011</v>
      </c>
      <c r="AM324" t="s">
        <v>5012</v>
      </c>
      <c r="AN324" t="s">
        <v>5013</v>
      </c>
      <c r="AO324" t="s">
        <v>68</v>
      </c>
      <c r="AQ324" t="s">
        <v>5014</v>
      </c>
      <c r="AR324" t="s">
        <v>5015</v>
      </c>
      <c r="AS324" t="s">
        <v>5016</v>
      </c>
      <c r="AV324" s="14" t="s">
        <v>72</v>
      </c>
      <c r="AW324" s="14" t="s">
        <v>73</v>
      </c>
      <c r="AX324" s="14" t="s">
        <v>74</v>
      </c>
    </row>
    <row r="325" spans="1:50" ht="15" customHeight="1" x14ac:dyDescent="0.4">
      <c r="A325" s="12">
        <v>3761</v>
      </c>
      <c r="B325" s="21" t="s">
        <v>5017</v>
      </c>
      <c r="C325" s="13" t="s">
        <v>5018</v>
      </c>
      <c r="D325" s="25" t="s">
        <v>5018</v>
      </c>
      <c r="E325" s="13"/>
      <c r="F325" s="41" t="s">
        <v>8119</v>
      </c>
      <c r="G325" s="65" t="s">
        <v>8185</v>
      </c>
      <c r="H325" s="14" t="s">
        <v>49</v>
      </c>
      <c r="I325" s="15">
        <v>44769</v>
      </c>
      <c r="J325" t="s">
        <v>2719</v>
      </c>
      <c r="K325" t="s">
        <v>51</v>
      </c>
      <c r="L325" t="s">
        <v>52</v>
      </c>
      <c r="M325" t="s">
        <v>53</v>
      </c>
      <c r="N325" t="s">
        <v>871</v>
      </c>
      <c r="O325" t="s">
        <v>4864</v>
      </c>
      <c r="P325" t="s">
        <v>56</v>
      </c>
      <c r="Q325" s="21" t="s">
        <v>4865</v>
      </c>
      <c r="R325" s="21"/>
      <c r="S325" t="s">
        <v>5019</v>
      </c>
      <c r="T325" t="s">
        <v>5020</v>
      </c>
      <c r="X325" t="s">
        <v>60</v>
      </c>
      <c r="Z325" s="15"/>
      <c r="AB325">
        <v>42.407538000000002</v>
      </c>
      <c r="AC325">
        <v>-83.986305000000002</v>
      </c>
      <c r="AD325" t="s">
        <v>4880</v>
      </c>
      <c r="AG325" t="s">
        <v>1715</v>
      </c>
      <c r="AH325" t="s">
        <v>63</v>
      </c>
      <c r="AI325" t="s">
        <v>5021</v>
      </c>
      <c r="AJ325">
        <v>192556</v>
      </c>
      <c r="AL325" t="s">
        <v>5022</v>
      </c>
      <c r="AM325" t="s">
        <v>5023</v>
      </c>
      <c r="AN325" t="s">
        <v>5024</v>
      </c>
      <c r="AO325" t="s">
        <v>68</v>
      </c>
      <c r="AQ325" t="s">
        <v>5025</v>
      </c>
      <c r="AR325" t="s">
        <v>5026</v>
      </c>
      <c r="AS325" t="s">
        <v>5027</v>
      </c>
      <c r="AV325" s="14" t="s">
        <v>72</v>
      </c>
      <c r="AW325" s="14" t="s">
        <v>73</v>
      </c>
      <c r="AX325" s="14" t="s">
        <v>74</v>
      </c>
    </row>
    <row r="326" spans="1:50" ht="15" customHeight="1" x14ac:dyDescent="0.4">
      <c r="A326" s="12">
        <v>3762</v>
      </c>
      <c r="B326" s="21" t="s">
        <v>5028</v>
      </c>
      <c r="C326" s="13" t="s">
        <v>5029</v>
      </c>
      <c r="D326" s="25" t="s">
        <v>5029</v>
      </c>
      <c r="E326" s="13"/>
      <c r="F326" s="41"/>
      <c r="G326" s="65" t="s">
        <v>8185</v>
      </c>
      <c r="H326" s="14" t="s">
        <v>49</v>
      </c>
      <c r="I326" s="15">
        <v>44769</v>
      </c>
      <c r="J326" t="s">
        <v>2719</v>
      </c>
      <c r="K326" t="s">
        <v>51</v>
      </c>
      <c r="L326" t="s">
        <v>52</v>
      </c>
      <c r="M326" t="s">
        <v>53</v>
      </c>
      <c r="N326" t="s">
        <v>871</v>
      </c>
      <c r="O326" t="s">
        <v>5030</v>
      </c>
      <c r="P326" t="s">
        <v>56</v>
      </c>
      <c r="Q326" s="21" t="s">
        <v>4865</v>
      </c>
      <c r="R326" s="21"/>
      <c r="S326" t="s">
        <v>5031</v>
      </c>
      <c r="T326" t="s">
        <v>5032</v>
      </c>
      <c r="X326" t="s">
        <v>60</v>
      </c>
      <c r="Z326" s="15"/>
      <c r="AB326">
        <v>42.4465</v>
      </c>
      <c r="AC326">
        <v>-84.002319999999997</v>
      </c>
      <c r="AD326" t="s">
        <v>4609</v>
      </c>
      <c r="AG326" t="s">
        <v>1715</v>
      </c>
      <c r="AH326" t="s">
        <v>63</v>
      </c>
      <c r="AI326" t="s">
        <v>5033</v>
      </c>
      <c r="AJ326">
        <v>194460</v>
      </c>
      <c r="AL326" t="s">
        <v>5034</v>
      </c>
      <c r="AM326" t="s">
        <v>5035</v>
      </c>
      <c r="AN326" t="s">
        <v>5036</v>
      </c>
      <c r="AO326" t="s">
        <v>68</v>
      </c>
      <c r="AQ326" t="s">
        <v>5037</v>
      </c>
      <c r="AR326" t="s">
        <v>5038</v>
      </c>
      <c r="AS326" t="s">
        <v>5039</v>
      </c>
      <c r="AV326" s="14" t="s">
        <v>72</v>
      </c>
      <c r="AW326" s="14" t="s">
        <v>73</v>
      </c>
      <c r="AX326" s="14" t="s">
        <v>74</v>
      </c>
    </row>
    <row r="327" spans="1:50" ht="15" customHeight="1" x14ac:dyDescent="0.4">
      <c r="A327" s="12">
        <v>3763</v>
      </c>
      <c r="B327" s="21" t="s">
        <v>5040</v>
      </c>
      <c r="C327" s="13" t="s">
        <v>5041</v>
      </c>
      <c r="D327" s="25" t="s">
        <v>5041</v>
      </c>
      <c r="E327" s="13"/>
      <c r="F327" s="41"/>
      <c r="G327" s="65" t="s">
        <v>8185</v>
      </c>
      <c r="H327" s="14" t="s">
        <v>1878</v>
      </c>
      <c r="I327" s="15">
        <v>44769</v>
      </c>
      <c r="J327" t="s">
        <v>2719</v>
      </c>
      <c r="K327" t="s">
        <v>51</v>
      </c>
      <c r="L327" t="s">
        <v>52</v>
      </c>
      <c r="M327" t="s">
        <v>53</v>
      </c>
      <c r="N327" t="s">
        <v>871</v>
      </c>
      <c r="O327" t="s">
        <v>5030</v>
      </c>
      <c r="P327" t="s">
        <v>56</v>
      </c>
      <c r="Q327" s="21" t="s">
        <v>4865</v>
      </c>
      <c r="R327" s="21"/>
      <c r="S327" t="s">
        <v>5042</v>
      </c>
      <c r="T327" t="s">
        <v>5043</v>
      </c>
      <c r="X327" t="s">
        <v>1881</v>
      </c>
      <c r="Z327" s="15"/>
      <c r="AB327">
        <v>42.446421000000001</v>
      </c>
      <c r="AC327">
        <v>-84.001964000000001</v>
      </c>
      <c r="AD327" t="s">
        <v>5044</v>
      </c>
      <c r="AG327" t="s">
        <v>1715</v>
      </c>
      <c r="AH327" t="s">
        <v>63</v>
      </c>
      <c r="AI327" t="s">
        <v>5045</v>
      </c>
      <c r="AJ327">
        <v>192532</v>
      </c>
      <c r="AL327" t="s">
        <v>5046</v>
      </c>
      <c r="AM327" t="s">
        <v>5047</v>
      </c>
      <c r="AN327" t="s">
        <v>5048</v>
      </c>
      <c r="AO327" t="s">
        <v>68</v>
      </c>
      <c r="AQ327" t="s">
        <v>5049</v>
      </c>
      <c r="AR327" t="s">
        <v>5050</v>
      </c>
      <c r="AS327" t="s">
        <v>5051</v>
      </c>
      <c r="AV327" s="14" t="s">
        <v>72</v>
      </c>
      <c r="AW327" s="14" t="s">
        <v>73</v>
      </c>
      <c r="AX327" s="14" t="s">
        <v>1723</v>
      </c>
    </row>
    <row r="328" spans="1:50" ht="15" customHeight="1" x14ac:dyDescent="0.4">
      <c r="A328" s="12">
        <v>3764</v>
      </c>
      <c r="B328" s="21" t="s">
        <v>5052</v>
      </c>
      <c r="C328" s="13" t="s">
        <v>5053</v>
      </c>
      <c r="D328" s="25" t="s">
        <v>5053</v>
      </c>
      <c r="E328" s="13"/>
      <c r="F328" s="41"/>
      <c r="G328" s="65" t="s">
        <v>8185</v>
      </c>
      <c r="H328" s="14" t="s">
        <v>49</v>
      </c>
      <c r="I328" s="15">
        <v>44769</v>
      </c>
      <c r="J328" t="s">
        <v>2719</v>
      </c>
      <c r="K328" t="s">
        <v>51</v>
      </c>
      <c r="L328" t="s">
        <v>52</v>
      </c>
      <c r="M328" t="s">
        <v>53</v>
      </c>
      <c r="N328" t="s">
        <v>871</v>
      </c>
      <c r="O328" t="s">
        <v>5030</v>
      </c>
      <c r="P328" t="s">
        <v>56</v>
      </c>
      <c r="Q328" s="21" t="s">
        <v>4865</v>
      </c>
      <c r="R328" s="21"/>
      <c r="S328" t="s">
        <v>5054</v>
      </c>
      <c r="T328" t="s">
        <v>5055</v>
      </c>
      <c r="X328" t="s">
        <v>60</v>
      </c>
      <c r="Z328" s="15"/>
      <c r="AB328">
        <v>42.446260000000002</v>
      </c>
      <c r="AC328">
        <v>-83.999114000000006</v>
      </c>
      <c r="AD328" t="s">
        <v>5056</v>
      </c>
      <c r="AG328" t="s">
        <v>1715</v>
      </c>
      <c r="AH328" t="s">
        <v>63</v>
      </c>
      <c r="AI328" t="s">
        <v>5057</v>
      </c>
      <c r="AJ328">
        <v>194459</v>
      </c>
      <c r="AL328" t="s">
        <v>5058</v>
      </c>
      <c r="AM328" t="s">
        <v>5059</v>
      </c>
      <c r="AN328" t="s">
        <v>5060</v>
      </c>
      <c r="AO328" t="s">
        <v>68</v>
      </c>
      <c r="AQ328" t="s">
        <v>5061</v>
      </c>
      <c r="AR328" t="s">
        <v>5062</v>
      </c>
      <c r="AS328" t="s">
        <v>5063</v>
      </c>
      <c r="AV328" s="14" t="s">
        <v>72</v>
      </c>
      <c r="AW328" s="14" t="s">
        <v>73</v>
      </c>
      <c r="AX328" s="14" t="s">
        <v>74</v>
      </c>
    </row>
    <row r="329" spans="1:50" ht="15" customHeight="1" x14ac:dyDescent="0.4">
      <c r="A329" s="12">
        <v>3765</v>
      </c>
      <c r="B329" s="21" t="s">
        <v>5064</v>
      </c>
      <c r="C329" s="13" t="s">
        <v>5065</v>
      </c>
      <c r="D329" s="25" t="s">
        <v>5065</v>
      </c>
      <c r="E329" s="13"/>
      <c r="F329" s="41"/>
      <c r="G329" s="65" t="s">
        <v>8185</v>
      </c>
      <c r="H329" s="14" t="s">
        <v>49</v>
      </c>
      <c r="I329" s="15">
        <v>44769</v>
      </c>
      <c r="J329" t="s">
        <v>2719</v>
      </c>
      <c r="K329" t="s">
        <v>51</v>
      </c>
      <c r="L329" t="s">
        <v>52</v>
      </c>
      <c r="M329" t="s">
        <v>53</v>
      </c>
      <c r="N329" t="s">
        <v>871</v>
      </c>
      <c r="O329" t="s">
        <v>5030</v>
      </c>
      <c r="P329" t="s">
        <v>56</v>
      </c>
      <c r="Q329" s="21" t="s">
        <v>4865</v>
      </c>
      <c r="R329" s="21"/>
      <c r="S329" t="s">
        <v>5066</v>
      </c>
      <c r="T329" t="s">
        <v>5067</v>
      </c>
      <c r="X329" t="s">
        <v>60</v>
      </c>
      <c r="Z329" s="15"/>
      <c r="AB329">
        <v>42.446264999999997</v>
      </c>
      <c r="AC329">
        <v>-83.998517000000007</v>
      </c>
      <c r="AD329" t="s">
        <v>5068</v>
      </c>
      <c r="AG329" t="s">
        <v>1715</v>
      </c>
      <c r="AH329" t="s">
        <v>63</v>
      </c>
      <c r="AI329" t="s">
        <v>5069</v>
      </c>
      <c r="AJ329">
        <v>192535</v>
      </c>
      <c r="AL329" t="s">
        <v>5070</v>
      </c>
      <c r="AM329" t="s">
        <v>5071</v>
      </c>
      <c r="AN329" t="s">
        <v>5072</v>
      </c>
      <c r="AO329" t="s">
        <v>68</v>
      </c>
      <c r="AQ329" t="s">
        <v>5073</v>
      </c>
      <c r="AR329" t="s">
        <v>5074</v>
      </c>
      <c r="AS329" t="s">
        <v>5075</v>
      </c>
      <c r="AV329" s="14" t="s">
        <v>72</v>
      </c>
      <c r="AW329" s="14" t="s">
        <v>73</v>
      </c>
      <c r="AX329" s="14" t="s">
        <v>74</v>
      </c>
    </row>
    <row r="330" spans="1:50" ht="15" customHeight="1" x14ac:dyDescent="0.4">
      <c r="A330" s="12">
        <v>3766</v>
      </c>
      <c r="B330" s="21" t="s">
        <v>5076</v>
      </c>
      <c r="C330" s="13" t="s">
        <v>5077</v>
      </c>
      <c r="D330" s="25" t="s">
        <v>5077</v>
      </c>
      <c r="E330" s="13"/>
      <c r="F330" s="41"/>
      <c r="G330" s="65" t="s">
        <v>8185</v>
      </c>
      <c r="H330" s="14" t="s">
        <v>49</v>
      </c>
      <c r="I330" s="15">
        <v>44769</v>
      </c>
      <c r="J330" t="s">
        <v>2719</v>
      </c>
      <c r="K330" t="s">
        <v>51</v>
      </c>
      <c r="L330" t="s">
        <v>52</v>
      </c>
      <c r="M330" t="s">
        <v>53</v>
      </c>
      <c r="N330" t="s">
        <v>871</v>
      </c>
      <c r="O330" t="s">
        <v>5030</v>
      </c>
      <c r="P330" t="s">
        <v>56</v>
      </c>
      <c r="Q330" s="21" t="s">
        <v>4865</v>
      </c>
      <c r="R330" s="21"/>
      <c r="S330" t="s">
        <v>5078</v>
      </c>
      <c r="T330" t="s">
        <v>5079</v>
      </c>
      <c r="X330" t="s">
        <v>60</v>
      </c>
      <c r="Z330" s="15"/>
      <c r="AB330">
        <v>42.446328000000001</v>
      </c>
      <c r="AC330">
        <v>-83.997733999999994</v>
      </c>
      <c r="AD330" t="s">
        <v>4575</v>
      </c>
      <c r="AG330" t="s">
        <v>1715</v>
      </c>
      <c r="AH330" t="s">
        <v>63</v>
      </c>
      <c r="AI330" t="s">
        <v>5080</v>
      </c>
      <c r="AJ330">
        <v>194454</v>
      </c>
      <c r="AL330" t="s">
        <v>5081</v>
      </c>
      <c r="AM330" t="s">
        <v>5082</v>
      </c>
      <c r="AN330" t="s">
        <v>5083</v>
      </c>
      <c r="AO330" t="s">
        <v>68</v>
      </c>
      <c r="AQ330" t="s">
        <v>5084</v>
      </c>
      <c r="AR330" t="s">
        <v>5085</v>
      </c>
      <c r="AS330" t="s">
        <v>5086</v>
      </c>
      <c r="AV330" s="14" t="s">
        <v>72</v>
      </c>
      <c r="AW330" s="14" t="s">
        <v>73</v>
      </c>
      <c r="AX330" s="14" t="s">
        <v>74</v>
      </c>
    </row>
    <row r="331" spans="1:50" ht="15" customHeight="1" x14ac:dyDescent="0.4">
      <c r="A331" s="12">
        <v>2325</v>
      </c>
      <c r="B331" t="s">
        <v>868</v>
      </c>
      <c r="D331" t="s">
        <v>869</v>
      </c>
      <c r="E331" s="13"/>
      <c r="F331" s="45" t="s">
        <v>49</v>
      </c>
      <c r="G331" s="65" t="s">
        <v>8161</v>
      </c>
      <c r="H331" s="14" t="s">
        <v>49</v>
      </c>
      <c r="I331" s="15">
        <v>42963</v>
      </c>
      <c r="J331" t="s">
        <v>870</v>
      </c>
      <c r="K331" t="s">
        <v>51</v>
      </c>
      <c r="L331" s="15" t="s">
        <v>52</v>
      </c>
      <c r="M331" t="s">
        <v>53</v>
      </c>
      <c r="N331" t="s">
        <v>871</v>
      </c>
      <c r="O331" t="s">
        <v>872</v>
      </c>
      <c r="P331" t="s">
        <v>56</v>
      </c>
      <c r="Q331" t="s">
        <v>873</v>
      </c>
      <c r="R331" s="16" t="s">
        <v>874</v>
      </c>
      <c r="S331" t="s">
        <v>875</v>
      </c>
      <c r="X331" t="s">
        <v>60</v>
      </c>
      <c r="Z331" s="15"/>
      <c r="AB331" s="17">
        <v>43.85351</v>
      </c>
      <c r="AC331" s="17">
        <v>-83.924679999999995</v>
      </c>
      <c r="AD331" t="s">
        <v>876</v>
      </c>
      <c r="AG331" t="s">
        <v>62</v>
      </c>
      <c r="AH331" t="s">
        <v>63</v>
      </c>
      <c r="AI331" t="s">
        <v>877</v>
      </c>
      <c r="AJ331">
        <v>185909</v>
      </c>
      <c r="AL331" t="s">
        <v>878</v>
      </c>
      <c r="AM331" t="s">
        <v>879</v>
      </c>
      <c r="AN331" t="s">
        <v>880</v>
      </c>
      <c r="AO331" t="s">
        <v>68</v>
      </c>
      <c r="AQ331" t="s">
        <v>881</v>
      </c>
      <c r="AR331" t="s">
        <v>882</v>
      </c>
      <c r="AS331" t="s">
        <v>883</v>
      </c>
      <c r="AV331" s="14" t="s">
        <v>72</v>
      </c>
      <c r="AW331" s="14" t="s">
        <v>73</v>
      </c>
      <c r="AX331" s="14" t="s">
        <v>74</v>
      </c>
    </row>
    <row r="332" spans="1:50" ht="15" customHeight="1" x14ac:dyDescent="0.4">
      <c r="A332" s="12">
        <v>2326</v>
      </c>
      <c r="B332" t="s">
        <v>884</v>
      </c>
      <c r="D332" t="s">
        <v>885</v>
      </c>
      <c r="E332" s="13"/>
      <c r="F332" s="41" t="s">
        <v>8106</v>
      </c>
      <c r="G332" s="65" t="s">
        <v>8185</v>
      </c>
      <c r="H332" s="14" t="s">
        <v>886</v>
      </c>
      <c r="I332" s="15">
        <v>42963</v>
      </c>
      <c r="J332" t="s">
        <v>870</v>
      </c>
      <c r="K332" t="s">
        <v>51</v>
      </c>
      <c r="L332" s="15" t="s">
        <v>52</v>
      </c>
      <c r="M332" t="s">
        <v>53</v>
      </c>
      <c r="N332" t="s">
        <v>871</v>
      </c>
      <c r="O332" t="s">
        <v>872</v>
      </c>
      <c r="P332" t="s">
        <v>56</v>
      </c>
      <c r="Q332" t="s">
        <v>873</v>
      </c>
      <c r="R332" s="16" t="s">
        <v>874</v>
      </c>
      <c r="S332" t="s">
        <v>875</v>
      </c>
      <c r="X332" t="s">
        <v>887</v>
      </c>
      <c r="Y332" t="s">
        <v>888</v>
      </c>
      <c r="Z332" s="15" t="s">
        <v>889</v>
      </c>
      <c r="AA332" t="s">
        <v>890</v>
      </c>
      <c r="AB332" s="17">
        <v>43.853230000000003</v>
      </c>
      <c r="AC332" s="17">
        <v>-83.923000000000002</v>
      </c>
      <c r="AD332" t="s">
        <v>891</v>
      </c>
      <c r="AG332" t="s">
        <v>62</v>
      </c>
      <c r="AH332" t="s">
        <v>63</v>
      </c>
      <c r="AI332" t="s">
        <v>892</v>
      </c>
      <c r="AJ332">
        <v>185760</v>
      </c>
      <c r="AL332" t="s">
        <v>893</v>
      </c>
      <c r="AM332" t="s">
        <v>894</v>
      </c>
      <c r="AN332" t="s">
        <v>895</v>
      </c>
      <c r="AO332" t="s">
        <v>68</v>
      </c>
      <c r="AQ332" t="s">
        <v>896</v>
      </c>
      <c r="AR332" t="s">
        <v>897</v>
      </c>
      <c r="AS332" t="s">
        <v>898</v>
      </c>
      <c r="AT332" s="31" t="s">
        <v>899</v>
      </c>
      <c r="AU332" s="31" t="s">
        <v>85</v>
      </c>
      <c r="AV332" s="14" t="e">
        <v>#N/A</v>
      </c>
      <c r="AW332" s="14" t="e">
        <v>#N/A</v>
      </c>
      <c r="AX332" s="14" t="e">
        <v>#N/A</v>
      </c>
    </row>
    <row r="333" spans="1:50" ht="15" customHeight="1" x14ac:dyDescent="0.4">
      <c r="A333" s="12">
        <v>2327</v>
      </c>
      <c r="B333" t="s">
        <v>900</v>
      </c>
      <c r="D333" t="s">
        <v>901</v>
      </c>
      <c r="E333" s="13"/>
      <c r="G333" s="65" t="s">
        <v>8185</v>
      </c>
      <c r="H333" s="14" t="s">
        <v>49</v>
      </c>
      <c r="I333" s="15">
        <v>42963</v>
      </c>
      <c r="J333" t="s">
        <v>870</v>
      </c>
      <c r="K333" t="s">
        <v>51</v>
      </c>
      <c r="L333" s="15" t="s">
        <v>52</v>
      </c>
      <c r="M333" t="s">
        <v>53</v>
      </c>
      <c r="N333" t="s">
        <v>871</v>
      </c>
      <c r="O333" t="s">
        <v>872</v>
      </c>
      <c r="P333" t="s">
        <v>56</v>
      </c>
      <c r="Q333" t="s">
        <v>873</v>
      </c>
      <c r="R333" s="16" t="s">
        <v>874</v>
      </c>
      <c r="S333" t="s">
        <v>875</v>
      </c>
      <c r="W333" t="s">
        <v>8186</v>
      </c>
      <c r="X333" t="s">
        <v>60</v>
      </c>
      <c r="Z333" s="15"/>
      <c r="AB333" s="17">
        <v>43.853259999999999</v>
      </c>
      <c r="AC333" s="17">
        <v>-83.924940000000007</v>
      </c>
      <c r="AD333" t="s">
        <v>903</v>
      </c>
      <c r="AG333" t="s">
        <v>62</v>
      </c>
      <c r="AH333" t="s">
        <v>63</v>
      </c>
      <c r="AI333" t="s">
        <v>904</v>
      </c>
      <c r="AJ333">
        <v>185910</v>
      </c>
      <c r="AL333" t="s">
        <v>905</v>
      </c>
      <c r="AM333" t="s">
        <v>906</v>
      </c>
      <c r="AN333" t="s">
        <v>907</v>
      </c>
      <c r="AO333" t="s">
        <v>68</v>
      </c>
      <c r="AQ333" t="s">
        <v>908</v>
      </c>
      <c r="AR333" t="s">
        <v>909</v>
      </c>
      <c r="AS333" t="s">
        <v>910</v>
      </c>
      <c r="AV333" s="14" t="s">
        <v>72</v>
      </c>
      <c r="AW333" s="14" t="s">
        <v>73</v>
      </c>
      <c r="AX333" s="14" t="s">
        <v>74</v>
      </c>
    </row>
    <row r="334" spans="1:50" ht="15" customHeight="1" x14ac:dyDescent="0.4">
      <c r="A334" s="12">
        <v>2328</v>
      </c>
      <c r="B334" t="s">
        <v>911</v>
      </c>
      <c r="D334" t="s">
        <v>912</v>
      </c>
      <c r="E334" s="13"/>
      <c r="F334" s="43" t="s">
        <v>49</v>
      </c>
      <c r="G334" s="65" t="s">
        <v>8153</v>
      </c>
      <c r="H334" s="14" t="s">
        <v>49</v>
      </c>
      <c r="I334" s="15">
        <v>42963</v>
      </c>
      <c r="J334" t="s">
        <v>870</v>
      </c>
      <c r="K334" t="s">
        <v>51</v>
      </c>
      <c r="L334" s="15" t="s">
        <v>52</v>
      </c>
      <c r="M334" t="s">
        <v>53</v>
      </c>
      <c r="N334" t="s">
        <v>871</v>
      </c>
      <c r="O334" t="s">
        <v>872</v>
      </c>
      <c r="P334" t="s">
        <v>56</v>
      </c>
      <c r="Q334" t="s">
        <v>873</v>
      </c>
      <c r="R334" s="16" t="s">
        <v>913</v>
      </c>
      <c r="S334" t="s">
        <v>875</v>
      </c>
      <c r="X334" t="s">
        <v>60</v>
      </c>
      <c r="Z334" s="15"/>
      <c r="AB334" s="17">
        <v>43.852580000000003</v>
      </c>
      <c r="AC334" s="17">
        <v>-83.924629999999993</v>
      </c>
      <c r="AD334" t="s">
        <v>914</v>
      </c>
      <c r="AG334" t="s">
        <v>62</v>
      </c>
      <c r="AH334" t="s">
        <v>63</v>
      </c>
      <c r="AI334" t="s">
        <v>915</v>
      </c>
      <c r="AJ334">
        <v>185911</v>
      </c>
      <c r="AL334" t="s">
        <v>916</v>
      </c>
      <c r="AM334" t="s">
        <v>917</v>
      </c>
      <c r="AN334" t="s">
        <v>918</v>
      </c>
      <c r="AO334" t="s">
        <v>68</v>
      </c>
      <c r="AQ334" t="s">
        <v>919</v>
      </c>
      <c r="AR334" t="s">
        <v>920</v>
      </c>
      <c r="AS334" t="s">
        <v>921</v>
      </c>
      <c r="AV334" s="14" t="s">
        <v>72</v>
      </c>
      <c r="AW334" s="14" t="s">
        <v>73</v>
      </c>
      <c r="AX334" s="14" t="s">
        <v>74</v>
      </c>
    </row>
    <row r="335" spans="1:50" ht="15" customHeight="1" x14ac:dyDescent="0.4">
      <c r="A335" s="12">
        <v>2329</v>
      </c>
      <c r="B335" t="s">
        <v>922</v>
      </c>
      <c r="D335" t="s">
        <v>923</v>
      </c>
      <c r="E335" s="13"/>
      <c r="F335" s="41" t="s">
        <v>8106</v>
      </c>
      <c r="G335" s="65" t="s">
        <v>8185</v>
      </c>
      <c r="H335" s="14" t="s">
        <v>49</v>
      </c>
      <c r="I335" s="15">
        <v>42963</v>
      </c>
      <c r="J335" t="s">
        <v>870</v>
      </c>
      <c r="K335" t="s">
        <v>51</v>
      </c>
      <c r="L335" s="15" t="s">
        <v>52</v>
      </c>
      <c r="M335" t="s">
        <v>53</v>
      </c>
      <c r="N335" t="s">
        <v>871</v>
      </c>
      <c r="O335" t="s">
        <v>872</v>
      </c>
      <c r="P335" t="s">
        <v>56</v>
      </c>
      <c r="Q335" t="s">
        <v>873</v>
      </c>
      <c r="R335" s="16" t="s">
        <v>924</v>
      </c>
      <c r="S335" t="s">
        <v>875</v>
      </c>
      <c r="X335" t="s">
        <v>60</v>
      </c>
      <c r="Z335" s="15"/>
      <c r="AB335" s="17">
        <v>43.850090000000002</v>
      </c>
      <c r="AC335" s="17">
        <v>-83.923749999999998</v>
      </c>
      <c r="AD335" t="s">
        <v>925</v>
      </c>
      <c r="AG335" t="s">
        <v>62</v>
      </c>
      <c r="AH335" t="s">
        <v>63</v>
      </c>
      <c r="AI335" t="s">
        <v>926</v>
      </c>
      <c r="AJ335">
        <v>185912</v>
      </c>
      <c r="AL335" t="s">
        <v>927</v>
      </c>
      <c r="AM335" t="s">
        <v>928</v>
      </c>
      <c r="AN335" t="s">
        <v>929</v>
      </c>
      <c r="AO335" t="s">
        <v>68</v>
      </c>
      <c r="AQ335" t="s">
        <v>930</v>
      </c>
      <c r="AR335" t="s">
        <v>931</v>
      </c>
      <c r="AS335" t="s">
        <v>932</v>
      </c>
      <c r="AV335" s="14" t="s">
        <v>72</v>
      </c>
      <c r="AW335" s="14" t="s">
        <v>73</v>
      </c>
      <c r="AX335" s="14" t="s">
        <v>74</v>
      </c>
    </row>
    <row r="336" spans="1:50" ht="15" customHeight="1" x14ac:dyDescent="0.4">
      <c r="A336" s="12">
        <v>2330</v>
      </c>
      <c r="B336" t="s">
        <v>933</v>
      </c>
      <c r="D336" t="s">
        <v>934</v>
      </c>
      <c r="E336" s="13"/>
      <c r="F336" s="41"/>
      <c r="G336" s="65" t="s">
        <v>8153</v>
      </c>
      <c r="H336" s="14" t="s">
        <v>49</v>
      </c>
      <c r="I336" s="15">
        <v>42963</v>
      </c>
      <c r="J336" t="s">
        <v>870</v>
      </c>
      <c r="K336" t="s">
        <v>51</v>
      </c>
      <c r="L336" s="15" t="s">
        <v>52</v>
      </c>
      <c r="M336" t="s">
        <v>53</v>
      </c>
      <c r="N336" t="s">
        <v>871</v>
      </c>
      <c r="O336" t="s">
        <v>872</v>
      </c>
      <c r="P336" t="s">
        <v>56</v>
      </c>
      <c r="Q336" t="s">
        <v>873</v>
      </c>
      <c r="R336" s="16" t="s">
        <v>924</v>
      </c>
      <c r="S336" t="s">
        <v>875</v>
      </c>
      <c r="X336" t="s">
        <v>60</v>
      </c>
      <c r="Z336" s="15"/>
      <c r="AB336" s="17">
        <v>43.849609999999998</v>
      </c>
      <c r="AC336" s="17">
        <v>-83.923469999999995</v>
      </c>
      <c r="AD336" t="s">
        <v>935</v>
      </c>
      <c r="AG336" t="s">
        <v>62</v>
      </c>
      <c r="AH336" t="s">
        <v>63</v>
      </c>
      <c r="AI336" t="s">
        <v>936</v>
      </c>
      <c r="AJ336">
        <v>185913</v>
      </c>
      <c r="AL336" t="s">
        <v>937</v>
      </c>
      <c r="AM336" t="s">
        <v>938</v>
      </c>
      <c r="AN336" t="s">
        <v>939</v>
      </c>
      <c r="AO336" t="s">
        <v>68</v>
      </c>
      <c r="AQ336" t="s">
        <v>940</v>
      </c>
      <c r="AR336" t="s">
        <v>941</v>
      </c>
      <c r="AS336" t="s">
        <v>942</v>
      </c>
      <c r="AV336" s="14" t="s">
        <v>72</v>
      </c>
      <c r="AW336" s="14" t="s">
        <v>73</v>
      </c>
      <c r="AX336" s="14" t="s">
        <v>74</v>
      </c>
    </row>
    <row r="337" spans="1:50" ht="15" customHeight="1" x14ac:dyDescent="0.4">
      <c r="A337" s="12">
        <v>2331</v>
      </c>
      <c r="B337" t="s">
        <v>943</v>
      </c>
      <c r="D337" t="s">
        <v>944</v>
      </c>
      <c r="E337" s="13"/>
      <c r="G337" s="65" t="s">
        <v>8185</v>
      </c>
      <c r="H337" s="14" t="s">
        <v>49</v>
      </c>
      <c r="I337" s="15">
        <v>42963</v>
      </c>
      <c r="J337" t="s">
        <v>870</v>
      </c>
      <c r="K337" t="s">
        <v>51</v>
      </c>
      <c r="L337" s="15" t="s">
        <v>52</v>
      </c>
      <c r="M337" t="s">
        <v>53</v>
      </c>
      <c r="N337" t="s">
        <v>871</v>
      </c>
      <c r="O337" t="s">
        <v>872</v>
      </c>
      <c r="P337" t="s">
        <v>56</v>
      </c>
      <c r="Q337" t="s">
        <v>873</v>
      </c>
      <c r="R337" s="16" t="s">
        <v>924</v>
      </c>
      <c r="S337" t="s">
        <v>875</v>
      </c>
      <c r="X337" t="s">
        <v>78</v>
      </c>
      <c r="Y337" t="s">
        <v>79</v>
      </c>
      <c r="Z337" s="15">
        <v>45597</v>
      </c>
      <c r="AA337" t="s">
        <v>48</v>
      </c>
      <c r="AB337" s="17">
        <v>43.848219999999998</v>
      </c>
      <c r="AC337" s="17">
        <v>-83.923850000000002</v>
      </c>
      <c r="AD337" t="s">
        <v>945</v>
      </c>
      <c r="AG337" t="s">
        <v>62</v>
      </c>
      <c r="AH337" t="s">
        <v>63</v>
      </c>
      <c r="AI337" t="s">
        <v>946</v>
      </c>
      <c r="AJ337">
        <v>185914</v>
      </c>
      <c r="AL337" t="s">
        <v>947</v>
      </c>
      <c r="AM337" t="s">
        <v>948</v>
      </c>
      <c r="AN337" t="s">
        <v>949</v>
      </c>
      <c r="AO337" t="s">
        <v>68</v>
      </c>
      <c r="AQ337" t="s">
        <v>950</v>
      </c>
      <c r="AR337" t="s">
        <v>951</v>
      </c>
      <c r="AS337" t="s">
        <v>952</v>
      </c>
      <c r="AT337" s="31" t="s">
        <v>953</v>
      </c>
      <c r="AU337" s="31" t="s">
        <v>85</v>
      </c>
      <c r="AV337" s="14" t="s">
        <v>72</v>
      </c>
      <c r="AW337" s="14" t="s">
        <v>73</v>
      </c>
      <c r="AX337" s="14" t="s">
        <v>74</v>
      </c>
    </row>
    <row r="338" spans="1:50" ht="15" customHeight="1" x14ac:dyDescent="0.4">
      <c r="A338" s="12">
        <v>2332</v>
      </c>
      <c r="B338" t="s">
        <v>954</v>
      </c>
      <c r="D338" t="s">
        <v>955</v>
      </c>
      <c r="E338" s="13"/>
      <c r="F338" s="45" t="s">
        <v>49</v>
      </c>
      <c r="G338" s="65" t="s">
        <v>8161</v>
      </c>
      <c r="H338" s="14" t="s">
        <v>49</v>
      </c>
      <c r="I338" s="15">
        <v>42963</v>
      </c>
      <c r="J338" t="s">
        <v>870</v>
      </c>
      <c r="K338" t="s">
        <v>51</v>
      </c>
      <c r="L338" s="15" t="s">
        <v>52</v>
      </c>
      <c r="M338" t="s">
        <v>53</v>
      </c>
      <c r="N338" t="s">
        <v>871</v>
      </c>
      <c r="O338" t="s">
        <v>872</v>
      </c>
      <c r="P338" t="s">
        <v>56</v>
      </c>
      <c r="Q338" t="s">
        <v>873</v>
      </c>
      <c r="R338" s="16" t="s">
        <v>874</v>
      </c>
      <c r="S338" t="s">
        <v>875</v>
      </c>
      <c r="X338" t="s">
        <v>60</v>
      </c>
      <c r="Z338" s="15"/>
      <c r="AB338" s="17">
        <v>43.854259999999996</v>
      </c>
      <c r="AC338" s="17">
        <v>-83.924679999999995</v>
      </c>
      <c r="AD338" t="s">
        <v>956</v>
      </c>
      <c r="AG338" t="s">
        <v>62</v>
      </c>
      <c r="AH338" t="s">
        <v>63</v>
      </c>
      <c r="AI338" t="s">
        <v>957</v>
      </c>
      <c r="AJ338">
        <v>185915</v>
      </c>
      <c r="AL338" t="s">
        <v>958</v>
      </c>
      <c r="AM338" t="s">
        <v>959</v>
      </c>
      <c r="AN338" t="s">
        <v>960</v>
      </c>
      <c r="AO338" t="s">
        <v>68</v>
      </c>
      <c r="AQ338" t="s">
        <v>961</v>
      </c>
      <c r="AR338" t="s">
        <v>962</v>
      </c>
      <c r="AS338" t="s">
        <v>963</v>
      </c>
      <c r="AV338" s="14" t="s">
        <v>72</v>
      </c>
      <c r="AW338" s="14" t="s">
        <v>73</v>
      </c>
      <c r="AX338" s="14" t="s">
        <v>74</v>
      </c>
    </row>
    <row r="339" spans="1:50" ht="15" customHeight="1" x14ac:dyDescent="0.4">
      <c r="A339" s="12">
        <v>2333</v>
      </c>
      <c r="B339" t="s">
        <v>964</v>
      </c>
      <c r="D339" t="s">
        <v>965</v>
      </c>
      <c r="E339" s="13"/>
      <c r="F339" s="45" t="s">
        <v>49</v>
      </c>
      <c r="G339" s="65" t="s">
        <v>8161</v>
      </c>
      <c r="H339" s="14" t="s">
        <v>49</v>
      </c>
      <c r="I339" s="15">
        <v>42963</v>
      </c>
      <c r="J339" t="s">
        <v>870</v>
      </c>
      <c r="K339" t="s">
        <v>51</v>
      </c>
      <c r="L339" s="15" t="s">
        <v>52</v>
      </c>
      <c r="M339" t="s">
        <v>53</v>
      </c>
      <c r="N339" t="s">
        <v>871</v>
      </c>
      <c r="O339" t="s">
        <v>872</v>
      </c>
      <c r="P339" t="s">
        <v>56</v>
      </c>
      <c r="Q339" t="s">
        <v>873</v>
      </c>
      <c r="R339" s="16" t="s">
        <v>966</v>
      </c>
      <c r="S339" t="s">
        <v>875</v>
      </c>
      <c r="X339" t="s">
        <v>60</v>
      </c>
      <c r="Z339" s="15"/>
      <c r="AB339" s="17">
        <v>43.855049999999999</v>
      </c>
      <c r="AC339" s="17">
        <v>-83.925020000000004</v>
      </c>
      <c r="AD339" t="s">
        <v>967</v>
      </c>
      <c r="AG339" t="s">
        <v>62</v>
      </c>
      <c r="AH339" t="s">
        <v>63</v>
      </c>
      <c r="AI339" t="s">
        <v>968</v>
      </c>
      <c r="AJ339">
        <v>185916</v>
      </c>
      <c r="AL339" t="s">
        <v>969</v>
      </c>
      <c r="AM339" t="s">
        <v>970</v>
      </c>
      <c r="AN339" t="s">
        <v>971</v>
      </c>
      <c r="AO339" t="s">
        <v>68</v>
      </c>
      <c r="AQ339" t="s">
        <v>972</v>
      </c>
      <c r="AR339" t="s">
        <v>973</v>
      </c>
      <c r="AS339" t="s">
        <v>974</v>
      </c>
      <c r="AV339" s="14" t="s">
        <v>72</v>
      </c>
      <c r="AW339" s="14" t="s">
        <v>73</v>
      </c>
      <c r="AX339" s="14" t="s">
        <v>74</v>
      </c>
    </row>
    <row r="340" spans="1:50" ht="15" customHeight="1" x14ac:dyDescent="0.4">
      <c r="A340" s="12">
        <v>2334</v>
      </c>
      <c r="B340" t="s">
        <v>975</v>
      </c>
      <c r="D340" t="s">
        <v>976</v>
      </c>
      <c r="E340" s="13"/>
      <c r="F340" s="41"/>
      <c r="G340" s="65" t="s">
        <v>8153</v>
      </c>
      <c r="H340" s="14" t="s">
        <v>49</v>
      </c>
      <c r="I340" s="15">
        <v>42963</v>
      </c>
      <c r="J340" t="s">
        <v>870</v>
      </c>
      <c r="K340" t="s">
        <v>51</v>
      </c>
      <c r="L340" s="15" t="s">
        <v>52</v>
      </c>
      <c r="M340" t="s">
        <v>53</v>
      </c>
      <c r="N340" t="s">
        <v>871</v>
      </c>
      <c r="O340" t="s">
        <v>872</v>
      </c>
      <c r="P340" t="s">
        <v>56</v>
      </c>
      <c r="Q340" t="s">
        <v>873</v>
      </c>
      <c r="R340" s="16" t="s">
        <v>874</v>
      </c>
      <c r="S340" t="s">
        <v>875</v>
      </c>
      <c r="X340" t="s">
        <v>60</v>
      </c>
      <c r="Z340" s="15"/>
      <c r="AB340" s="17">
        <v>43.856029999999997</v>
      </c>
      <c r="AC340" s="17">
        <v>-83.924869999999999</v>
      </c>
      <c r="AD340" t="s">
        <v>977</v>
      </c>
      <c r="AG340" t="s">
        <v>62</v>
      </c>
      <c r="AH340" t="s">
        <v>63</v>
      </c>
      <c r="AI340" t="s">
        <v>978</v>
      </c>
      <c r="AJ340">
        <v>185917</v>
      </c>
      <c r="AL340" t="s">
        <v>979</v>
      </c>
      <c r="AM340" t="s">
        <v>980</v>
      </c>
      <c r="AN340" t="s">
        <v>981</v>
      </c>
      <c r="AO340" t="s">
        <v>68</v>
      </c>
      <c r="AQ340" t="s">
        <v>982</v>
      </c>
      <c r="AR340" t="s">
        <v>983</v>
      </c>
      <c r="AS340" t="s">
        <v>984</v>
      </c>
      <c r="AV340" s="14" t="s">
        <v>72</v>
      </c>
      <c r="AW340" s="14" t="s">
        <v>73</v>
      </c>
      <c r="AX340" s="14" t="s">
        <v>74</v>
      </c>
    </row>
    <row r="341" spans="1:50" ht="15" customHeight="1" x14ac:dyDescent="0.4">
      <c r="A341" s="12">
        <v>2335</v>
      </c>
      <c r="B341" t="s">
        <v>985</v>
      </c>
      <c r="D341" t="s">
        <v>986</v>
      </c>
      <c r="E341" s="13"/>
      <c r="F341" s="43" t="s">
        <v>49</v>
      </c>
      <c r="G341" s="65" t="s">
        <v>8153</v>
      </c>
      <c r="H341" s="14" t="s">
        <v>49</v>
      </c>
      <c r="I341" s="15">
        <v>42963</v>
      </c>
      <c r="J341" t="s">
        <v>870</v>
      </c>
      <c r="K341" t="s">
        <v>51</v>
      </c>
      <c r="L341" s="15" t="s">
        <v>52</v>
      </c>
      <c r="M341" t="s">
        <v>53</v>
      </c>
      <c r="N341" t="s">
        <v>871</v>
      </c>
      <c r="O341" t="s">
        <v>872</v>
      </c>
      <c r="P341" t="s">
        <v>56</v>
      </c>
      <c r="Q341" t="s">
        <v>873</v>
      </c>
      <c r="R341" s="16" t="s">
        <v>874</v>
      </c>
      <c r="S341" t="s">
        <v>875</v>
      </c>
      <c r="X341" t="s">
        <v>78</v>
      </c>
      <c r="Y341" t="s">
        <v>79</v>
      </c>
      <c r="Z341" s="15">
        <v>45597</v>
      </c>
      <c r="AA341" t="s">
        <v>48</v>
      </c>
      <c r="AB341" s="17">
        <v>43.857140000000001</v>
      </c>
      <c r="AC341" s="17">
        <v>-83.925240000000002</v>
      </c>
      <c r="AD341" t="s">
        <v>987</v>
      </c>
      <c r="AG341" t="s">
        <v>62</v>
      </c>
      <c r="AH341" t="s">
        <v>63</v>
      </c>
      <c r="AI341" t="s">
        <v>988</v>
      </c>
      <c r="AJ341">
        <v>185918</v>
      </c>
      <c r="AL341" t="s">
        <v>989</v>
      </c>
      <c r="AM341" t="s">
        <v>990</v>
      </c>
      <c r="AN341" t="s">
        <v>991</v>
      </c>
      <c r="AO341" t="s">
        <v>68</v>
      </c>
      <c r="AQ341" t="s">
        <v>992</v>
      </c>
      <c r="AR341" t="s">
        <v>993</v>
      </c>
      <c r="AS341" t="s">
        <v>994</v>
      </c>
      <c r="AT341" s="31" t="s">
        <v>995</v>
      </c>
      <c r="AU341" s="31" t="s">
        <v>85</v>
      </c>
      <c r="AV341" s="14" t="s">
        <v>72</v>
      </c>
      <c r="AW341" s="14" t="s">
        <v>73</v>
      </c>
      <c r="AX341" s="14" t="s">
        <v>74</v>
      </c>
    </row>
    <row r="342" spans="1:50" ht="15" customHeight="1" x14ac:dyDescent="0.4">
      <c r="A342" s="12">
        <v>2056</v>
      </c>
      <c r="B342" t="s">
        <v>647</v>
      </c>
      <c r="D342" t="s">
        <v>648</v>
      </c>
      <c r="E342" s="13"/>
      <c r="F342" s="41"/>
      <c r="G342" s="65" t="s">
        <v>8185</v>
      </c>
      <c r="H342" s="14" t="s">
        <v>49</v>
      </c>
      <c r="I342" s="15"/>
      <c r="J342" t="s">
        <v>649</v>
      </c>
      <c r="K342" t="s">
        <v>51</v>
      </c>
      <c r="L342" s="15" t="s">
        <v>650</v>
      </c>
      <c r="M342" t="s">
        <v>53</v>
      </c>
      <c r="N342" t="s">
        <v>651</v>
      </c>
      <c r="O342" t="s">
        <v>652</v>
      </c>
      <c r="P342" t="s">
        <v>56</v>
      </c>
      <c r="Q342" s="21" t="s">
        <v>653</v>
      </c>
      <c r="S342" t="s">
        <v>654</v>
      </c>
      <c r="T342" t="s">
        <v>655</v>
      </c>
      <c r="X342" t="s">
        <v>49</v>
      </c>
      <c r="Z342" s="15"/>
      <c r="AA342" t="s">
        <v>656</v>
      </c>
      <c r="AB342">
        <v>38.963585999999999</v>
      </c>
      <c r="AC342">
        <v>-98.589060000000003</v>
      </c>
      <c r="AG342" t="s">
        <v>62</v>
      </c>
      <c r="AH342" t="s">
        <v>63</v>
      </c>
      <c r="AI342" s="18" t="s">
        <v>657</v>
      </c>
      <c r="AJ342" t="s">
        <v>658</v>
      </c>
      <c r="AK342" t="s">
        <v>659</v>
      </c>
      <c r="AL342" t="s">
        <v>660</v>
      </c>
      <c r="AM342" t="s">
        <v>661</v>
      </c>
      <c r="AO342" t="s">
        <v>68</v>
      </c>
      <c r="AQ342" t="s">
        <v>662</v>
      </c>
      <c r="AR342" t="s">
        <v>663</v>
      </c>
      <c r="AS342" t="s">
        <v>664</v>
      </c>
      <c r="AV342" s="14" t="s">
        <v>72</v>
      </c>
      <c r="AW342" s="14" t="s">
        <v>73</v>
      </c>
      <c r="AX342" s="14" t="s">
        <v>74</v>
      </c>
    </row>
    <row r="343" spans="1:50" ht="15" customHeight="1" x14ac:dyDescent="0.4">
      <c r="A343" s="12">
        <v>2065</v>
      </c>
      <c r="B343" t="s">
        <v>708</v>
      </c>
      <c r="D343" t="s">
        <v>709</v>
      </c>
      <c r="E343" s="13"/>
      <c r="F343" s="41"/>
      <c r="G343" s="65" t="s">
        <v>8185</v>
      </c>
      <c r="H343" s="14" t="s">
        <v>49</v>
      </c>
      <c r="I343" s="15"/>
      <c r="J343" t="s">
        <v>649</v>
      </c>
      <c r="K343" t="s">
        <v>51</v>
      </c>
      <c r="L343" s="15" t="s">
        <v>650</v>
      </c>
      <c r="M343" t="s">
        <v>53</v>
      </c>
      <c r="N343" t="s">
        <v>651</v>
      </c>
      <c r="O343" t="s">
        <v>652</v>
      </c>
      <c r="P343" t="s">
        <v>56</v>
      </c>
      <c r="Q343" s="21" t="s">
        <v>653</v>
      </c>
      <c r="S343" t="s">
        <v>654</v>
      </c>
      <c r="T343" t="s">
        <v>655</v>
      </c>
      <c r="X343" t="s">
        <v>49</v>
      </c>
      <c r="Z343" s="15"/>
      <c r="AA343" t="s">
        <v>656</v>
      </c>
      <c r="AB343">
        <v>38.963585999999999</v>
      </c>
      <c r="AC343">
        <v>-98.589060000000003</v>
      </c>
      <c r="AG343" t="s">
        <v>62</v>
      </c>
      <c r="AH343" t="s">
        <v>63</v>
      </c>
      <c r="AI343" s="18" t="s">
        <v>657</v>
      </c>
      <c r="AJ343" t="s">
        <v>658</v>
      </c>
      <c r="AK343" t="s">
        <v>659</v>
      </c>
      <c r="AL343" t="s">
        <v>660</v>
      </c>
      <c r="AM343" t="s">
        <v>661</v>
      </c>
      <c r="AO343" t="s">
        <v>68</v>
      </c>
      <c r="AQ343" t="s">
        <v>710</v>
      </c>
      <c r="AR343" t="s">
        <v>711</v>
      </c>
      <c r="AS343" t="s">
        <v>712</v>
      </c>
      <c r="AV343" s="14" t="s">
        <v>72</v>
      </c>
      <c r="AW343" s="14" t="s">
        <v>73</v>
      </c>
      <c r="AX343" s="14" t="s">
        <v>74</v>
      </c>
    </row>
    <row r="344" spans="1:50" ht="15" customHeight="1" x14ac:dyDescent="0.4">
      <c r="A344" s="12">
        <v>2057</v>
      </c>
      <c r="B344" t="s">
        <v>665</v>
      </c>
      <c r="D344" t="s">
        <v>666</v>
      </c>
      <c r="E344" s="13"/>
      <c r="F344" s="41"/>
      <c r="G344" s="65" t="s">
        <v>8185</v>
      </c>
      <c r="H344" s="14" t="s">
        <v>49</v>
      </c>
      <c r="I344" s="15"/>
      <c r="J344" t="s">
        <v>649</v>
      </c>
      <c r="K344" t="s">
        <v>51</v>
      </c>
      <c r="L344" s="15" t="s">
        <v>650</v>
      </c>
      <c r="M344" t="s">
        <v>53</v>
      </c>
      <c r="N344" t="s">
        <v>651</v>
      </c>
      <c r="O344" t="s">
        <v>652</v>
      </c>
      <c r="P344" t="s">
        <v>56</v>
      </c>
      <c r="Q344" s="21" t="s">
        <v>653</v>
      </c>
      <c r="S344" t="s">
        <v>654</v>
      </c>
      <c r="T344" t="s">
        <v>655</v>
      </c>
      <c r="X344" t="s">
        <v>49</v>
      </c>
      <c r="Z344" s="15"/>
      <c r="AA344" t="s">
        <v>656</v>
      </c>
      <c r="AB344">
        <v>38.963585999999999</v>
      </c>
      <c r="AC344">
        <v>-98.589060000000003</v>
      </c>
      <c r="AG344" t="s">
        <v>62</v>
      </c>
      <c r="AH344" t="s">
        <v>63</v>
      </c>
      <c r="AI344" s="18" t="s">
        <v>657</v>
      </c>
      <c r="AJ344" t="s">
        <v>658</v>
      </c>
      <c r="AK344" t="s">
        <v>659</v>
      </c>
      <c r="AL344" t="s">
        <v>660</v>
      </c>
      <c r="AM344" t="s">
        <v>661</v>
      </c>
      <c r="AO344" t="s">
        <v>68</v>
      </c>
      <c r="AQ344" t="s">
        <v>667</v>
      </c>
      <c r="AR344" t="s">
        <v>668</v>
      </c>
      <c r="AS344" t="s">
        <v>669</v>
      </c>
      <c r="AT344" s="31" t="s">
        <v>670</v>
      </c>
      <c r="AU344" s="31" t="s">
        <v>85</v>
      </c>
      <c r="AV344" s="14" t="s">
        <v>72</v>
      </c>
      <c r="AW344" s="14" t="s">
        <v>73</v>
      </c>
      <c r="AX344" s="14" t="s">
        <v>74</v>
      </c>
    </row>
    <row r="345" spans="1:50" ht="15" customHeight="1" x14ac:dyDescent="0.4">
      <c r="A345" s="12">
        <v>2058</v>
      </c>
      <c r="B345" t="s">
        <v>671</v>
      </c>
      <c r="D345" t="s">
        <v>672</v>
      </c>
      <c r="E345" s="13"/>
      <c r="F345" s="41"/>
      <c r="G345" s="65" t="s">
        <v>8185</v>
      </c>
      <c r="H345" s="14" t="s">
        <v>49</v>
      </c>
      <c r="I345" s="15"/>
      <c r="J345" t="s">
        <v>649</v>
      </c>
      <c r="K345" t="s">
        <v>51</v>
      </c>
      <c r="L345" s="15" t="s">
        <v>650</v>
      </c>
      <c r="M345" t="s">
        <v>53</v>
      </c>
      <c r="N345" t="s">
        <v>651</v>
      </c>
      <c r="O345" t="s">
        <v>652</v>
      </c>
      <c r="P345" t="s">
        <v>56</v>
      </c>
      <c r="Q345" s="21" t="s">
        <v>653</v>
      </c>
      <c r="S345" t="s">
        <v>654</v>
      </c>
      <c r="T345" t="s">
        <v>655</v>
      </c>
      <c r="X345" t="s">
        <v>49</v>
      </c>
      <c r="Z345" s="15"/>
      <c r="AA345" t="s">
        <v>656</v>
      </c>
      <c r="AB345">
        <v>38.963585999999999</v>
      </c>
      <c r="AC345">
        <v>-98.589060000000003</v>
      </c>
      <c r="AG345" t="s">
        <v>62</v>
      </c>
      <c r="AH345" t="s">
        <v>63</v>
      </c>
      <c r="AI345" s="18" t="s">
        <v>657</v>
      </c>
      <c r="AJ345" t="s">
        <v>658</v>
      </c>
      <c r="AK345" t="s">
        <v>659</v>
      </c>
      <c r="AL345" t="s">
        <v>660</v>
      </c>
      <c r="AM345" t="s">
        <v>661</v>
      </c>
      <c r="AO345" t="s">
        <v>68</v>
      </c>
      <c r="AQ345" t="s">
        <v>673</v>
      </c>
      <c r="AR345" t="s">
        <v>674</v>
      </c>
      <c r="AS345" t="s">
        <v>675</v>
      </c>
      <c r="AT345" s="31" t="s">
        <v>676</v>
      </c>
      <c r="AU345" s="31" t="s">
        <v>85</v>
      </c>
      <c r="AV345" s="14" t="s">
        <v>72</v>
      </c>
      <c r="AW345" s="14" t="s">
        <v>73</v>
      </c>
      <c r="AX345" s="14" t="s">
        <v>74</v>
      </c>
    </row>
    <row r="346" spans="1:50" ht="15" customHeight="1" x14ac:dyDescent="0.4">
      <c r="A346" s="12">
        <v>2059</v>
      </c>
      <c r="B346" t="s">
        <v>677</v>
      </c>
      <c r="D346" t="s">
        <v>678</v>
      </c>
      <c r="E346" s="13"/>
      <c r="F346" s="41"/>
      <c r="G346" s="65" t="s">
        <v>8185</v>
      </c>
      <c r="H346" s="14" t="s">
        <v>49</v>
      </c>
      <c r="I346" s="15"/>
      <c r="J346" t="s">
        <v>649</v>
      </c>
      <c r="K346" t="s">
        <v>51</v>
      </c>
      <c r="L346" s="15" t="s">
        <v>650</v>
      </c>
      <c r="M346" t="s">
        <v>53</v>
      </c>
      <c r="N346" t="s">
        <v>651</v>
      </c>
      <c r="O346" t="s">
        <v>652</v>
      </c>
      <c r="P346" t="s">
        <v>56</v>
      </c>
      <c r="Q346" s="21" t="s">
        <v>653</v>
      </c>
      <c r="S346" t="s">
        <v>654</v>
      </c>
      <c r="T346" t="s">
        <v>655</v>
      </c>
      <c r="X346" t="s">
        <v>49</v>
      </c>
      <c r="Z346" s="15"/>
      <c r="AA346" t="s">
        <v>656</v>
      </c>
      <c r="AB346">
        <v>38.963585999999999</v>
      </c>
      <c r="AC346">
        <v>-98.589060000000003</v>
      </c>
      <c r="AG346" t="s">
        <v>62</v>
      </c>
      <c r="AH346" t="s">
        <v>63</v>
      </c>
      <c r="AI346" s="18" t="s">
        <v>657</v>
      </c>
      <c r="AJ346" t="s">
        <v>658</v>
      </c>
      <c r="AK346" t="s">
        <v>659</v>
      </c>
      <c r="AL346" t="s">
        <v>660</v>
      </c>
      <c r="AM346" t="s">
        <v>661</v>
      </c>
      <c r="AO346" t="s">
        <v>68</v>
      </c>
      <c r="AQ346" t="s">
        <v>679</v>
      </c>
      <c r="AR346" t="s">
        <v>680</v>
      </c>
      <c r="AS346" t="s">
        <v>681</v>
      </c>
      <c r="AT346" s="31" t="s">
        <v>682</v>
      </c>
      <c r="AU346" s="31" t="s">
        <v>85</v>
      </c>
      <c r="AV346" s="14" t="s">
        <v>72</v>
      </c>
      <c r="AW346" s="14" t="s">
        <v>73</v>
      </c>
      <c r="AX346" s="14" t="s">
        <v>74</v>
      </c>
    </row>
    <row r="347" spans="1:50" ht="15" customHeight="1" x14ac:dyDescent="0.4">
      <c r="A347" s="12">
        <v>2060</v>
      </c>
      <c r="B347" t="s">
        <v>683</v>
      </c>
      <c r="D347" t="s">
        <v>684</v>
      </c>
      <c r="E347" s="13"/>
      <c r="F347" s="41"/>
      <c r="G347" s="65" t="s">
        <v>8185</v>
      </c>
      <c r="H347" s="14" t="s">
        <v>49</v>
      </c>
      <c r="I347" s="15"/>
      <c r="J347" t="s">
        <v>649</v>
      </c>
      <c r="K347" t="s">
        <v>51</v>
      </c>
      <c r="L347" s="15" t="s">
        <v>650</v>
      </c>
      <c r="M347" t="s">
        <v>53</v>
      </c>
      <c r="N347" t="s">
        <v>651</v>
      </c>
      <c r="O347" t="s">
        <v>652</v>
      </c>
      <c r="P347" t="s">
        <v>56</v>
      </c>
      <c r="Q347" s="21" t="s">
        <v>653</v>
      </c>
      <c r="S347" t="s">
        <v>654</v>
      </c>
      <c r="T347" t="s">
        <v>655</v>
      </c>
      <c r="X347" t="s">
        <v>49</v>
      </c>
      <c r="Z347" s="15"/>
      <c r="AA347" t="s">
        <v>656</v>
      </c>
      <c r="AB347">
        <v>38.963585999999999</v>
      </c>
      <c r="AC347">
        <v>-98.589060000000003</v>
      </c>
      <c r="AG347" t="s">
        <v>62</v>
      </c>
      <c r="AH347" t="s">
        <v>63</v>
      </c>
      <c r="AI347" s="18" t="s">
        <v>657</v>
      </c>
      <c r="AJ347" t="s">
        <v>658</v>
      </c>
      <c r="AK347" t="s">
        <v>659</v>
      </c>
      <c r="AL347" t="s">
        <v>660</v>
      </c>
      <c r="AM347" t="s">
        <v>661</v>
      </c>
      <c r="AO347" t="s">
        <v>68</v>
      </c>
      <c r="AQ347" t="s">
        <v>685</v>
      </c>
      <c r="AR347" t="s">
        <v>686</v>
      </c>
      <c r="AS347" t="s">
        <v>687</v>
      </c>
      <c r="AV347" s="14" t="s">
        <v>72</v>
      </c>
      <c r="AW347" s="14" t="s">
        <v>73</v>
      </c>
      <c r="AX347" s="14" t="s">
        <v>74</v>
      </c>
    </row>
    <row r="348" spans="1:50" ht="15" customHeight="1" x14ac:dyDescent="0.4">
      <c r="A348" s="12">
        <v>2061</v>
      </c>
      <c r="B348" t="s">
        <v>688</v>
      </c>
      <c r="D348" t="s">
        <v>689</v>
      </c>
      <c r="E348" s="13"/>
      <c r="F348" s="41"/>
      <c r="G348" s="65" t="s">
        <v>8185</v>
      </c>
      <c r="H348" s="14" t="s">
        <v>49</v>
      </c>
      <c r="I348" s="15"/>
      <c r="J348" t="s">
        <v>649</v>
      </c>
      <c r="K348" t="s">
        <v>51</v>
      </c>
      <c r="L348" s="15" t="s">
        <v>650</v>
      </c>
      <c r="M348" t="s">
        <v>53</v>
      </c>
      <c r="N348" t="s">
        <v>651</v>
      </c>
      <c r="O348" t="s">
        <v>652</v>
      </c>
      <c r="P348" t="s">
        <v>56</v>
      </c>
      <c r="Q348" s="21" t="s">
        <v>653</v>
      </c>
      <c r="S348" t="s">
        <v>654</v>
      </c>
      <c r="T348" t="s">
        <v>655</v>
      </c>
      <c r="X348" t="s">
        <v>49</v>
      </c>
      <c r="Z348" s="15"/>
      <c r="AA348" t="s">
        <v>656</v>
      </c>
      <c r="AB348">
        <v>38.963585999999999</v>
      </c>
      <c r="AC348">
        <v>-98.589060000000003</v>
      </c>
      <c r="AG348" t="s">
        <v>62</v>
      </c>
      <c r="AH348" t="s">
        <v>63</v>
      </c>
      <c r="AI348" s="18" t="s">
        <v>657</v>
      </c>
      <c r="AJ348" t="s">
        <v>658</v>
      </c>
      <c r="AK348" t="s">
        <v>659</v>
      </c>
      <c r="AL348" t="s">
        <v>660</v>
      </c>
      <c r="AM348" t="s">
        <v>661</v>
      </c>
      <c r="AO348" t="s">
        <v>68</v>
      </c>
      <c r="AQ348" t="s">
        <v>690</v>
      </c>
      <c r="AR348" t="s">
        <v>691</v>
      </c>
      <c r="AS348" t="s">
        <v>692</v>
      </c>
      <c r="AV348" s="14" t="s">
        <v>72</v>
      </c>
      <c r="AW348" s="14" t="s">
        <v>73</v>
      </c>
      <c r="AX348" s="14" t="s">
        <v>74</v>
      </c>
    </row>
    <row r="349" spans="1:50" ht="15" customHeight="1" x14ac:dyDescent="0.4">
      <c r="A349" s="12">
        <v>2062</v>
      </c>
      <c r="B349" t="s">
        <v>693</v>
      </c>
      <c r="D349" t="s">
        <v>694</v>
      </c>
      <c r="E349" s="13"/>
      <c r="F349" s="41"/>
      <c r="G349" s="65" t="s">
        <v>8185</v>
      </c>
      <c r="H349" s="14" t="s">
        <v>49</v>
      </c>
      <c r="I349" s="15"/>
      <c r="J349" t="s">
        <v>649</v>
      </c>
      <c r="K349" t="s">
        <v>51</v>
      </c>
      <c r="L349" s="15" t="s">
        <v>650</v>
      </c>
      <c r="M349" t="s">
        <v>53</v>
      </c>
      <c r="N349" t="s">
        <v>651</v>
      </c>
      <c r="O349" t="s">
        <v>652</v>
      </c>
      <c r="P349" t="s">
        <v>56</v>
      </c>
      <c r="Q349" s="21" t="s">
        <v>653</v>
      </c>
      <c r="S349" t="s">
        <v>654</v>
      </c>
      <c r="T349" t="s">
        <v>655</v>
      </c>
      <c r="X349" t="s">
        <v>49</v>
      </c>
      <c r="Z349" s="15"/>
      <c r="AA349" t="s">
        <v>656</v>
      </c>
      <c r="AB349">
        <v>38.963585999999999</v>
      </c>
      <c r="AC349">
        <v>-98.589060000000003</v>
      </c>
      <c r="AG349" t="s">
        <v>62</v>
      </c>
      <c r="AH349" t="s">
        <v>63</v>
      </c>
      <c r="AI349" s="18" t="s">
        <v>657</v>
      </c>
      <c r="AJ349" t="s">
        <v>658</v>
      </c>
      <c r="AK349" t="s">
        <v>659</v>
      </c>
      <c r="AL349" t="s">
        <v>660</v>
      </c>
      <c r="AM349" t="s">
        <v>661</v>
      </c>
      <c r="AO349" t="s">
        <v>68</v>
      </c>
      <c r="AQ349" t="s">
        <v>695</v>
      </c>
      <c r="AR349" t="s">
        <v>696</v>
      </c>
      <c r="AS349" t="s">
        <v>697</v>
      </c>
      <c r="AV349" s="14" t="s">
        <v>72</v>
      </c>
      <c r="AW349" s="14" t="s">
        <v>73</v>
      </c>
      <c r="AX349" s="14" t="s">
        <v>74</v>
      </c>
    </row>
    <row r="350" spans="1:50" ht="15" customHeight="1" x14ac:dyDescent="0.4">
      <c r="A350" s="12">
        <v>2063</v>
      </c>
      <c r="B350" t="s">
        <v>698</v>
      </c>
      <c r="D350" t="s">
        <v>699</v>
      </c>
      <c r="E350" s="13"/>
      <c r="F350" s="41"/>
      <c r="G350" s="65" t="s">
        <v>8185</v>
      </c>
      <c r="H350" s="14" t="s">
        <v>49</v>
      </c>
      <c r="I350" s="15"/>
      <c r="J350" t="s">
        <v>649</v>
      </c>
      <c r="K350" t="s">
        <v>51</v>
      </c>
      <c r="L350" s="15" t="s">
        <v>650</v>
      </c>
      <c r="M350" t="s">
        <v>53</v>
      </c>
      <c r="N350" t="s">
        <v>651</v>
      </c>
      <c r="O350" t="s">
        <v>652</v>
      </c>
      <c r="P350" t="s">
        <v>56</v>
      </c>
      <c r="Q350" s="21" t="s">
        <v>653</v>
      </c>
      <c r="S350" t="s">
        <v>654</v>
      </c>
      <c r="T350" t="s">
        <v>655</v>
      </c>
      <c r="X350" t="s">
        <v>49</v>
      </c>
      <c r="Z350" s="15"/>
      <c r="AA350" t="s">
        <v>656</v>
      </c>
      <c r="AB350">
        <v>38.963585999999999</v>
      </c>
      <c r="AC350">
        <v>-98.589060000000003</v>
      </c>
      <c r="AG350" t="s">
        <v>62</v>
      </c>
      <c r="AH350" t="s">
        <v>63</v>
      </c>
      <c r="AI350" s="18" t="s">
        <v>657</v>
      </c>
      <c r="AJ350" t="s">
        <v>658</v>
      </c>
      <c r="AK350" t="s">
        <v>659</v>
      </c>
      <c r="AL350" t="s">
        <v>660</v>
      </c>
      <c r="AM350" t="s">
        <v>661</v>
      </c>
      <c r="AO350" t="s">
        <v>68</v>
      </c>
      <c r="AQ350" t="s">
        <v>700</v>
      </c>
      <c r="AR350" t="s">
        <v>701</v>
      </c>
      <c r="AS350" t="s">
        <v>702</v>
      </c>
      <c r="AV350" s="14" t="s">
        <v>72</v>
      </c>
      <c r="AW350" s="14" t="s">
        <v>73</v>
      </c>
      <c r="AX350" s="14" t="s">
        <v>74</v>
      </c>
    </row>
    <row r="351" spans="1:50" ht="15" customHeight="1" x14ac:dyDescent="0.4">
      <c r="A351" s="12">
        <v>2064</v>
      </c>
      <c r="B351" t="s">
        <v>703</v>
      </c>
      <c r="D351" t="s">
        <v>704</v>
      </c>
      <c r="E351" s="13"/>
      <c r="F351" s="41"/>
      <c r="G351" s="65" t="s">
        <v>8185</v>
      </c>
      <c r="H351" s="14" t="s">
        <v>49</v>
      </c>
      <c r="I351" s="15"/>
      <c r="J351" t="s">
        <v>649</v>
      </c>
      <c r="K351" t="s">
        <v>51</v>
      </c>
      <c r="L351" s="15" t="s">
        <v>650</v>
      </c>
      <c r="M351" t="s">
        <v>53</v>
      </c>
      <c r="N351" t="s">
        <v>651</v>
      </c>
      <c r="O351" t="s">
        <v>652</v>
      </c>
      <c r="P351" t="s">
        <v>56</v>
      </c>
      <c r="Q351" s="21" t="s">
        <v>653</v>
      </c>
      <c r="S351" t="s">
        <v>654</v>
      </c>
      <c r="T351" t="s">
        <v>655</v>
      </c>
      <c r="X351" t="s">
        <v>49</v>
      </c>
      <c r="Z351" s="15"/>
      <c r="AA351" t="s">
        <v>656</v>
      </c>
      <c r="AB351">
        <v>38.963585999999999</v>
      </c>
      <c r="AC351">
        <v>-98.589060000000003</v>
      </c>
      <c r="AG351" t="s">
        <v>62</v>
      </c>
      <c r="AH351" t="s">
        <v>63</v>
      </c>
      <c r="AI351" s="18" t="s">
        <v>657</v>
      </c>
      <c r="AJ351" t="s">
        <v>658</v>
      </c>
      <c r="AK351" t="s">
        <v>659</v>
      </c>
      <c r="AL351" t="s">
        <v>660</v>
      </c>
      <c r="AM351" t="s">
        <v>661</v>
      </c>
      <c r="AO351" t="s">
        <v>68</v>
      </c>
      <c r="AQ351" t="s">
        <v>705</v>
      </c>
      <c r="AR351" t="s">
        <v>706</v>
      </c>
      <c r="AS351" t="s">
        <v>707</v>
      </c>
      <c r="AV351" s="14" t="s">
        <v>72</v>
      </c>
      <c r="AW351" s="14" t="s">
        <v>73</v>
      </c>
      <c r="AX351" s="14" t="s">
        <v>74</v>
      </c>
    </row>
    <row r="352" spans="1:50" ht="15" customHeight="1" x14ac:dyDescent="0.4">
      <c r="A352" s="12">
        <v>4014</v>
      </c>
      <c r="B352" s="21" t="s">
        <v>7969</v>
      </c>
      <c r="C352" s="13" t="s">
        <v>7970</v>
      </c>
      <c r="D352" s="13" t="s">
        <v>7970</v>
      </c>
      <c r="E352" s="13"/>
      <c r="F352" s="41"/>
      <c r="G352" s="65" t="s">
        <v>8185</v>
      </c>
      <c r="H352" s="14" t="s">
        <v>49</v>
      </c>
      <c r="I352" s="15">
        <v>44784</v>
      </c>
      <c r="J352" t="s">
        <v>7971</v>
      </c>
      <c r="K352" t="s">
        <v>51</v>
      </c>
      <c r="L352" t="s">
        <v>7972</v>
      </c>
      <c r="M352" t="s">
        <v>53</v>
      </c>
      <c r="N352" t="s">
        <v>999</v>
      </c>
      <c r="O352" t="s">
        <v>7973</v>
      </c>
      <c r="P352" t="s">
        <v>56</v>
      </c>
      <c r="Q352" s="21" t="s">
        <v>7974</v>
      </c>
      <c r="R352" s="21"/>
      <c r="S352" t="s">
        <v>7975</v>
      </c>
      <c r="T352" t="s">
        <v>7976</v>
      </c>
      <c r="X352" t="s">
        <v>60</v>
      </c>
      <c r="Z352" s="15"/>
      <c r="AB352">
        <v>45.398057999999999</v>
      </c>
      <c r="AC352">
        <v>-93.182768999999993</v>
      </c>
      <c r="AD352" t="s">
        <v>4928</v>
      </c>
      <c r="AG352" t="s">
        <v>1715</v>
      </c>
      <c r="AH352" t="s">
        <v>63</v>
      </c>
      <c r="AI352" t="s">
        <v>7977</v>
      </c>
      <c r="AJ352">
        <v>194569</v>
      </c>
      <c r="AL352" t="s">
        <v>7978</v>
      </c>
      <c r="AM352" t="s">
        <v>7979</v>
      </c>
      <c r="AN352" t="s">
        <v>7980</v>
      </c>
      <c r="AO352" t="s">
        <v>68</v>
      </c>
      <c r="AQ352" t="s">
        <v>7981</v>
      </c>
      <c r="AR352" t="s">
        <v>7982</v>
      </c>
      <c r="AS352" t="s">
        <v>7983</v>
      </c>
      <c r="AV352" s="14" t="s">
        <v>72</v>
      </c>
      <c r="AW352" s="14" t="s">
        <v>73</v>
      </c>
      <c r="AX352" s="14" t="s">
        <v>74</v>
      </c>
    </row>
    <row r="353" spans="1:50" ht="15" customHeight="1" x14ac:dyDescent="0.4">
      <c r="A353" s="12">
        <v>4015</v>
      </c>
      <c r="B353" s="21" t="s">
        <v>7984</v>
      </c>
      <c r="C353" s="13" t="s">
        <v>7985</v>
      </c>
      <c r="D353" s="13" t="s">
        <v>7985</v>
      </c>
      <c r="E353" s="13"/>
      <c r="F353" s="41"/>
      <c r="G353" s="65" t="s">
        <v>8185</v>
      </c>
      <c r="H353" s="14" t="s">
        <v>49</v>
      </c>
      <c r="I353" s="15">
        <v>44784</v>
      </c>
      <c r="J353" t="s">
        <v>7971</v>
      </c>
      <c r="K353" t="s">
        <v>51</v>
      </c>
      <c r="L353" t="s">
        <v>7972</v>
      </c>
      <c r="M353" t="s">
        <v>53</v>
      </c>
      <c r="N353" t="s">
        <v>999</v>
      </c>
      <c r="O353" t="s">
        <v>7973</v>
      </c>
      <c r="P353" t="s">
        <v>56</v>
      </c>
      <c r="Q353" s="21" t="s">
        <v>7974</v>
      </c>
      <c r="R353" s="21"/>
      <c r="S353" t="s">
        <v>7986</v>
      </c>
      <c r="T353" t="s">
        <v>7987</v>
      </c>
      <c r="W353" t="s">
        <v>1758</v>
      </c>
      <c r="X353" t="s">
        <v>60</v>
      </c>
      <c r="Z353" s="15"/>
      <c r="AB353">
        <v>45.397713000000003</v>
      </c>
      <c r="AC353">
        <v>-93.182551000000004</v>
      </c>
      <c r="AD353" t="s">
        <v>4892</v>
      </c>
      <c r="AG353" t="s">
        <v>1715</v>
      </c>
      <c r="AH353" t="s">
        <v>63</v>
      </c>
      <c r="AI353" t="s">
        <v>7988</v>
      </c>
      <c r="AJ353">
        <v>194570</v>
      </c>
      <c r="AL353" t="s">
        <v>7989</v>
      </c>
      <c r="AM353" t="s">
        <v>7990</v>
      </c>
      <c r="AN353" t="s">
        <v>7991</v>
      </c>
      <c r="AO353" t="s">
        <v>68</v>
      </c>
      <c r="AQ353" t="s">
        <v>7992</v>
      </c>
      <c r="AR353" t="s">
        <v>7993</v>
      </c>
      <c r="AS353" t="s">
        <v>7994</v>
      </c>
      <c r="AV353" s="14" t="s">
        <v>72</v>
      </c>
      <c r="AW353" s="14" t="s">
        <v>73</v>
      </c>
      <c r="AX353" s="14" t="s">
        <v>74</v>
      </c>
    </row>
    <row r="354" spans="1:50" ht="15" customHeight="1" x14ac:dyDescent="0.4">
      <c r="A354" s="12">
        <v>4016</v>
      </c>
      <c r="B354" s="21" t="s">
        <v>7995</v>
      </c>
      <c r="C354" s="13" t="s">
        <v>7996</v>
      </c>
      <c r="D354" s="13" t="s">
        <v>7996</v>
      </c>
      <c r="E354" s="13"/>
      <c r="F354" s="41"/>
      <c r="G354" s="65" t="s">
        <v>8185</v>
      </c>
      <c r="H354" s="14" t="s">
        <v>49</v>
      </c>
      <c r="I354" s="15">
        <v>44784</v>
      </c>
      <c r="J354" t="s">
        <v>7971</v>
      </c>
      <c r="K354" t="s">
        <v>51</v>
      </c>
      <c r="L354" t="s">
        <v>7972</v>
      </c>
      <c r="M354" t="s">
        <v>53</v>
      </c>
      <c r="N354" t="s">
        <v>999</v>
      </c>
      <c r="O354" t="s">
        <v>7973</v>
      </c>
      <c r="P354" t="s">
        <v>56</v>
      </c>
      <c r="Q354" s="21" t="s">
        <v>7974</v>
      </c>
      <c r="R354" s="21"/>
      <c r="S354" t="s">
        <v>7997</v>
      </c>
      <c r="T354" t="s">
        <v>7998</v>
      </c>
      <c r="W354" t="s">
        <v>1758</v>
      </c>
      <c r="X354" t="s">
        <v>60</v>
      </c>
      <c r="Z354" s="15"/>
      <c r="AB354">
        <v>45.398910999999998</v>
      </c>
      <c r="AC354">
        <v>-93.183117999999993</v>
      </c>
      <c r="AD354" t="s">
        <v>4916</v>
      </c>
      <c r="AG354" t="s">
        <v>1715</v>
      </c>
      <c r="AH354" t="s">
        <v>63</v>
      </c>
      <c r="AI354" t="s">
        <v>7999</v>
      </c>
      <c r="AJ354">
        <v>194571</v>
      </c>
      <c r="AL354" t="s">
        <v>8000</v>
      </c>
      <c r="AM354" t="s">
        <v>8001</v>
      </c>
      <c r="AN354" t="s">
        <v>8002</v>
      </c>
      <c r="AO354" t="s">
        <v>68</v>
      </c>
      <c r="AQ354" t="s">
        <v>8003</v>
      </c>
      <c r="AR354" t="s">
        <v>8004</v>
      </c>
      <c r="AS354" t="s">
        <v>8005</v>
      </c>
      <c r="AV354" s="14" t="s">
        <v>72</v>
      </c>
      <c r="AW354" s="14" t="s">
        <v>73</v>
      </c>
      <c r="AX354" s="14" t="s">
        <v>74</v>
      </c>
    </row>
    <row r="355" spans="1:50" ht="15" customHeight="1" x14ac:dyDescent="0.4">
      <c r="A355" s="12">
        <v>4017</v>
      </c>
      <c r="B355" s="21" t="s">
        <v>8006</v>
      </c>
      <c r="C355" s="13" t="s">
        <v>8007</v>
      </c>
      <c r="D355" s="13" t="s">
        <v>8007</v>
      </c>
      <c r="E355" s="13"/>
      <c r="F355" s="41"/>
      <c r="G355" s="65" t="s">
        <v>8185</v>
      </c>
      <c r="H355" s="14" t="s">
        <v>49</v>
      </c>
      <c r="I355" s="15">
        <v>44784</v>
      </c>
      <c r="J355" t="s">
        <v>7971</v>
      </c>
      <c r="K355" t="s">
        <v>51</v>
      </c>
      <c r="L355" t="s">
        <v>7972</v>
      </c>
      <c r="M355" t="s">
        <v>53</v>
      </c>
      <c r="N355" t="s">
        <v>999</v>
      </c>
      <c r="O355" t="s">
        <v>7973</v>
      </c>
      <c r="P355" t="s">
        <v>56</v>
      </c>
      <c r="Q355" s="21" t="s">
        <v>7974</v>
      </c>
      <c r="R355" s="21"/>
      <c r="S355" t="s">
        <v>8008</v>
      </c>
      <c r="T355" t="s">
        <v>8009</v>
      </c>
      <c r="W355" t="s">
        <v>1758</v>
      </c>
      <c r="X355" t="s">
        <v>60</v>
      </c>
      <c r="Z355" s="15"/>
      <c r="AB355">
        <v>45.401020000000003</v>
      </c>
      <c r="AC355">
        <v>-93.183355000000006</v>
      </c>
      <c r="AD355" t="s">
        <v>8010</v>
      </c>
      <c r="AG355" t="s">
        <v>1715</v>
      </c>
      <c r="AH355" t="s">
        <v>63</v>
      </c>
      <c r="AI355" t="s">
        <v>8011</v>
      </c>
      <c r="AJ355">
        <v>194568</v>
      </c>
      <c r="AL355" t="s">
        <v>8012</v>
      </c>
      <c r="AM355" t="s">
        <v>8013</v>
      </c>
      <c r="AN355" t="s">
        <v>8014</v>
      </c>
      <c r="AO355" t="s">
        <v>68</v>
      </c>
      <c r="AQ355" t="s">
        <v>8015</v>
      </c>
      <c r="AR355" t="s">
        <v>8016</v>
      </c>
      <c r="AS355" t="s">
        <v>8017</v>
      </c>
      <c r="AV355" s="14" t="s">
        <v>72</v>
      </c>
      <c r="AW355" s="14" t="s">
        <v>73</v>
      </c>
      <c r="AX355" s="14" t="s">
        <v>74</v>
      </c>
    </row>
    <row r="356" spans="1:50" ht="15" customHeight="1" x14ac:dyDescent="0.4">
      <c r="A356" s="12">
        <v>4018</v>
      </c>
      <c r="B356" s="21" t="s">
        <v>8018</v>
      </c>
      <c r="C356" s="13" t="s">
        <v>8019</v>
      </c>
      <c r="D356" s="13" t="s">
        <v>8019</v>
      </c>
      <c r="E356" s="13"/>
      <c r="F356" s="41"/>
      <c r="G356" s="65" t="s">
        <v>8185</v>
      </c>
      <c r="H356" s="14" t="s">
        <v>49</v>
      </c>
      <c r="I356" s="15">
        <v>44784</v>
      </c>
      <c r="J356" t="s">
        <v>7971</v>
      </c>
      <c r="K356" t="s">
        <v>51</v>
      </c>
      <c r="L356" t="s">
        <v>7972</v>
      </c>
      <c r="M356" t="s">
        <v>53</v>
      </c>
      <c r="N356" t="s">
        <v>999</v>
      </c>
      <c r="O356" t="s">
        <v>7973</v>
      </c>
      <c r="P356" t="s">
        <v>56</v>
      </c>
      <c r="Q356" s="21" t="s">
        <v>7974</v>
      </c>
      <c r="R356" s="21"/>
      <c r="S356" t="s">
        <v>8020</v>
      </c>
      <c r="T356" t="s">
        <v>8021</v>
      </c>
      <c r="W356" t="s">
        <v>1758</v>
      </c>
      <c r="X356" t="s">
        <v>60</v>
      </c>
      <c r="Z356" s="15"/>
      <c r="AB356">
        <v>45.400162000000002</v>
      </c>
      <c r="AC356">
        <v>-93.183261000000002</v>
      </c>
      <c r="AD356" t="s">
        <v>5221</v>
      </c>
      <c r="AG356" t="s">
        <v>1715</v>
      </c>
      <c r="AH356" t="s">
        <v>63</v>
      </c>
      <c r="AK356" t="s">
        <v>8022</v>
      </c>
      <c r="AO356" t="s">
        <v>68</v>
      </c>
      <c r="AQ356" t="s">
        <v>8023</v>
      </c>
      <c r="AR356" t="s">
        <v>8024</v>
      </c>
      <c r="AS356" t="s">
        <v>8025</v>
      </c>
      <c r="AV356" s="14" t="s">
        <v>72</v>
      </c>
      <c r="AW356" s="14" t="s">
        <v>73</v>
      </c>
      <c r="AX356" s="14" t="s">
        <v>74</v>
      </c>
    </row>
    <row r="357" spans="1:50" ht="15" customHeight="1" x14ac:dyDescent="0.4">
      <c r="A357" s="12">
        <v>4020</v>
      </c>
      <c r="B357" s="21" t="s">
        <v>8035</v>
      </c>
      <c r="C357" s="13" t="s">
        <v>8036</v>
      </c>
      <c r="D357" s="13" t="s">
        <v>8036</v>
      </c>
      <c r="E357" s="13"/>
      <c r="F357" s="41"/>
      <c r="G357" s="65" t="s">
        <v>8152</v>
      </c>
      <c r="H357" s="14" t="s">
        <v>1878</v>
      </c>
      <c r="I357" s="15">
        <v>44799</v>
      </c>
      <c r="J357" t="s">
        <v>7971</v>
      </c>
      <c r="K357" t="s">
        <v>51</v>
      </c>
      <c r="L357" t="s">
        <v>7972</v>
      </c>
      <c r="M357" t="s">
        <v>53</v>
      </c>
      <c r="N357" t="s">
        <v>999</v>
      </c>
      <c r="O357" t="s">
        <v>7973</v>
      </c>
      <c r="P357" t="s">
        <v>56</v>
      </c>
      <c r="Q357" s="21" t="s">
        <v>7974</v>
      </c>
      <c r="R357" s="21"/>
      <c r="S357" t="s">
        <v>8037</v>
      </c>
      <c r="T357" t="s">
        <v>8038</v>
      </c>
      <c r="X357" t="s">
        <v>1881</v>
      </c>
      <c r="Z357" s="15"/>
      <c r="AB357">
        <v>45.424425999999997</v>
      </c>
      <c r="AC357">
        <v>-93.200337000000005</v>
      </c>
      <c r="AD357" t="s">
        <v>8039</v>
      </c>
      <c r="AG357" t="s">
        <v>1715</v>
      </c>
      <c r="AH357" t="s">
        <v>63</v>
      </c>
      <c r="AI357" t="s">
        <v>8040</v>
      </c>
      <c r="AJ357">
        <v>194540</v>
      </c>
      <c r="AL357" t="s">
        <v>8041</v>
      </c>
      <c r="AM357" t="s">
        <v>8042</v>
      </c>
      <c r="AN357" t="s">
        <v>8043</v>
      </c>
      <c r="AO357" t="s">
        <v>68</v>
      </c>
      <c r="AQ357" t="s">
        <v>8044</v>
      </c>
      <c r="AR357" t="s">
        <v>8045</v>
      </c>
      <c r="AS357" t="s">
        <v>8046</v>
      </c>
      <c r="AV357" s="14" t="s">
        <v>72</v>
      </c>
      <c r="AW357" s="14" t="s">
        <v>73</v>
      </c>
      <c r="AX357" s="14" t="s">
        <v>1723</v>
      </c>
    </row>
    <row r="358" spans="1:50" ht="15" customHeight="1" x14ac:dyDescent="0.4">
      <c r="A358" s="12">
        <v>4021</v>
      </c>
      <c r="B358" s="21" t="s">
        <v>8047</v>
      </c>
      <c r="C358" s="13" t="s">
        <v>8048</v>
      </c>
      <c r="D358" s="13" t="s">
        <v>8048</v>
      </c>
      <c r="E358" s="13"/>
      <c r="F358" s="41"/>
      <c r="G358" s="65" t="s">
        <v>8185</v>
      </c>
      <c r="H358" s="14" t="s">
        <v>1878</v>
      </c>
      <c r="I358" s="15">
        <v>44799</v>
      </c>
      <c r="J358" t="s">
        <v>7971</v>
      </c>
      <c r="K358" t="s">
        <v>51</v>
      </c>
      <c r="L358" t="s">
        <v>7972</v>
      </c>
      <c r="M358" t="s">
        <v>53</v>
      </c>
      <c r="N358" t="s">
        <v>999</v>
      </c>
      <c r="O358" t="s">
        <v>7973</v>
      </c>
      <c r="P358" t="s">
        <v>56</v>
      </c>
      <c r="Q358" s="21" t="s">
        <v>7974</v>
      </c>
      <c r="R358" s="21"/>
      <c r="S358" t="s">
        <v>8049</v>
      </c>
      <c r="T358" t="s">
        <v>8050</v>
      </c>
      <c r="X358" t="s">
        <v>1881</v>
      </c>
      <c r="Z358" s="15"/>
      <c r="AB358">
        <v>45.424388</v>
      </c>
      <c r="AC358">
        <v>-93.200192000000001</v>
      </c>
      <c r="AD358" t="s">
        <v>1428</v>
      </c>
      <c r="AG358" t="s">
        <v>1715</v>
      </c>
      <c r="AH358" t="s">
        <v>63</v>
      </c>
      <c r="AI358" t="s">
        <v>8051</v>
      </c>
      <c r="AJ358">
        <v>194541</v>
      </c>
      <c r="AL358" t="s">
        <v>8052</v>
      </c>
      <c r="AM358" t="s">
        <v>8053</v>
      </c>
      <c r="AN358" t="s">
        <v>8054</v>
      </c>
      <c r="AO358" t="s">
        <v>68</v>
      </c>
      <c r="AQ358" t="s">
        <v>8055</v>
      </c>
      <c r="AR358" t="s">
        <v>8056</v>
      </c>
      <c r="AS358" t="s">
        <v>8057</v>
      </c>
      <c r="AV358" s="14" t="s">
        <v>72</v>
      </c>
      <c r="AW358" s="14" t="s">
        <v>73</v>
      </c>
      <c r="AX358" s="14" t="s">
        <v>1723</v>
      </c>
    </row>
    <row r="359" spans="1:50" ht="15" customHeight="1" x14ac:dyDescent="0.4">
      <c r="A359" s="12">
        <v>4022</v>
      </c>
      <c r="B359" s="21" t="s">
        <v>8058</v>
      </c>
      <c r="C359" s="13" t="s">
        <v>8059</v>
      </c>
      <c r="D359" s="13" t="s">
        <v>8059</v>
      </c>
      <c r="E359" s="13"/>
      <c r="F359" s="41"/>
      <c r="G359" s="65" t="s">
        <v>8185</v>
      </c>
      <c r="H359" s="14" t="s">
        <v>1878</v>
      </c>
      <c r="I359" s="15">
        <v>44799</v>
      </c>
      <c r="J359" t="s">
        <v>7971</v>
      </c>
      <c r="K359" t="s">
        <v>51</v>
      </c>
      <c r="L359" t="s">
        <v>7972</v>
      </c>
      <c r="M359" t="s">
        <v>53</v>
      </c>
      <c r="N359" t="s">
        <v>999</v>
      </c>
      <c r="O359" t="s">
        <v>7973</v>
      </c>
      <c r="P359" t="s">
        <v>56</v>
      </c>
      <c r="Q359" s="21" t="s">
        <v>7974</v>
      </c>
      <c r="R359" s="21"/>
      <c r="S359" t="s">
        <v>8060</v>
      </c>
      <c r="T359" t="s">
        <v>8061</v>
      </c>
      <c r="X359" t="s">
        <v>1881</v>
      </c>
      <c r="Z359" s="15"/>
      <c r="AB359">
        <v>45.424658999999998</v>
      </c>
      <c r="AC359">
        <v>-93.200742000000005</v>
      </c>
      <c r="AD359" t="s">
        <v>8062</v>
      </c>
      <c r="AG359" t="s">
        <v>1715</v>
      </c>
      <c r="AH359" t="s">
        <v>63</v>
      </c>
      <c r="AI359" t="s">
        <v>8063</v>
      </c>
      <c r="AJ359">
        <v>194542</v>
      </c>
      <c r="AL359" t="s">
        <v>8064</v>
      </c>
      <c r="AM359" t="s">
        <v>8065</v>
      </c>
      <c r="AN359" t="s">
        <v>8066</v>
      </c>
      <c r="AO359" t="s">
        <v>68</v>
      </c>
      <c r="AQ359" t="s">
        <v>8067</v>
      </c>
      <c r="AR359" t="s">
        <v>8068</v>
      </c>
      <c r="AS359" t="s">
        <v>8069</v>
      </c>
      <c r="AV359" s="14" t="s">
        <v>72</v>
      </c>
      <c r="AW359" s="14" t="s">
        <v>73</v>
      </c>
      <c r="AX359" s="14" t="s">
        <v>1723</v>
      </c>
    </row>
    <row r="360" spans="1:50" ht="15" customHeight="1" x14ac:dyDescent="0.4">
      <c r="A360" s="12">
        <v>4023</v>
      </c>
      <c r="B360" s="21" t="s">
        <v>8070</v>
      </c>
      <c r="C360" s="13" t="s">
        <v>8071</v>
      </c>
      <c r="D360" s="13" t="s">
        <v>8071</v>
      </c>
      <c r="E360" s="13"/>
      <c r="F360" s="41"/>
      <c r="G360" s="65" t="s">
        <v>8185</v>
      </c>
      <c r="H360" s="14" t="s">
        <v>1878</v>
      </c>
      <c r="I360" s="15">
        <v>44799</v>
      </c>
      <c r="J360" t="s">
        <v>7971</v>
      </c>
      <c r="K360" t="s">
        <v>51</v>
      </c>
      <c r="L360" t="s">
        <v>7972</v>
      </c>
      <c r="M360" t="s">
        <v>53</v>
      </c>
      <c r="N360" t="s">
        <v>999</v>
      </c>
      <c r="O360" t="s">
        <v>7973</v>
      </c>
      <c r="P360" t="s">
        <v>56</v>
      </c>
      <c r="Q360" s="21" t="s">
        <v>7974</v>
      </c>
      <c r="R360" s="21"/>
      <c r="S360" t="s">
        <v>8072</v>
      </c>
      <c r="T360" t="s">
        <v>8073</v>
      </c>
      <c r="X360" t="s">
        <v>1881</v>
      </c>
      <c r="Z360" s="15"/>
      <c r="AB360">
        <v>45.424821000000001</v>
      </c>
      <c r="AC360">
        <v>-93.201047000000003</v>
      </c>
      <c r="AD360" t="s">
        <v>6130</v>
      </c>
      <c r="AG360" t="s">
        <v>1715</v>
      </c>
      <c r="AH360" t="s">
        <v>63</v>
      </c>
      <c r="AI360" t="s">
        <v>8074</v>
      </c>
      <c r="AJ360">
        <v>194543</v>
      </c>
      <c r="AL360" t="s">
        <v>8075</v>
      </c>
      <c r="AM360" t="s">
        <v>8076</v>
      </c>
      <c r="AN360" t="s">
        <v>8077</v>
      </c>
      <c r="AO360" t="s">
        <v>68</v>
      </c>
      <c r="AQ360" t="s">
        <v>8078</v>
      </c>
      <c r="AR360" t="s">
        <v>8079</v>
      </c>
      <c r="AS360" t="s">
        <v>8080</v>
      </c>
      <c r="AV360" s="14" t="s">
        <v>72</v>
      </c>
      <c r="AW360" s="14" t="s">
        <v>73</v>
      </c>
      <c r="AX360" s="14" t="s">
        <v>1723</v>
      </c>
    </row>
    <row r="361" spans="1:50" ht="15" customHeight="1" x14ac:dyDescent="0.4">
      <c r="A361" s="33">
        <v>4019</v>
      </c>
      <c r="B361" s="37" t="s">
        <v>8026</v>
      </c>
      <c r="C361" s="35" t="s">
        <v>8027</v>
      </c>
      <c r="D361" s="35" t="s">
        <v>8027</v>
      </c>
      <c r="E361" s="35" t="s">
        <v>8019</v>
      </c>
      <c r="F361" s="56" t="s">
        <v>1878</v>
      </c>
      <c r="G361" s="65" t="s">
        <v>8185</v>
      </c>
      <c r="H361" s="34" t="s">
        <v>1878</v>
      </c>
      <c r="I361" s="36">
        <v>44799</v>
      </c>
      <c r="J361" s="34" t="s">
        <v>7971</v>
      </c>
      <c r="K361" s="34" t="s">
        <v>51</v>
      </c>
      <c r="L361" s="34" t="s">
        <v>7972</v>
      </c>
      <c r="M361" s="34" t="s">
        <v>53</v>
      </c>
      <c r="N361" s="34" t="s">
        <v>999</v>
      </c>
      <c r="O361" s="34" t="s">
        <v>7973</v>
      </c>
      <c r="P361" s="34" t="s">
        <v>56</v>
      </c>
      <c r="Q361" s="37" t="s">
        <v>7974</v>
      </c>
      <c r="R361" s="37"/>
      <c r="S361" s="34"/>
      <c r="T361" s="34"/>
      <c r="U361" s="34"/>
      <c r="V361" s="34"/>
      <c r="W361" s="34"/>
      <c r="X361" s="34" t="s">
        <v>1881</v>
      </c>
      <c r="Y361" s="34"/>
      <c r="Z361" s="36"/>
      <c r="AA361" s="34"/>
      <c r="AB361" s="34">
        <v>45.400886</v>
      </c>
      <c r="AC361" s="34">
        <v>-93.200292000000005</v>
      </c>
      <c r="AD361" s="34" t="s">
        <v>4952</v>
      </c>
      <c r="AE361" s="34"/>
      <c r="AF361" s="34"/>
      <c r="AG361" s="34" t="s">
        <v>1715</v>
      </c>
      <c r="AH361" s="34" t="s">
        <v>63</v>
      </c>
      <c r="AI361" s="34" t="s">
        <v>8028</v>
      </c>
      <c r="AJ361" s="34">
        <v>194539</v>
      </c>
      <c r="AK361" s="34"/>
      <c r="AL361" s="34" t="s">
        <v>8029</v>
      </c>
      <c r="AM361" s="34" t="s">
        <v>8030</v>
      </c>
      <c r="AN361" s="34" t="s">
        <v>8031</v>
      </c>
      <c r="AO361" s="34" t="s">
        <v>68</v>
      </c>
      <c r="AP361" s="34"/>
      <c r="AQ361" s="34" t="s">
        <v>8032</v>
      </c>
      <c r="AR361" s="34" t="s">
        <v>8033</v>
      </c>
      <c r="AS361" s="34" t="s">
        <v>8034</v>
      </c>
      <c r="AT361" s="34"/>
      <c r="AU361" s="34"/>
      <c r="AV361" s="34" t="s">
        <v>72</v>
      </c>
      <c r="AW361" s="34" t="s">
        <v>73</v>
      </c>
      <c r="AX361" s="34" t="s">
        <v>1723</v>
      </c>
    </row>
    <row r="362" spans="1:50" ht="15" customHeight="1" x14ac:dyDescent="0.4">
      <c r="A362" s="12">
        <v>3706</v>
      </c>
      <c r="B362" s="21" t="s">
        <v>4370</v>
      </c>
      <c r="C362" s="13" t="s">
        <v>4371</v>
      </c>
      <c r="D362" s="25" t="s">
        <v>4371</v>
      </c>
      <c r="E362" s="13"/>
      <c r="F362" s="41"/>
      <c r="G362" s="65" t="s">
        <v>8185</v>
      </c>
      <c r="H362" s="14" t="s">
        <v>49</v>
      </c>
      <c r="I362" s="15">
        <v>44762</v>
      </c>
      <c r="J362" t="s">
        <v>2719</v>
      </c>
      <c r="K362" t="s">
        <v>51</v>
      </c>
      <c r="L362" t="s">
        <v>52</v>
      </c>
      <c r="M362" t="s">
        <v>53</v>
      </c>
      <c r="N362" t="s">
        <v>999</v>
      </c>
      <c r="O362" t="s">
        <v>4372</v>
      </c>
      <c r="P362" t="s">
        <v>56</v>
      </c>
      <c r="Q362" s="21" t="s">
        <v>4373</v>
      </c>
      <c r="R362" s="21"/>
      <c r="S362" t="s">
        <v>4374</v>
      </c>
      <c r="T362" t="s">
        <v>4375</v>
      </c>
      <c r="W362" t="s">
        <v>2336</v>
      </c>
      <c r="X362" t="s">
        <v>60</v>
      </c>
      <c r="Z362" s="15"/>
      <c r="AB362">
        <v>43.902219000000002</v>
      </c>
      <c r="AC362">
        <v>-91.638919000000001</v>
      </c>
      <c r="AD362" t="s">
        <v>4376</v>
      </c>
      <c r="AG362" t="s">
        <v>1715</v>
      </c>
      <c r="AH362" t="s">
        <v>63</v>
      </c>
      <c r="AI362" t="s">
        <v>4377</v>
      </c>
      <c r="AJ362">
        <v>192543</v>
      </c>
      <c r="AL362" t="s">
        <v>4378</v>
      </c>
      <c r="AM362" t="s">
        <v>4379</v>
      </c>
      <c r="AN362" t="s">
        <v>4380</v>
      </c>
      <c r="AO362" t="s">
        <v>68</v>
      </c>
      <c r="AQ362" t="s">
        <v>4381</v>
      </c>
      <c r="AR362" t="s">
        <v>4382</v>
      </c>
      <c r="AS362" t="s">
        <v>4383</v>
      </c>
      <c r="AV362" s="14" t="s">
        <v>72</v>
      </c>
      <c r="AW362" s="14" t="s">
        <v>73</v>
      </c>
      <c r="AX362" s="14" t="s">
        <v>74</v>
      </c>
    </row>
    <row r="363" spans="1:50" ht="15" customHeight="1" x14ac:dyDescent="0.4">
      <c r="A363" s="12">
        <v>3707</v>
      </c>
      <c r="B363" s="21" t="s">
        <v>4384</v>
      </c>
      <c r="C363" s="13" t="s">
        <v>4385</v>
      </c>
      <c r="D363" s="25" t="s">
        <v>4385</v>
      </c>
      <c r="E363" s="13"/>
      <c r="F363" s="41"/>
      <c r="G363" s="65" t="s">
        <v>8185</v>
      </c>
      <c r="H363" s="14" t="s">
        <v>49</v>
      </c>
      <c r="I363" s="15">
        <v>44762</v>
      </c>
      <c r="J363" t="s">
        <v>2719</v>
      </c>
      <c r="K363" t="s">
        <v>51</v>
      </c>
      <c r="L363" t="s">
        <v>52</v>
      </c>
      <c r="M363" t="s">
        <v>53</v>
      </c>
      <c r="N363" t="s">
        <v>999</v>
      </c>
      <c r="O363" t="s">
        <v>4372</v>
      </c>
      <c r="P363" t="s">
        <v>56</v>
      </c>
      <c r="Q363" s="21" t="s">
        <v>4373</v>
      </c>
      <c r="R363" s="21"/>
      <c r="S363" t="s">
        <v>4386</v>
      </c>
      <c r="T363" t="s">
        <v>4387</v>
      </c>
      <c r="W363" t="s">
        <v>1758</v>
      </c>
      <c r="X363" t="s">
        <v>60</v>
      </c>
      <c r="Z363" s="15"/>
      <c r="AB363">
        <v>43.903267</v>
      </c>
      <c r="AC363">
        <v>-91.640004000000005</v>
      </c>
      <c r="AD363" t="s">
        <v>4388</v>
      </c>
      <c r="AG363" t="s">
        <v>1715</v>
      </c>
      <c r="AH363" t="s">
        <v>63</v>
      </c>
      <c r="AI363" t="s">
        <v>4389</v>
      </c>
      <c r="AJ363">
        <v>192575</v>
      </c>
      <c r="AL363" t="s">
        <v>4390</v>
      </c>
      <c r="AM363" t="s">
        <v>4391</v>
      </c>
      <c r="AN363" t="s">
        <v>4392</v>
      </c>
      <c r="AO363" t="s">
        <v>68</v>
      </c>
      <c r="AQ363" t="s">
        <v>4393</v>
      </c>
      <c r="AR363" t="s">
        <v>4394</v>
      </c>
      <c r="AS363" t="s">
        <v>4395</v>
      </c>
      <c r="AV363" s="14" t="s">
        <v>72</v>
      </c>
      <c r="AW363" s="14" t="s">
        <v>73</v>
      </c>
      <c r="AX363" s="14" t="s">
        <v>74</v>
      </c>
    </row>
    <row r="364" spans="1:50" ht="15" customHeight="1" x14ac:dyDescent="0.4">
      <c r="A364" s="12">
        <v>3708</v>
      </c>
      <c r="B364" s="21" t="s">
        <v>4396</v>
      </c>
      <c r="C364" s="13" t="s">
        <v>4397</v>
      </c>
      <c r="D364" s="25" t="s">
        <v>4397</v>
      </c>
      <c r="E364" s="13"/>
      <c r="F364" s="41"/>
      <c r="G364" s="65" t="s">
        <v>8185</v>
      </c>
      <c r="H364" s="14" t="s">
        <v>49</v>
      </c>
      <c r="I364" s="15">
        <v>44762</v>
      </c>
      <c r="J364" t="s">
        <v>2719</v>
      </c>
      <c r="K364" t="s">
        <v>51</v>
      </c>
      <c r="L364" t="s">
        <v>52</v>
      </c>
      <c r="M364" t="s">
        <v>53</v>
      </c>
      <c r="N364" t="s">
        <v>999</v>
      </c>
      <c r="O364" t="s">
        <v>4372</v>
      </c>
      <c r="P364" t="s">
        <v>56</v>
      </c>
      <c r="Q364" s="21" t="s">
        <v>4373</v>
      </c>
      <c r="R364" s="21"/>
      <c r="S364" t="s">
        <v>4398</v>
      </c>
      <c r="T364" t="s">
        <v>4399</v>
      </c>
      <c r="X364" t="s">
        <v>60</v>
      </c>
      <c r="Z364" s="15"/>
      <c r="AB364">
        <v>43.904381999999998</v>
      </c>
      <c r="AC364">
        <v>-91.639274</v>
      </c>
      <c r="AD364" t="s">
        <v>4400</v>
      </c>
      <c r="AG364" t="s">
        <v>1715</v>
      </c>
      <c r="AH364" t="s">
        <v>63</v>
      </c>
      <c r="AI364" t="s">
        <v>4401</v>
      </c>
      <c r="AJ364">
        <v>194471</v>
      </c>
      <c r="AL364" t="s">
        <v>4402</v>
      </c>
      <c r="AM364" t="s">
        <v>4403</v>
      </c>
      <c r="AN364" t="s">
        <v>4404</v>
      </c>
      <c r="AO364" t="s">
        <v>68</v>
      </c>
      <c r="AQ364" t="s">
        <v>4405</v>
      </c>
      <c r="AR364" t="s">
        <v>4406</v>
      </c>
      <c r="AS364" t="s">
        <v>4407</v>
      </c>
      <c r="AV364" s="14" t="s">
        <v>72</v>
      </c>
      <c r="AW364" s="14" t="s">
        <v>73</v>
      </c>
      <c r="AX364" s="14" t="s">
        <v>74</v>
      </c>
    </row>
    <row r="365" spans="1:50" ht="15" customHeight="1" x14ac:dyDescent="0.4">
      <c r="A365" s="12">
        <v>3709</v>
      </c>
      <c r="B365" s="21" t="s">
        <v>4408</v>
      </c>
      <c r="C365" s="13" t="s">
        <v>4409</v>
      </c>
      <c r="D365" s="25" t="s">
        <v>4409</v>
      </c>
      <c r="E365" s="13"/>
      <c r="F365" s="41"/>
      <c r="G365" s="65" t="s">
        <v>8185</v>
      </c>
      <c r="H365" s="14" t="s">
        <v>1878</v>
      </c>
      <c r="I365" s="15">
        <v>44762</v>
      </c>
      <c r="J365" t="s">
        <v>2719</v>
      </c>
      <c r="K365" t="s">
        <v>51</v>
      </c>
      <c r="L365" t="s">
        <v>52</v>
      </c>
      <c r="M365" t="s">
        <v>53</v>
      </c>
      <c r="N365" t="s">
        <v>999</v>
      </c>
      <c r="O365" t="s">
        <v>4372</v>
      </c>
      <c r="P365" t="s">
        <v>56</v>
      </c>
      <c r="Q365" s="21" t="s">
        <v>4373</v>
      </c>
      <c r="R365" s="21"/>
      <c r="S365" t="s">
        <v>4410</v>
      </c>
      <c r="T365" t="s">
        <v>4411</v>
      </c>
      <c r="X365" t="s">
        <v>1881</v>
      </c>
      <c r="Z365" s="15"/>
      <c r="AB365">
        <v>43.904418</v>
      </c>
      <c r="AC365">
        <v>-91.639259999999993</v>
      </c>
      <c r="AD365" t="s">
        <v>4412</v>
      </c>
      <c r="AG365" t="s">
        <v>1715</v>
      </c>
      <c r="AH365" t="s">
        <v>63</v>
      </c>
      <c r="AI365" t="s">
        <v>4413</v>
      </c>
      <c r="AJ365">
        <v>192539</v>
      </c>
      <c r="AL365" t="s">
        <v>4414</v>
      </c>
      <c r="AM365" t="s">
        <v>4415</v>
      </c>
      <c r="AN365" t="s">
        <v>4416</v>
      </c>
      <c r="AO365" t="s">
        <v>68</v>
      </c>
      <c r="AQ365" t="s">
        <v>4417</v>
      </c>
      <c r="AR365" t="s">
        <v>4418</v>
      </c>
      <c r="AS365" t="s">
        <v>4419</v>
      </c>
      <c r="AV365" s="14" t="s">
        <v>72</v>
      </c>
      <c r="AW365" s="14" t="s">
        <v>73</v>
      </c>
      <c r="AX365" s="14" t="s">
        <v>1723</v>
      </c>
    </row>
    <row r="366" spans="1:50" ht="15" customHeight="1" x14ac:dyDescent="0.4">
      <c r="A366" s="12">
        <v>3710</v>
      </c>
      <c r="B366" s="21" t="s">
        <v>4420</v>
      </c>
      <c r="C366" s="13" t="s">
        <v>4421</v>
      </c>
      <c r="D366" s="25" t="s">
        <v>4421</v>
      </c>
      <c r="E366" s="13"/>
      <c r="F366" s="41"/>
      <c r="G366" s="65" t="s">
        <v>8185</v>
      </c>
      <c r="H366" s="14" t="s">
        <v>49</v>
      </c>
      <c r="I366" s="15">
        <v>44762</v>
      </c>
      <c r="J366" t="s">
        <v>2719</v>
      </c>
      <c r="K366" t="s">
        <v>51</v>
      </c>
      <c r="L366" t="s">
        <v>52</v>
      </c>
      <c r="M366" t="s">
        <v>53</v>
      </c>
      <c r="N366" t="s">
        <v>999</v>
      </c>
      <c r="O366" t="s">
        <v>4372</v>
      </c>
      <c r="P366" t="s">
        <v>56</v>
      </c>
      <c r="Q366" s="21" t="s">
        <v>4373</v>
      </c>
      <c r="R366" s="21"/>
      <c r="S366" t="s">
        <v>4398</v>
      </c>
      <c r="T366" t="s">
        <v>4422</v>
      </c>
      <c r="W366" t="s">
        <v>2321</v>
      </c>
      <c r="X366" t="s">
        <v>60</v>
      </c>
      <c r="Z366" s="15"/>
      <c r="AB366">
        <v>43.904260999999998</v>
      </c>
      <c r="AC366">
        <v>-91.639259999999993</v>
      </c>
      <c r="AD366" t="s">
        <v>4423</v>
      </c>
      <c r="AG366" t="s">
        <v>1715</v>
      </c>
      <c r="AH366" t="s">
        <v>63</v>
      </c>
      <c r="AI366" t="s">
        <v>4424</v>
      </c>
      <c r="AJ366">
        <v>192654</v>
      </c>
      <c r="AL366" t="s">
        <v>4425</v>
      </c>
      <c r="AM366" t="s">
        <v>4426</v>
      </c>
      <c r="AN366" t="s">
        <v>4427</v>
      </c>
      <c r="AO366" t="s">
        <v>68</v>
      </c>
      <c r="AQ366" t="s">
        <v>4428</v>
      </c>
      <c r="AR366" t="s">
        <v>4429</v>
      </c>
      <c r="AS366" t="s">
        <v>4430</v>
      </c>
      <c r="AV366" s="14" t="s">
        <v>72</v>
      </c>
      <c r="AW366" s="14" t="s">
        <v>73</v>
      </c>
      <c r="AX366" s="14" t="s">
        <v>74</v>
      </c>
    </row>
    <row r="367" spans="1:50" ht="15" customHeight="1" x14ac:dyDescent="0.4">
      <c r="A367" s="12">
        <v>3711</v>
      </c>
      <c r="B367" s="21" t="s">
        <v>4431</v>
      </c>
      <c r="C367" s="13" t="s">
        <v>4432</v>
      </c>
      <c r="D367" s="25" t="s">
        <v>4432</v>
      </c>
      <c r="E367" s="13"/>
      <c r="F367" s="41"/>
      <c r="G367" s="65" t="s">
        <v>8185</v>
      </c>
      <c r="H367" s="14" t="s">
        <v>49</v>
      </c>
      <c r="I367" s="15">
        <v>44762</v>
      </c>
      <c r="J367" t="s">
        <v>2719</v>
      </c>
      <c r="K367" t="s">
        <v>51</v>
      </c>
      <c r="L367" t="s">
        <v>52</v>
      </c>
      <c r="M367" t="s">
        <v>53</v>
      </c>
      <c r="N367" t="s">
        <v>999</v>
      </c>
      <c r="O367" t="s">
        <v>4372</v>
      </c>
      <c r="P367" t="s">
        <v>56</v>
      </c>
      <c r="Q367" s="21" t="s">
        <v>4373</v>
      </c>
      <c r="R367" s="21"/>
      <c r="S367" t="s">
        <v>2271</v>
      </c>
      <c r="T367" t="s">
        <v>4433</v>
      </c>
      <c r="W367" t="s">
        <v>2321</v>
      </c>
      <c r="X367" t="s">
        <v>60</v>
      </c>
      <c r="Z367" s="15"/>
      <c r="AB367">
        <v>43.892257999999998</v>
      </c>
      <c r="AC367">
        <v>-91.642792</v>
      </c>
      <c r="AD367" t="s">
        <v>4434</v>
      </c>
      <c r="AG367" t="s">
        <v>1715</v>
      </c>
      <c r="AH367" t="s">
        <v>63</v>
      </c>
      <c r="AI367" t="s">
        <v>4435</v>
      </c>
      <c r="AJ367">
        <v>194464</v>
      </c>
      <c r="AL367" t="s">
        <v>4436</v>
      </c>
      <c r="AM367" t="s">
        <v>4437</v>
      </c>
      <c r="AN367" t="s">
        <v>4438</v>
      </c>
      <c r="AO367" t="s">
        <v>68</v>
      </c>
      <c r="AQ367" t="s">
        <v>4439</v>
      </c>
      <c r="AR367" t="s">
        <v>4440</v>
      </c>
      <c r="AS367" t="s">
        <v>4441</v>
      </c>
      <c r="AV367" s="14" t="s">
        <v>72</v>
      </c>
      <c r="AW367" s="14" t="s">
        <v>73</v>
      </c>
      <c r="AX367" s="14" t="s">
        <v>74</v>
      </c>
    </row>
    <row r="368" spans="1:50" ht="15" customHeight="1" x14ac:dyDescent="0.4">
      <c r="A368" s="12">
        <v>3712</v>
      </c>
      <c r="B368" s="21" t="s">
        <v>4442</v>
      </c>
      <c r="C368" s="13" t="s">
        <v>4443</v>
      </c>
      <c r="D368" s="25" t="s">
        <v>4443</v>
      </c>
      <c r="E368" s="13"/>
      <c r="F368" s="41" t="s">
        <v>8119</v>
      </c>
      <c r="G368" s="65" t="s">
        <v>8185</v>
      </c>
      <c r="H368" s="14" t="s">
        <v>1878</v>
      </c>
      <c r="I368" s="15">
        <v>44762</v>
      </c>
      <c r="J368" t="s">
        <v>2719</v>
      </c>
      <c r="K368" t="s">
        <v>51</v>
      </c>
      <c r="L368" t="s">
        <v>52</v>
      </c>
      <c r="M368" t="s">
        <v>53</v>
      </c>
      <c r="N368" t="s">
        <v>999</v>
      </c>
      <c r="O368" t="s">
        <v>4372</v>
      </c>
      <c r="P368" t="s">
        <v>56</v>
      </c>
      <c r="Q368" s="21" t="s">
        <v>4373</v>
      </c>
      <c r="R368" s="21"/>
      <c r="S368" t="s">
        <v>4444</v>
      </c>
      <c r="T368" t="s">
        <v>4445</v>
      </c>
      <c r="W368" t="s">
        <v>2666</v>
      </c>
      <c r="X368" t="s">
        <v>1881</v>
      </c>
      <c r="Z368" s="15"/>
      <c r="AB368">
        <v>43.896107999999998</v>
      </c>
      <c r="AC368">
        <v>-91.631756999999993</v>
      </c>
      <c r="AD368" t="s">
        <v>4446</v>
      </c>
      <c r="AG368" t="s">
        <v>1715</v>
      </c>
      <c r="AH368" t="s">
        <v>63</v>
      </c>
      <c r="AI368" t="s">
        <v>4447</v>
      </c>
      <c r="AJ368">
        <v>192552</v>
      </c>
      <c r="AL368" t="s">
        <v>4448</v>
      </c>
      <c r="AM368" t="s">
        <v>4449</v>
      </c>
      <c r="AN368" t="s">
        <v>4450</v>
      </c>
      <c r="AO368" t="s">
        <v>68</v>
      </c>
      <c r="AQ368" t="s">
        <v>4451</v>
      </c>
      <c r="AR368" t="s">
        <v>4452</v>
      </c>
      <c r="AS368" t="s">
        <v>4453</v>
      </c>
      <c r="AV368" s="14" t="s">
        <v>72</v>
      </c>
      <c r="AW368" s="14" t="s">
        <v>73</v>
      </c>
      <c r="AX368" s="14" t="s">
        <v>1723</v>
      </c>
    </row>
    <row r="369" spans="1:50" ht="15" customHeight="1" x14ac:dyDescent="0.4">
      <c r="A369" s="12">
        <v>3713</v>
      </c>
      <c r="B369" s="21" t="s">
        <v>4454</v>
      </c>
      <c r="C369" s="13" t="s">
        <v>4455</v>
      </c>
      <c r="D369" s="25" t="s">
        <v>4455</v>
      </c>
      <c r="E369" s="13"/>
      <c r="F369" s="41"/>
      <c r="G369" s="65" t="s">
        <v>8185</v>
      </c>
      <c r="H369" s="14" t="s">
        <v>1878</v>
      </c>
      <c r="I369" s="15">
        <v>44762</v>
      </c>
      <c r="J369" t="s">
        <v>2719</v>
      </c>
      <c r="K369" t="s">
        <v>51</v>
      </c>
      <c r="L369" t="s">
        <v>52</v>
      </c>
      <c r="M369" t="s">
        <v>53</v>
      </c>
      <c r="N369" t="s">
        <v>999</v>
      </c>
      <c r="O369" t="s">
        <v>4372</v>
      </c>
      <c r="P369" t="s">
        <v>56</v>
      </c>
      <c r="Q369" s="21" t="s">
        <v>4373</v>
      </c>
      <c r="R369" s="21"/>
      <c r="S369" t="s">
        <v>4456</v>
      </c>
      <c r="T369" t="s">
        <v>4457</v>
      </c>
      <c r="X369" t="s">
        <v>1881</v>
      </c>
      <c r="Z369" s="15"/>
      <c r="AB369">
        <v>43.892114999999997</v>
      </c>
      <c r="AC369">
        <v>-91.632148000000001</v>
      </c>
      <c r="AD369" t="s">
        <v>4446</v>
      </c>
      <c r="AG369" t="s">
        <v>1715</v>
      </c>
      <c r="AH369" t="s">
        <v>63</v>
      </c>
      <c r="AI369" t="s">
        <v>4458</v>
      </c>
      <c r="AJ369">
        <v>192538</v>
      </c>
      <c r="AL369" t="s">
        <v>4459</v>
      </c>
      <c r="AM369" t="s">
        <v>4460</v>
      </c>
      <c r="AN369" t="s">
        <v>4461</v>
      </c>
      <c r="AO369" t="s">
        <v>68</v>
      </c>
      <c r="AQ369" t="s">
        <v>4462</v>
      </c>
      <c r="AR369" t="s">
        <v>4463</v>
      </c>
      <c r="AS369" t="s">
        <v>4464</v>
      </c>
      <c r="AV369" s="14" t="s">
        <v>72</v>
      </c>
      <c r="AW369" s="14" t="s">
        <v>73</v>
      </c>
      <c r="AX369" s="14" t="s">
        <v>1723</v>
      </c>
    </row>
    <row r="370" spans="1:50" ht="15" customHeight="1" x14ac:dyDescent="0.4">
      <c r="A370" s="12">
        <v>2424</v>
      </c>
      <c r="B370" t="s">
        <v>996</v>
      </c>
      <c r="D370" t="s">
        <v>997</v>
      </c>
      <c r="E370" s="13"/>
      <c r="F370" s="41"/>
      <c r="G370" s="65" t="s">
        <v>8185</v>
      </c>
      <c r="H370" s="14" t="s">
        <v>49</v>
      </c>
      <c r="I370" s="15">
        <v>42974</v>
      </c>
      <c r="J370" t="s">
        <v>998</v>
      </c>
      <c r="K370" t="s">
        <v>51</v>
      </c>
      <c r="L370" s="15" t="s">
        <v>52</v>
      </c>
      <c r="M370" t="s">
        <v>53</v>
      </c>
      <c r="N370" t="s">
        <v>999</v>
      </c>
      <c r="O370" t="s">
        <v>1000</v>
      </c>
      <c r="P370" t="s">
        <v>56</v>
      </c>
      <c r="Q370" s="16" t="s">
        <v>1001</v>
      </c>
      <c r="R370" s="21"/>
      <c r="S370" t="s">
        <v>1002</v>
      </c>
      <c r="T370" t="s">
        <v>1003</v>
      </c>
      <c r="X370" t="s">
        <v>180</v>
      </c>
      <c r="Y370" t="s">
        <v>79</v>
      </c>
      <c r="Z370" s="15">
        <v>45597</v>
      </c>
      <c r="AA370" t="s">
        <v>48</v>
      </c>
      <c r="AB370" s="17">
        <v>44.363880000000002</v>
      </c>
      <c r="AC370" s="17">
        <v>-93.935429999999997</v>
      </c>
      <c r="AD370" t="s">
        <v>1004</v>
      </c>
      <c r="AG370" t="s">
        <v>62</v>
      </c>
      <c r="AH370" t="s">
        <v>63</v>
      </c>
      <c r="AI370" t="s">
        <v>1005</v>
      </c>
      <c r="AJ370">
        <v>186406</v>
      </c>
      <c r="AL370" t="s">
        <v>1006</v>
      </c>
      <c r="AM370" t="s">
        <v>1007</v>
      </c>
      <c r="AN370" t="s">
        <v>1008</v>
      </c>
      <c r="AO370" t="s">
        <v>68</v>
      </c>
      <c r="AQ370" t="s">
        <v>1009</v>
      </c>
      <c r="AR370" t="s">
        <v>1010</v>
      </c>
      <c r="AS370" t="s">
        <v>1011</v>
      </c>
      <c r="AT370" s="31" t="s">
        <v>1012</v>
      </c>
      <c r="AU370" s="31" t="s">
        <v>85</v>
      </c>
      <c r="AV370" s="14" t="s">
        <v>72</v>
      </c>
      <c r="AW370" s="14" t="s">
        <v>73</v>
      </c>
      <c r="AX370" s="14" t="s">
        <v>74</v>
      </c>
    </row>
    <row r="371" spans="1:50" ht="15" customHeight="1" x14ac:dyDescent="0.4">
      <c r="A371" s="12">
        <v>2425</v>
      </c>
      <c r="B371" t="s">
        <v>1013</v>
      </c>
      <c r="D371" t="s">
        <v>1014</v>
      </c>
      <c r="E371" s="13"/>
      <c r="F371" s="41"/>
      <c r="G371" s="65" t="s">
        <v>8185</v>
      </c>
      <c r="H371" s="14" t="s">
        <v>49</v>
      </c>
      <c r="I371" s="15">
        <v>42974</v>
      </c>
      <c r="J371" t="s">
        <v>998</v>
      </c>
      <c r="K371" t="s">
        <v>51</v>
      </c>
      <c r="L371" s="15" t="s">
        <v>52</v>
      </c>
      <c r="M371" t="s">
        <v>53</v>
      </c>
      <c r="N371" t="s">
        <v>999</v>
      </c>
      <c r="O371" t="s">
        <v>1000</v>
      </c>
      <c r="P371" t="s">
        <v>56</v>
      </c>
      <c r="Q371" s="16" t="s">
        <v>1001</v>
      </c>
      <c r="R371" s="21"/>
      <c r="S371" t="s">
        <v>1002</v>
      </c>
      <c r="T371" t="s">
        <v>1003</v>
      </c>
      <c r="X371" t="s">
        <v>60</v>
      </c>
      <c r="Z371" s="15"/>
      <c r="AG371" t="s">
        <v>62</v>
      </c>
      <c r="AH371" t="s">
        <v>63</v>
      </c>
      <c r="AI371" t="s">
        <v>1015</v>
      </c>
      <c r="AJ371" t="s">
        <v>1016</v>
      </c>
      <c r="AL371" t="s">
        <v>1017</v>
      </c>
      <c r="AM371" t="s">
        <v>1018</v>
      </c>
      <c r="AN371" t="s">
        <v>1019</v>
      </c>
      <c r="AO371" t="s">
        <v>68</v>
      </c>
      <c r="AQ371" t="s">
        <v>1020</v>
      </c>
      <c r="AR371" t="s">
        <v>1021</v>
      </c>
      <c r="AS371" t="s">
        <v>1022</v>
      </c>
      <c r="AV371" s="14" t="s">
        <v>72</v>
      </c>
      <c r="AW371" s="14" t="s">
        <v>73</v>
      </c>
      <c r="AX371" s="14" t="s">
        <v>74</v>
      </c>
    </row>
    <row r="372" spans="1:50" ht="15" customHeight="1" x14ac:dyDescent="0.4">
      <c r="A372" s="12">
        <v>2426</v>
      </c>
      <c r="B372" t="s">
        <v>1023</v>
      </c>
      <c r="D372" t="s">
        <v>1024</v>
      </c>
      <c r="E372" s="13"/>
      <c r="F372" s="41"/>
      <c r="G372" s="65" t="s">
        <v>8185</v>
      </c>
      <c r="H372" s="14" t="s">
        <v>49</v>
      </c>
      <c r="I372" s="15">
        <v>42974</v>
      </c>
      <c r="J372" t="s">
        <v>998</v>
      </c>
      <c r="K372" t="s">
        <v>51</v>
      </c>
      <c r="L372" s="15" t="s">
        <v>52</v>
      </c>
      <c r="M372" t="s">
        <v>53</v>
      </c>
      <c r="N372" t="s">
        <v>999</v>
      </c>
      <c r="O372" t="s">
        <v>1000</v>
      </c>
      <c r="P372" t="s">
        <v>56</v>
      </c>
      <c r="Q372" s="16" t="s">
        <v>1001</v>
      </c>
      <c r="R372" s="21"/>
      <c r="S372" t="s">
        <v>1002</v>
      </c>
      <c r="T372" t="s">
        <v>1003</v>
      </c>
      <c r="X372" t="s">
        <v>60</v>
      </c>
      <c r="Z372" s="15"/>
      <c r="AG372" t="s">
        <v>62</v>
      </c>
      <c r="AH372" t="s">
        <v>63</v>
      </c>
      <c r="AI372" t="s">
        <v>1025</v>
      </c>
      <c r="AJ372" t="s">
        <v>1026</v>
      </c>
      <c r="AL372" t="s">
        <v>1027</v>
      </c>
      <c r="AM372" t="s">
        <v>1028</v>
      </c>
      <c r="AN372" t="s">
        <v>1029</v>
      </c>
      <c r="AO372" t="s">
        <v>68</v>
      </c>
      <c r="AQ372" t="s">
        <v>1030</v>
      </c>
      <c r="AR372" t="s">
        <v>1031</v>
      </c>
      <c r="AS372" t="s">
        <v>1032</v>
      </c>
      <c r="AV372" s="14" t="s">
        <v>72</v>
      </c>
      <c r="AW372" s="14" t="s">
        <v>73</v>
      </c>
      <c r="AX372" s="14" t="s">
        <v>74</v>
      </c>
    </row>
    <row r="373" spans="1:50" ht="15" customHeight="1" x14ac:dyDescent="0.4">
      <c r="A373" s="12">
        <v>2427</v>
      </c>
      <c r="B373" t="s">
        <v>1033</v>
      </c>
      <c r="D373" t="s">
        <v>1034</v>
      </c>
      <c r="E373" s="13"/>
      <c r="F373" s="41"/>
      <c r="G373" s="65" t="s">
        <v>8185</v>
      </c>
      <c r="H373" s="14" t="s">
        <v>49</v>
      </c>
      <c r="I373" s="15">
        <v>42974</v>
      </c>
      <c r="J373" t="s">
        <v>998</v>
      </c>
      <c r="K373" t="s">
        <v>51</v>
      </c>
      <c r="L373" s="15" t="s">
        <v>52</v>
      </c>
      <c r="M373" t="s">
        <v>53</v>
      </c>
      <c r="N373" t="s">
        <v>999</v>
      </c>
      <c r="O373" t="s">
        <v>1000</v>
      </c>
      <c r="P373" t="s">
        <v>56</v>
      </c>
      <c r="Q373" s="16" t="s">
        <v>1001</v>
      </c>
      <c r="R373" s="21"/>
      <c r="S373" t="s">
        <v>1002</v>
      </c>
      <c r="T373" t="s">
        <v>1003</v>
      </c>
      <c r="X373" t="s">
        <v>78</v>
      </c>
      <c r="Y373" t="s">
        <v>1035</v>
      </c>
      <c r="Z373" s="15">
        <v>45597</v>
      </c>
      <c r="AA373" t="s">
        <v>48</v>
      </c>
      <c r="AG373" t="s">
        <v>62</v>
      </c>
      <c r="AH373" t="s">
        <v>63</v>
      </c>
      <c r="AI373" t="s">
        <v>1036</v>
      </c>
      <c r="AJ373">
        <v>186382</v>
      </c>
      <c r="AL373" t="s">
        <v>1037</v>
      </c>
      <c r="AM373" t="s">
        <v>1038</v>
      </c>
      <c r="AN373" t="s">
        <v>1039</v>
      </c>
      <c r="AO373" t="s">
        <v>68</v>
      </c>
      <c r="AQ373" t="s">
        <v>1040</v>
      </c>
      <c r="AR373" t="s">
        <v>1041</v>
      </c>
      <c r="AS373" t="s">
        <v>1042</v>
      </c>
      <c r="AT373" s="31" t="s">
        <v>1043</v>
      </c>
      <c r="AU373" s="31" t="s">
        <v>85</v>
      </c>
      <c r="AV373" s="14" t="s">
        <v>72</v>
      </c>
      <c r="AW373" s="14" t="s">
        <v>73</v>
      </c>
      <c r="AX373" s="14" t="s">
        <v>74</v>
      </c>
    </row>
    <row r="374" spans="1:50" ht="15" customHeight="1" x14ac:dyDescent="0.4">
      <c r="A374" s="12">
        <v>2428</v>
      </c>
      <c r="B374" t="s">
        <v>1044</v>
      </c>
      <c r="D374" t="s">
        <v>1045</v>
      </c>
      <c r="E374" s="13"/>
      <c r="F374" s="41"/>
      <c r="G374" s="65" t="s">
        <v>8185</v>
      </c>
      <c r="H374" s="14" t="s">
        <v>49</v>
      </c>
      <c r="I374" s="15">
        <v>42974</v>
      </c>
      <c r="J374" t="s">
        <v>998</v>
      </c>
      <c r="K374" t="s">
        <v>51</v>
      </c>
      <c r="L374" s="15" t="s">
        <v>52</v>
      </c>
      <c r="M374" t="s">
        <v>53</v>
      </c>
      <c r="N374" t="s">
        <v>999</v>
      </c>
      <c r="O374" t="s">
        <v>1000</v>
      </c>
      <c r="P374" t="s">
        <v>56</v>
      </c>
      <c r="Q374" s="16" t="s">
        <v>1001</v>
      </c>
      <c r="R374" s="21"/>
      <c r="S374" t="s">
        <v>1002</v>
      </c>
      <c r="T374" t="s">
        <v>1003</v>
      </c>
      <c r="X374" t="s">
        <v>60</v>
      </c>
      <c r="Z374" s="15"/>
      <c r="AB374">
        <v>44.364130000000003</v>
      </c>
      <c r="AC374">
        <v>-93.935509999999994</v>
      </c>
      <c r="AD374" t="s">
        <v>1046</v>
      </c>
      <c r="AG374" t="s">
        <v>62</v>
      </c>
      <c r="AH374" t="s">
        <v>63</v>
      </c>
      <c r="AI374" t="s">
        <v>1047</v>
      </c>
      <c r="AJ374" t="s">
        <v>1048</v>
      </c>
      <c r="AL374" t="s">
        <v>1049</v>
      </c>
      <c r="AM374" t="s">
        <v>1050</v>
      </c>
      <c r="AN374" t="s">
        <v>1051</v>
      </c>
      <c r="AO374" t="s">
        <v>68</v>
      </c>
      <c r="AQ374" t="s">
        <v>1052</v>
      </c>
      <c r="AR374" t="s">
        <v>1053</v>
      </c>
      <c r="AS374" t="s">
        <v>1054</v>
      </c>
      <c r="AV374" s="14" t="s">
        <v>72</v>
      </c>
      <c r="AW374" s="14" t="s">
        <v>73</v>
      </c>
      <c r="AX374" s="14" t="s">
        <v>74</v>
      </c>
    </row>
    <row r="375" spans="1:50" ht="15" customHeight="1" x14ac:dyDescent="0.4">
      <c r="A375" s="12">
        <v>2429</v>
      </c>
      <c r="B375" t="s">
        <v>1055</v>
      </c>
      <c r="D375" t="s">
        <v>1056</v>
      </c>
      <c r="E375" s="13"/>
      <c r="F375" s="41"/>
      <c r="G375" s="65" t="s">
        <v>8185</v>
      </c>
      <c r="H375" s="14" t="s">
        <v>49</v>
      </c>
      <c r="I375" s="15">
        <v>42974</v>
      </c>
      <c r="J375" t="s">
        <v>998</v>
      </c>
      <c r="K375" t="s">
        <v>51</v>
      </c>
      <c r="L375" s="15" t="s">
        <v>52</v>
      </c>
      <c r="M375" t="s">
        <v>53</v>
      </c>
      <c r="N375" t="s">
        <v>999</v>
      </c>
      <c r="O375" t="s">
        <v>1000</v>
      </c>
      <c r="P375" t="s">
        <v>56</v>
      </c>
      <c r="Q375" s="16" t="s">
        <v>1001</v>
      </c>
      <c r="R375" s="21"/>
      <c r="S375" t="s">
        <v>1002</v>
      </c>
      <c r="T375" t="s">
        <v>1003</v>
      </c>
      <c r="X375" t="s">
        <v>60</v>
      </c>
      <c r="Z375" s="15"/>
      <c r="AG375" t="s">
        <v>62</v>
      </c>
      <c r="AH375" t="s">
        <v>63</v>
      </c>
      <c r="AI375" t="s">
        <v>1057</v>
      </c>
      <c r="AJ375" t="s">
        <v>1058</v>
      </c>
      <c r="AL375" t="s">
        <v>1059</v>
      </c>
      <c r="AM375" t="s">
        <v>1060</v>
      </c>
      <c r="AN375" t="s">
        <v>1061</v>
      </c>
      <c r="AO375" t="s">
        <v>68</v>
      </c>
      <c r="AQ375" t="s">
        <v>1062</v>
      </c>
      <c r="AR375" t="s">
        <v>1063</v>
      </c>
      <c r="AS375" t="s">
        <v>1064</v>
      </c>
      <c r="AV375" s="14" t="s">
        <v>72</v>
      </c>
      <c r="AW375" s="14" t="s">
        <v>73</v>
      </c>
      <c r="AX375" s="14" t="s">
        <v>74</v>
      </c>
    </row>
    <row r="376" spans="1:50" ht="15" customHeight="1" x14ac:dyDescent="0.4">
      <c r="A376" s="12">
        <v>2430</v>
      </c>
      <c r="B376" t="s">
        <v>1065</v>
      </c>
      <c r="D376" t="s">
        <v>1066</v>
      </c>
      <c r="E376" s="13"/>
      <c r="F376" s="41"/>
      <c r="G376" s="65" t="s">
        <v>8185</v>
      </c>
      <c r="H376" s="14" t="s">
        <v>49</v>
      </c>
      <c r="I376" s="15">
        <v>42974</v>
      </c>
      <c r="J376" t="s">
        <v>998</v>
      </c>
      <c r="K376" t="s">
        <v>51</v>
      </c>
      <c r="L376" s="15" t="s">
        <v>52</v>
      </c>
      <c r="M376" t="s">
        <v>53</v>
      </c>
      <c r="N376" t="s">
        <v>999</v>
      </c>
      <c r="O376" t="s">
        <v>1000</v>
      </c>
      <c r="P376" t="s">
        <v>56</v>
      </c>
      <c r="Q376" s="16" t="s">
        <v>1001</v>
      </c>
      <c r="R376" s="21"/>
      <c r="S376" t="s">
        <v>1002</v>
      </c>
      <c r="T376" t="s">
        <v>1003</v>
      </c>
      <c r="X376" t="s">
        <v>78</v>
      </c>
      <c r="Y376" t="s">
        <v>79</v>
      </c>
      <c r="Z376" s="15">
        <v>45597</v>
      </c>
      <c r="AA376" t="s">
        <v>48</v>
      </c>
      <c r="AG376" t="s">
        <v>62</v>
      </c>
      <c r="AH376" t="s">
        <v>63</v>
      </c>
      <c r="AI376" t="s">
        <v>1067</v>
      </c>
      <c r="AJ376">
        <v>186094</v>
      </c>
      <c r="AL376" t="s">
        <v>1068</v>
      </c>
      <c r="AM376" t="s">
        <v>1069</v>
      </c>
      <c r="AN376" t="s">
        <v>1070</v>
      </c>
      <c r="AO376" t="s">
        <v>68</v>
      </c>
      <c r="AQ376" t="s">
        <v>1071</v>
      </c>
      <c r="AR376" t="s">
        <v>1072</v>
      </c>
      <c r="AS376" t="s">
        <v>1073</v>
      </c>
      <c r="AT376" s="31" t="s">
        <v>1074</v>
      </c>
      <c r="AU376" s="31" t="s">
        <v>85</v>
      </c>
      <c r="AV376" s="14" t="s">
        <v>72</v>
      </c>
      <c r="AW376" s="14" t="s">
        <v>73</v>
      </c>
      <c r="AX376" s="14" t="s">
        <v>74</v>
      </c>
    </row>
    <row r="377" spans="1:50" ht="15" customHeight="1" x14ac:dyDescent="0.4">
      <c r="A377" s="12">
        <v>2431</v>
      </c>
      <c r="B377" t="s">
        <v>1075</v>
      </c>
      <c r="D377" t="s">
        <v>1076</v>
      </c>
      <c r="E377" s="13"/>
      <c r="F377" s="41"/>
      <c r="G377" s="65" t="s">
        <v>8185</v>
      </c>
      <c r="H377" s="14" t="s">
        <v>49</v>
      </c>
      <c r="I377" s="15">
        <v>42974</v>
      </c>
      <c r="J377" t="s">
        <v>998</v>
      </c>
      <c r="K377" t="s">
        <v>51</v>
      </c>
      <c r="L377" s="15" t="s">
        <v>52</v>
      </c>
      <c r="M377" t="s">
        <v>53</v>
      </c>
      <c r="N377" t="s">
        <v>999</v>
      </c>
      <c r="O377" t="s">
        <v>1000</v>
      </c>
      <c r="P377" t="s">
        <v>56</v>
      </c>
      <c r="Q377" s="16" t="s">
        <v>1001</v>
      </c>
      <c r="R377" s="21"/>
      <c r="S377" t="s">
        <v>1002</v>
      </c>
      <c r="T377" t="s">
        <v>1003</v>
      </c>
      <c r="X377" t="s">
        <v>60</v>
      </c>
      <c r="Z377" s="15"/>
      <c r="AG377" t="s">
        <v>62</v>
      </c>
      <c r="AH377" t="s">
        <v>63</v>
      </c>
      <c r="AI377" t="s">
        <v>1077</v>
      </c>
      <c r="AJ377" t="s">
        <v>1078</v>
      </c>
      <c r="AL377" t="s">
        <v>1079</v>
      </c>
      <c r="AM377" t="s">
        <v>1080</v>
      </c>
      <c r="AN377" t="s">
        <v>1081</v>
      </c>
      <c r="AO377" t="s">
        <v>68</v>
      </c>
      <c r="AQ377" t="s">
        <v>1082</v>
      </c>
      <c r="AR377" t="s">
        <v>1083</v>
      </c>
      <c r="AS377" t="s">
        <v>1084</v>
      </c>
      <c r="AV377" s="14" t="s">
        <v>72</v>
      </c>
      <c r="AW377" s="14" t="s">
        <v>73</v>
      </c>
      <c r="AX377" s="14" t="s">
        <v>74</v>
      </c>
    </row>
    <row r="378" spans="1:50" ht="15" customHeight="1" x14ac:dyDescent="0.4">
      <c r="A378" s="12">
        <v>2432</v>
      </c>
      <c r="B378" t="s">
        <v>1085</v>
      </c>
      <c r="D378" t="s">
        <v>1086</v>
      </c>
      <c r="E378" s="13"/>
      <c r="F378" s="41"/>
      <c r="G378" s="65" t="s">
        <v>8185</v>
      </c>
      <c r="H378" s="14" t="s">
        <v>49</v>
      </c>
      <c r="I378" s="15">
        <v>42974</v>
      </c>
      <c r="J378" t="s">
        <v>998</v>
      </c>
      <c r="K378" t="s">
        <v>51</v>
      </c>
      <c r="L378" s="15" t="s">
        <v>52</v>
      </c>
      <c r="M378" t="s">
        <v>53</v>
      </c>
      <c r="N378" t="s">
        <v>999</v>
      </c>
      <c r="O378" t="s">
        <v>1000</v>
      </c>
      <c r="P378" t="s">
        <v>56</v>
      </c>
      <c r="Q378" s="16" t="s">
        <v>1001</v>
      </c>
      <c r="R378" s="21"/>
      <c r="S378" t="s">
        <v>1002</v>
      </c>
      <c r="T378" t="s">
        <v>1003</v>
      </c>
      <c r="X378" t="s">
        <v>60</v>
      </c>
      <c r="Z378" s="15"/>
      <c r="AB378">
        <v>44.363889999999998</v>
      </c>
      <c r="AC378">
        <v>-93.935389999999998</v>
      </c>
      <c r="AD378" t="s">
        <v>1087</v>
      </c>
      <c r="AG378" t="s">
        <v>62</v>
      </c>
      <c r="AH378" t="s">
        <v>63</v>
      </c>
      <c r="AI378" t="s">
        <v>1088</v>
      </c>
      <c r="AJ378" t="s">
        <v>1089</v>
      </c>
      <c r="AL378" t="s">
        <v>1090</v>
      </c>
      <c r="AM378" t="s">
        <v>1091</v>
      </c>
      <c r="AN378" t="s">
        <v>1092</v>
      </c>
      <c r="AO378" t="s">
        <v>68</v>
      </c>
      <c r="AQ378" t="s">
        <v>1093</v>
      </c>
      <c r="AR378" t="s">
        <v>1094</v>
      </c>
      <c r="AS378" t="s">
        <v>1095</v>
      </c>
      <c r="AV378" s="14" t="s">
        <v>72</v>
      </c>
      <c r="AW378" s="14" t="s">
        <v>73</v>
      </c>
      <c r="AX378" s="14" t="s">
        <v>74</v>
      </c>
    </row>
    <row r="379" spans="1:50" ht="15" customHeight="1" x14ac:dyDescent="0.4">
      <c r="A379" s="12">
        <v>2433</v>
      </c>
      <c r="B379" t="s">
        <v>1096</v>
      </c>
      <c r="D379" t="s">
        <v>1097</v>
      </c>
      <c r="E379" s="13"/>
      <c r="F379" s="41"/>
      <c r="G379" s="65" t="s">
        <v>8185</v>
      </c>
      <c r="H379" s="14" t="s">
        <v>49</v>
      </c>
      <c r="I379" s="15">
        <v>42975</v>
      </c>
      <c r="J379" t="s">
        <v>998</v>
      </c>
      <c r="K379" t="s">
        <v>51</v>
      </c>
      <c r="L379" s="15" t="s">
        <v>52</v>
      </c>
      <c r="M379" t="s">
        <v>53</v>
      </c>
      <c r="N379" t="s">
        <v>999</v>
      </c>
      <c r="O379" t="s">
        <v>1098</v>
      </c>
      <c r="P379" t="s">
        <v>56</v>
      </c>
      <c r="Q379" s="16" t="s">
        <v>1099</v>
      </c>
      <c r="R379" s="21"/>
      <c r="S379" t="s">
        <v>1100</v>
      </c>
      <c r="X379" t="s">
        <v>78</v>
      </c>
      <c r="Y379" t="s">
        <v>79</v>
      </c>
      <c r="Z379" s="15">
        <v>45597</v>
      </c>
      <c r="AA379" t="s">
        <v>48</v>
      </c>
      <c r="AB379">
        <v>45.53</v>
      </c>
      <c r="AC379">
        <v>-94.232910000000004</v>
      </c>
      <c r="AD379" t="s">
        <v>1101</v>
      </c>
      <c r="AG379" t="s">
        <v>62</v>
      </c>
      <c r="AH379" t="s">
        <v>63</v>
      </c>
      <c r="AI379" t="s">
        <v>1102</v>
      </c>
      <c r="AJ379">
        <v>185922</v>
      </c>
      <c r="AL379" t="s">
        <v>1103</v>
      </c>
      <c r="AM379" t="s">
        <v>1104</v>
      </c>
      <c r="AN379" t="s">
        <v>1105</v>
      </c>
      <c r="AO379" t="s">
        <v>68</v>
      </c>
      <c r="AQ379" t="s">
        <v>1106</v>
      </c>
      <c r="AR379" t="s">
        <v>1107</v>
      </c>
      <c r="AS379" t="s">
        <v>1108</v>
      </c>
      <c r="AT379" s="31" t="s">
        <v>1109</v>
      </c>
      <c r="AU379" s="31" t="s">
        <v>85</v>
      </c>
      <c r="AV379" s="14" t="s">
        <v>72</v>
      </c>
      <c r="AW379" s="14" t="s">
        <v>73</v>
      </c>
      <c r="AX379" s="14" t="s">
        <v>74</v>
      </c>
    </row>
    <row r="380" spans="1:50" ht="15" customHeight="1" x14ac:dyDescent="0.4">
      <c r="A380" s="12">
        <v>2434</v>
      </c>
      <c r="B380" t="s">
        <v>1110</v>
      </c>
      <c r="D380" t="s">
        <v>1111</v>
      </c>
      <c r="E380" s="13"/>
      <c r="F380" s="41"/>
      <c r="G380" s="65" t="s">
        <v>8185</v>
      </c>
      <c r="H380" s="14" t="s">
        <v>49</v>
      </c>
      <c r="I380" s="15">
        <v>42975</v>
      </c>
      <c r="J380" t="s">
        <v>998</v>
      </c>
      <c r="K380" t="s">
        <v>51</v>
      </c>
      <c r="L380" s="15" t="s">
        <v>52</v>
      </c>
      <c r="M380" t="s">
        <v>53</v>
      </c>
      <c r="N380" t="s">
        <v>999</v>
      </c>
      <c r="O380" t="s">
        <v>1098</v>
      </c>
      <c r="P380" t="s">
        <v>56</v>
      </c>
      <c r="Q380" s="16" t="s">
        <v>1099</v>
      </c>
      <c r="R380" s="21"/>
      <c r="S380" t="s">
        <v>1100</v>
      </c>
      <c r="X380" t="s">
        <v>60</v>
      </c>
      <c r="Z380" s="15"/>
      <c r="AB380">
        <v>45.529890000000002</v>
      </c>
      <c r="AC380">
        <v>-94.234070000000003</v>
      </c>
      <c r="AD380" t="s">
        <v>1112</v>
      </c>
      <c r="AG380" t="s">
        <v>62</v>
      </c>
      <c r="AH380" t="s">
        <v>63</v>
      </c>
      <c r="AI380" t="s">
        <v>1113</v>
      </c>
      <c r="AJ380" t="s">
        <v>1114</v>
      </c>
      <c r="AL380" t="s">
        <v>1115</v>
      </c>
      <c r="AM380" t="s">
        <v>1116</v>
      </c>
      <c r="AN380" t="s">
        <v>1117</v>
      </c>
      <c r="AO380" t="s">
        <v>68</v>
      </c>
      <c r="AQ380" t="s">
        <v>1118</v>
      </c>
      <c r="AR380" t="s">
        <v>1119</v>
      </c>
      <c r="AS380" t="s">
        <v>1120</v>
      </c>
      <c r="AV380" s="14" t="s">
        <v>72</v>
      </c>
      <c r="AW380" s="14" t="s">
        <v>73</v>
      </c>
      <c r="AX380" s="14" t="s">
        <v>74</v>
      </c>
    </row>
    <row r="381" spans="1:50" ht="15" customHeight="1" x14ac:dyDescent="0.4">
      <c r="A381" s="12">
        <v>2435</v>
      </c>
      <c r="B381" t="s">
        <v>1121</v>
      </c>
      <c r="D381" t="s">
        <v>1122</v>
      </c>
      <c r="E381" s="13"/>
      <c r="F381" s="41"/>
      <c r="G381" s="65" t="s">
        <v>8185</v>
      </c>
      <c r="H381" s="14" t="s">
        <v>49</v>
      </c>
      <c r="I381" s="15">
        <v>42975</v>
      </c>
      <c r="J381" t="s">
        <v>998</v>
      </c>
      <c r="K381" t="s">
        <v>51</v>
      </c>
      <c r="L381" s="15" t="s">
        <v>52</v>
      </c>
      <c r="M381" t="s">
        <v>53</v>
      </c>
      <c r="N381" t="s">
        <v>999</v>
      </c>
      <c r="O381" t="s">
        <v>1098</v>
      </c>
      <c r="P381" t="s">
        <v>56</v>
      </c>
      <c r="Q381" s="16" t="s">
        <v>1099</v>
      </c>
      <c r="R381" s="21"/>
      <c r="S381" t="s">
        <v>1100</v>
      </c>
      <c r="X381" t="s">
        <v>60</v>
      </c>
      <c r="Z381" s="15"/>
      <c r="AB381">
        <v>45.530009999999997</v>
      </c>
      <c r="AC381">
        <v>-94.235330000000005</v>
      </c>
      <c r="AD381" t="s">
        <v>1123</v>
      </c>
      <c r="AG381" t="s">
        <v>62</v>
      </c>
      <c r="AH381" t="s">
        <v>63</v>
      </c>
      <c r="AI381" t="s">
        <v>1124</v>
      </c>
      <c r="AJ381" t="s">
        <v>1125</v>
      </c>
      <c r="AL381" t="s">
        <v>1126</v>
      </c>
      <c r="AM381" t="s">
        <v>1127</v>
      </c>
      <c r="AN381" t="s">
        <v>1128</v>
      </c>
      <c r="AO381" t="s">
        <v>68</v>
      </c>
      <c r="AQ381" t="s">
        <v>1129</v>
      </c>
      <c r="AR381" t="s">
        <v>1130</v>
      </c>
      <c r="AS381" t="s">
        <v>1131</v>
      </c>
      <c r="AV381" s="14" t="s">
        <v>72</v>
      </c>
      <c r="AW381" s="14" t="s">
        <v>73</v>
      </c>
      <c r="AX381" s="14" t="s">
        <v>74</v>
      </c>
    </row>
    <row r="382" spans="1:50" ht="15" customHeight="1" x14ac:dyDescent="0.4">
      <c r="A382" s="12">
        <v>2436</v>
      </c>
      <c r="B382" t="s">
        <v>1132</v>
      </c>
      <c r="D382" t="s">
        <v>1133</v>
      </c>
      <c r="E382" s="13"/>
      <c r="F382" s="41"/>
      <c r="G382" s="65" t="s">
        <v>8185</v>
      </c>
      <c r="H382" s="14" t="s">
        <v>49</v>
      </c>
      <c r="I382" s="15">
        <v>42975</v>
      </c>
      <c r="J382" t="s">
        <v>998</v>
      </c>
      <c r="K382" t="s">
        <v>51</v>
      </c>
      <c r="L382" s="15" t="s">
        <v>52</v>
      </c>
      <c r="M382" t="s">
        <v>53</v>
      </c>
      <c r="N382" t="s">
        <v>999</v>
      </c>
      <c r="O382" t="s">
        <v>1098</v>
      </c>
      <c r="P382" t="s">
        <v>56</v>
      </c>
      <c r="Q382" s="16" t="s">
        <v>1099</v>
      </c>
      <c r="R382" s="21"/>
      <c r="S382" t="s">
        <v>1100</v>
      </c>
      <c r="X382" t="s">
        <v>78</v>
      </c>
      <c r="Y382" t="s">
        <v>562</v>
      </c>
      <c r="Z382" s="15">
        <v>45597</v>
      </c>
      <c r="AA382" t="s">
        <v>48</v>
      </c>
      <c r="AB382">
        <v>45.529969999999999</v>
      </c>
      <c r="AC382">
        <v>-94.236440000000002</v>
      </c>
      <c r="AD382" t="s">
        <v>1134</v>
      </c>
      <c r="AG382" t="s">
        <v>62</v>
      </c>
      <c r="AH382" t="s">
        <v>63</v>
      </c>
      <c r="AI382" t="s">
        <v>1135</v>
      </c>
      <c r="AJ382">
        <v>186098</v>
      </c>
      <c r="AL382" t="s">
        <v>1136</v>
      </c>
      <c r="AM382" t="s">
        <v>1137</v>
      </c>
      <c r="AN382" t="s">
        <v>1138</v>
      </c>
      <c r="AO382" t="s">
        <v>68</v>
      </c>
      <c r="AQ382" t="s">
        <v>1139</v>
      </c>
      <c r="AR382" t="s">
        <v>1140</v>
      </c>
      <c r="AS382" t="s">
        <v>1141</v>
      </c>
      <c r="AT382" s="31" t="s">
        <v>1142</v>
      </c>
      <c r="AU382" s="31" t="s">
        <v>85</v>
      </c>
      <c r="AV382" s="14" t="s">
        <v>72</v>
      </c>
      <c r="AW382" s="14" t="s">
        <v>73</v>
      </c>
      <c r="AX382" s="14" t="s">
        <v>74</v>
      </c>
    </row>
    <row r="383" spans="1:50" ht="15" customHeight="1" x14ac:dyDescent="0.4">
      <c r="A383" s="12">
        <v>2437</v>
      </c>
      <c r="B383" t="s">
        <v>1143</v>
      </c>
      <c r="D383" t="s">
        <v>1144</v>
      </c>
      <c r="E383" s="13"/>
      <c r="F383" s="41"/>
      <c r="G383" s="65" t="s">
        <v>8185</v>
      </c>
      <c r="H383" s="14" t="s">
        <v>49</v>
      </c>
      <c r="I383" s="15">
        <v>42975</v>
      </c>
      <c r="J383" t="s">
        <v>998</v>
      </c>
      <c r="K383" t="s">
        <v>51</v>
      </c>
      <c r="L383" s="15" t="s">
        <v>52</v>
      </c>
      <c r="M383" t="s">
        <v>53</v>
      </c>
      <c r="N383" t="s">
        <v>999</v>
      </c>
      <c r="O383" t="s">
        <v>1098</v>
      </c>
      <c r="P383" t="s">
        <v>56</v>
      </c>
      <c r="Q383" s="16" t="s">
        <v>1099</v>
      </c>
      <c r="R383" s="21"/>
      <c r="S383" t="s">
        <v>1100</v>
      </c>
      <c r="X383" t="s">
        <v>60</v>
      </c>
      <c r="Z383" s="15"/>
      <c r="AB383">
        <v>45.530110000000001</v>
      </c>
      <c r="AC383">
        <v>-94.238169999999997</v>
      </c>
      <c r="AD383" t="s">
        <v>1145</v>
      </c>
      <c r="AG383" t="s">
        <v>62</v>
      </c>
      <c r="AH383" t="s">
        <v>63</v>
      </c>
      <c r="AI383" t="s">
        <v>1146</v>
      </c>
      <c r="AJ383" t="s">
        <v>1147</v>
      </c>
      <c r="AL383" t="s">
        <v>1148</v>
      </c>
      <c r="AM383" t="s">
        <v>1149</v>
      </c>
      <c r="AN383" t="s">
        <v>1150</v>
      </c>
      <c r="AO383" t="s">
        <v>68</v>
      </c>
      <c r="AQ383" t="s">
        <v>1151</v>
      </c>
      <c r="AR383" t="s">
        <v>1152</v>
      </c>
      <c r="AS383" t="s">
        <v>1153</v>
      </c>
      <c r="AV383" s="14" t="s">
        <v>72</v>
      </c>
      <c r="AW383" s="14" t="s">
        <v>73</v>
      </c>
      <c r="AX383" s="14" t="s">
        <v>74</v>
      </c>
    </row>
    <row r="384" spans="1:50" ht="15" customHeight="1" x14ac:dyDescent="0.4">
      <c r="A384" s="12">
        <v>2438</v>
      </c>
      <c r="B384" t="s">
        <v>1154</v>
      </c>
      <c r="D384" t="s">
        <v>1155</v>
      </c>
      <c r="E384" s="13"/>
      <c r="F384" s="41"/>
      <c r="G384" s="65" t="s">
        <v>8185</v>
      </c>
      <c r="H384" s="14" t="s">
        <v>49</v>
      </c>
      <c r="I384" s="15">
        <v>42975</v>
      </c>
      <c r="J384" t="s">
        <v>998</v>
      </c>
      <c r="K384" t="s">
        <v>51</v>
      </c>
      <c r="L384" s="15" t="s">
        <v>52</v>
      </c>
      <c r="M384" t="s">
        <v>53</v>
      </c>
      <c r="N384" t="s">
        <v>999</v>
      </c>
      <c r="O384" t="s">
        <v>1098</v>
      </c>
      <c r="P384" t="s">
        <v>56</v>
      </c>
      <c r="Q384" s="16" t="s">
        <v>1099</v>
      </c>
      <c r="R384" s="21"/>
      <c r="S384" t="s">
        <v>1100</v>
      </c>
      <c r="X384" t="s">
        <v>60</v>
      </c>
      <c r="Z384" s="15"/>
      <c r="AB384">
        <v>45.529989999999998</v>
      </c>
      <c r="AC384">
        <v>-94.239320000000006</v>
      </c>
      <c r="AD384" t="s">
        <v>1156</v>
      </c>
      <c r="AG384" t="s">
        <v>62</v>
      </c>
      <c r="AH384" t="s">
        <v>63</v>
      </c>
      <c r="AI384" t="s">
        <v>1157</v>
      </c>
      <c r="AJ384" t="s">
        <v>1158</v>
      </c>
      <c r="AL384" t="s">
        <v>1159</v>
      </c>
      <c r="AM384" t="s">
        <v>1160</v>
      </c>
      <c r="AN384" t="s">
        <v>1161</v>
      </c>
      <c r="AO384" t="s">
        <v>68</v>
      </c>
      <c r="AQ384" t="s">
        <v>1162</v>
      </c>
      <c r="AR384" t="s">
        <v>1163</v>
      </c>
      <c r="AS384" t="s">
        <v>1164</v>
      </c>
      <c r="AV384" s="14" t="s">
        <v>72</v>
      </c>
      <c r="AW384" s="14" t="s">
        <v>73</v>
      </c>
      <c r="AX384" s="14" t="s">
        <v>74</v>
      </c>
    </row>
    <row r="385" spans="1:50" s="34" customFormat="1" ht="15" customHeight="1" x14ac:dyDescent="0.4">
      <c r="A385" s="12">
        <v>2439</v>
      </c>
      <c r="B385" t="s">
        <v>1165</v>
      </c>
      <c r="C385"/>
      <c r="D385" t="s">
        <v>1166</v>
      </c>
      <c r="E385" s="13"/>
      <c r="F385" s="41"/>
      <c r="G385" s="65" t="s">
        <v>8185</v>
      </c>
      <c r="H385" s="14" t="s">
        <v>49</v>
      </c>
      <c r="I385" s="15">
        <v>42975</v>
      </c>
      <c r="J385" t="s">
        <v>998</v>
      </c>
      <c r="K385" t="s">
        <v>51</v>
      </c>
      <c r="L385" s="15" t="s">
        <v>52</v>
      </c>
      <c r="M385" t="s">
        <v>53</v>
      </c>
      <c r="N385" t="s">
        <v>999</v>
      </c>
      <c r="O385" t="s">
        <v>1098</v>
      </c>
      <c r="P385" t="s">
        <v>56</v>
      </c>
      <c r="Q385" s="16" t="s">
        <v>1099</v>
      </c>
      <c r="R385" s="21"/>
      <c r="S385" t="s">
        <v>1100</v>
      </c>
      <c r="T385"/>
      <c r="U385"/>
      <c r="V385"/>
      <c r="W385" t="s">
        <v>1167</v>
      </c>
      <c r="X385" t="s">
        <v>60</v>
      </c>
      <c r="Y385"/>
      <c r="Z385" s="15"/>
      <c r="AA385"/>
      <c r="AB385">
        <v>45.529899999999998</v>
      </c>
      <c r="AC385">
        <v>-94.240179999999995</v>
      </c>
      <c r="AD385" t="s">
        <v>1168</v>
      </c>
      <c r="AE385"/>
      <c r="AF385"/>
      <c r="AG385" t="s">
        <v>62</v>
      </c>
      <c r="AH385" t="s">
        <v>63</v>
      </c>
      <c r="AI385" t="s">
        <v>1169</v>
      </c>
      <c r="AJ385" t="s">
        <v>1170</v>
      </c>
      <c r="AK385"/>
      <c r="AL385" t="s">
        <v>1171</v>
      </c>
      <c r="AM385" t="s">
        <v>1172</v>
      </c>
      <c r="AN385" t="s">
        <v>1173</v>
      </c>
      <c r="AO385" t="s">
        <v>68</v>
      </c>
      <c r="AP385"/>
      <c r="AQ385" t="s">
        <v>1174</v>
      </c>
      <c r="AR385" t="s">
        <v>1175</v>
      </c>
      <c r="AS385" t="s">
        <v>1176</v>
      </c>
      <c r="AT385" s="31"/>
      <c r="AU385" s="31"/>
      <c r="AV385" s="14" t="s">
        <v>72</v>
      </c>
      <c r="AW385" s="14" t="s">
        <v>73</v>
      </c>
      <c r="AX385" s="14" t="s">
        <v>74</v>
      </c>
    </row>
    <row r="386" spans="1:50" ht="15" customHeight="1" x14ac:dyDescent="0.4">
      <c r="A386" s="12">
        <v>2440</v>
      </c>
      <c r="B386" t="s">
        <v>1177</v>
      </c>
      <c r="D386" t="s">
        <v>1178</v>
      </c>
      <c r="E386" s="13"/>
      <c r="F386" s="41"/>
      <c r="G386" s="65" t="s">
        <v>8185</v>
      </c>
      <c r="H386" s="14" t="s">
        <v>49</v>
      </c>
      <c r="I386" s="15">
        <v>42975</v>
      </c>
      <c r="J386" t="s">
        <v>998</v>
      </c>
      <c r="K386" t="s">
        <v>51</v>
      </c>
      <c r="L386" s="15" t="s">
        <v>52</v>
      </c>
      <c r="M386" t="s">
        <v>53</v>
      </c>
      <c r="N386" t="s">
        <v>999</v>
      </c>
      <c r="O386" t="s">
        <v>1098</v>
      </c>
      <c r="P386" t="s">
        <v>56</v>
      </c>
      <c r="Q386" s="16" t="s">
        <v>1099</v>
      </c>
      <c r="R386" s="21"/>
      <c r="S386" t="s">
        <v>1100</v>
      </c>
      <c r="W386" t="s">
        <v>1179</v>
      </c>
      <c r="X386" t="s">
        <v>60</v>
      </c>
      <c r="Z386" s="15"/>
      <c r="AB386">
        <v>45.529899999999998</v>
      </c>
      <c r="AC386">
        <v>-94.240179999999995</v>
      </c>
      <c r="AD386" t="s">
        <v>1168</v>
      </c>
      <c r="AG386" t="s">
        <v>62</v>
      </c>
      <c r="AH386" t="s">
        <v>63</v>
      </c>
      <c r="AI386" t="s">
        <v>1180</v>
      </c>
      <c r="AJ386" t="s">
        <v>1181</v>
      </c>
      <c r="AL386" t="s">
        <v>1182</v>
      </c>
      <c r="AM386" t="s">
        <v>1183</v>
      </c>
      <c r="AN386" t="s">
        <v>1184</v>
      </c>
      <c r="AO386" t="s">
        <v>68</v>
      </c>
      <c r="AQ386" t="s">
        <v>1185</v>
      </c>
      <c r="AR386" t="s">
        <v>1186</v>
      </c>
      <c r="AS386" t="s">
        <v>1187</v>
      </c>
      <c r="AV386" s="14" t="s">
        <v>72</v>
      </c>
      <c r="AW386" s="14" t="s">
        <v>73</v>
      </c>
      <c r="AX386" s="14" t="s">
        <v>74</v>
      </c>
    </row>
    <row r="387" spans="1:50" ht="15" customHeight="1" x14ac:dyDescent="0.4">
      <c r="A387" s="12">
        <v>2441</v>
      </c>
      <c r="B387" t="s">
        <v>1188</v>
      </c>
      <c r="D387" t="s">
        <v>1189</v>
      </c>
      <c r="E387" s="13"/>
      <c r="F387" s="41"/>
      <c r="G387" s="65" t="s">
        <v>8185</v>
      </c>
      <c r="H387" s="14" t="s">
        <v>49</v>
      </c>
      <c r="I387" s="15">
        <v>42975</v>
      </c>
      <c r="J387" t="s">
        <v>998</v>
      </c>
      <c r="K387" t="s">
        <v>51</v>
      </c>
      <c r="L387" s="15" t="s">
        <v>52</v>
      </c>
      <c r="M387" t="s">
        <v>53</v>
      </c>
      <c r="N387" t="s">
        <v>999</v>
      </c>
      <c r="O387" t="s">
        <v>1098</v>
      </c>
      <c r="P387" t="s">
        <v>56</v>
      </c>
      <c r="Q387" s="16" t="s">
        <v>1099</v>
      </c>
      <c r="R387" s="21"/>
      <c r="S387" t="s">
        <v>1190</v>
      </c>
      <c r="T387" t="s">
        <v>1191</v>
      </c>
      <c r="X387" t="s">
        <v>60</v>
      </c>
      <c r="Z387" s="15"/>
      <c r="AB387">
        <v>45.529069999999997</v>
      </c>
      <c r="AC387">
        <v>-94.241209999999995</v>
      </c>
      <c r="AD387" t="s">
        <v>1192</v>
      </c>
      <c r="AG387" t="s">
        <v>62</v>
      </c>
      <c r="AH387" t="s">
        <v>63</v>
      </c>
      <c r="AI387" t="s">
        <v>1193</v>
      </c>
      <c r="AJ387" t="s">
        <v>1194</v>
      </c>
      <c r="AL387" t="s">
        <v>1195</v>
      </c>
      <c r="AM387" t="s">
        <v>1196</v>
      </c>
      <c r="AN387" t="s">
        <v>1197</v>
      </c>
      <c r="AO387" t="s">
        <v>68</v>
      </c>
      <c r="AQ387" t="s">
        <v>1198</v>
      </c>
      <c r="AR387" t="s">
        <v>1199</v>
      </c>
      <c r="AS387" t="s">
        <v>1200</v>
      </c>
      <c r="AV387" s="14" t="s">
        <v>72</v>
      </c>
      <c r="AW387" s="14" t="s">
        <v>73</v>
      </c>
      <c r="AX387" s="14" t="s">
        <v>74</v>
      </c>
    </row>
    <row r="388" spans="1:50" ht="15" customHeight="1" x14ac:dyDescent="0.4">
      <c r="A388" s="12">
        <v>2442</v>
      </c>
      <c r="B388" t="s">
        <v>1201</v>
      </c>
      <c r="D388" t="s">
        <v>1202</v>
      </c>
      <c r="E388" s="13"/>
      <c r="F388" s="41"/>
      <c r="G388" s="65" t="s">
        <v>8185</v>
      </c>
      <c r="H388" s="14" t="s">
        <v>49</v>
      </c>
      <c r="I388" s="15">
        <v>42975</v>
      </c>
      <c r="J388" t="s">
        <v>998</v>
      </c>
      <c r="K388" t="s">
        <v>51</v>
      </c>
      <c r="L388" s="15" t="s">
        <v>52</v>
      </c>
      <c r="M388" t="s">
        <v>53</v>
      </c>
      <c r="N388" t="s">
        <v>999</v>
      </c>
      <c r="O388" t="s">
        <v>1098</v>
      </c>
      <c r="P388" t="s">
        <v>56</v>
      </c>
      <c r="Q388" s="16" t="s">
        <v>1099</v>
      </c>
      <c r="R388" s="21"/>
      <c r="S388" t="s">
        <v>1190</v>
      </c>
      <c r="T388" t="s">
        <v>1191</v>
      </c>
      <c r="X388" t="s">
        <v>60</v>
      </c>
      <c r="Z388" s="15"/>
      <c r="AB388">
        <v>45.528869999999998</v>
      </c>
      <c r="AC388">
        <v>-94.240849999999995</v>
      </c>
      <c r="AD388" t="s">
        <v>1203</v>
      </c>
      <c r="AG388" t="s">
        <v>62</v>
      </c>
      <c r="AH388" t="s">
        <v>63</v>
      </c>
      <c r="AI388" t="s">
        <v>1204</v>
      </c>
      <c r="AJ388" t="s">
        <v>1205</v>
      </c>
      <c r="AL388" t="s">
        <v>1206</v>
      </c>
      <c r="AM388" t="s">
        <v>1207</v>
      </c>
      <c r="AN388" t="s">
        <v>1208</v>
      </c>
      <c r="AO388" t="s">
        <v>68</v>
      </c>
      <c r="AQ388" t="s">
        <v>1209</v>
      </c>
      <c r="AR388" t="s">
        <v>1210</v>
      </c>
      <c r="AS388" t="s">
        <v>1211</v>
      </c>
      <c r="AV388" s="14" t="s">
        <v>72</v>
      </c>
      <c r="AW388" s="14" t="s">
        <v>73</v>
      </c>
      <c r="AX388" s="14" t="s">
        <v>74</v>
      </c>
    </row>
    <row r="389" spans="1:50" ht="15" customHeight="1" x14ac:dyDescent="0.4">
      <c r="A389" s="12">
        <v>2443</v>
      </c>
      <c r="B389" t="s">
        <v>1212</v>
      </c>
      <c r="D389" t="s">
        <v>1213</v>
      </c>
      <c r="E389" s="13"/>
      <c r="F389" s="41"/>
      <c r="G389" s="65" t="s">
        <v>8185</v>
      </c>
      <c r="H389" s="14" t="s">
        <v>49</v>
      </c>
      <c r="I389" s="15">
        <v>42975</v>
      </c>
      <c r="J389" t="s">
        <v>998</v>
      </c>
      <c r="K389" t="s">
        <v>51</v>
      </c>
      <c r="L389" s="15" t="s">
        <v>52</v>
      </c>
      <c r="M389" t="s">
        <v>53</v>
      </c>
      <c r="N389" t="s">
        <v>999</v>
      </c>
      <c r="O389" t="s">
        <v>1098</v>
      </c>
      <c r="P389" t="s">
        <v>56</v>
      </c>
      <c r="Q389" s="16" t="s">
        <v>1099</v>
      </c>
      <c r="R389" s="21"/>
      <c r="S389" t="s">
        <v>1100</v>
      </c>
      <c r="X389" t="s">
        <v>78</v>
      </c>
      <c r="Y389" t="s">
        <v>79</v>
      </c>
      <c r="Z389" s="15">
        <v>45597</v>
      </c>
      <c r="AA389" t="s">
        <v>48</v>
      </c>
      <c r="AB389">
        <v>45.530880000000003</v>
      </c>
      <c r="AC389">
        <v>-94.239890000000003</v>
      </c>
      <c r="AD389" t="s">
        <v>1214</v>
      </c>
      <c r="AG389" t="s">
        <v>62</v>
      </c>
      <c r="AH389" t="s">
        <v>63</v>
      </c>
      <c r="AI389" t="s">
        <v>1215</v>
      </c>
      <c r="AJ389">
        <v>186103</v>
      </c>
      <c r="AL389" t="s">
        <v>1216</v>
      </c>
      <c r="AM389" t="s">
        <v>1217</v>
      </c>
      <c r="AN389" t="s">
        <v>1218</v>
      </c>
      <c r="AO389" t="s">
        <v>68</v>
      </c>
      <c r="AQ389" t="s">
        <v>1219</v>
      </c>
      <c r="AR389" t="s">
        <v>1220</v>
      </c>
      <c r="AS389" t="s">
        <v>1221</v>
      </c>
      <c r="AT389" s="31" t="s">
        <v>1222</v>
      </c>
      <c r="AU389" s="31" t="s">
        <v>85</v>
      </c>
      <c r="AV389" s="14" t="s">
        <v>72</v>
      </c>
      <c r="AW389" s="14" t="s">
        <v>73</v>
      </c>
      <c r="AX389" s="14" t="s">
        <v>74</v>
      </c>
    </row>
    <row r="390" spans="1:50" ht="15" customHeight="1" x14ac:dyDescent="0.4">
      <c r="A390" s="12">
        <v>3319</v>
      </c>
      <c r="B390" s="21" t="s">
        <v>2097</v>
      </c>
      <c r="C390" s="13" t="s">
        <v>2098</v>
      </c>
      <c r="D390" s="25" t="s">
        <v>2098</v>
      </c>
      <c r="E390" s="13"/>
      <c r="F390" s="41"/>
      <c r="G390" s="65" t="s">
        <v>8185</v>
      </c>
      <c r="H390" s="14" t="s">
        <v>49</v>
      </c>
      <c r="I390" s="15">
        <v>44714</v>
      </c>
      <c r="J390" s="15" t="s">
        <v>1992</v>
      </c>
      <c r="K390" t="s">
        <v>1705</v>
      </c>
      <c r="L390" t="s">
        <v>1706</v>
      </c>
      <c r="M390" t="s">
        <v>53</v>
      </c>
      <c r="N390" t="s">
        <v>175</v>
      </c>
      <c r="O390" t="s">
        <v>2099</v>
      </c>
      <c r="P390" t="s">
        <v>56</v>
      </c>
      <c r="Q390" s="21" t="s">
        <v>2100</v>
      </c>
      <c r="R390" s="21"/>
      <c r="S390" t="s">
        <v>2101</v>
      </c>
      <c r="T390" t="s">
        <v>2102</v>
      </c>
      <c r="X390" t="s">
        <v>60</v>
      </c>
      <c r="Z390" s="15"/>
      <c r="AB390">
        <v>36.644024999999999</v>
      </c>
      <c r="AC390">
        <v>-89.290899999999993</v>
      </c>
      <c r="AD390" t="s">
        <v>2103</v>
      </c>
      <c r="AG390" t="s">
        <v>1715</v>
      </c>
      <c r="AH390" t="s">
        <v>63</v>
      </c>
      <c r="AI390" t="s">
        <v>2104</v>
      </c>
      <c r="AJ390">
        <v>192560</v>
      </c>
      <c r="AL390" t="s">
        <v>2105</v>
      </c>
      <c r="AM390" t="s">
        <v>2106</v>
      </c>
      <c r="AN390" t="s">
        <v>2107</v>
      </c>
      <c r="AO390" t="s">
        <v>68</v>
      </c>
      <c r="AQ390" t="s">
        <v>2108</v>
      </c>
      <c r="AR390" t="s">
        <v>2109</v>
      </c>
      <c r="AS390" t="s">
        <v>2110</v>
      </c>
      <c r="AV390" s="14" t="s">
        <v>72</v>
      </c>
      <c r="AW390" s="14" t="s">
        <v>73</v>
      </c>
      <c r="AX390" s="14" t="s">
        <v>74</v>
      </c>
    </row>
    <row r="391" spans="1:50" ht="15" customHeight="1" x14ac:dyDescent="0.4">
      <c r="A391" s="12">
        <v>3320</v>
      </c>
      <c r="B391" s="21" t="s">
        <v>2111</v>
      </c>
      <c r="C391" s="13" t="s">
        <v>2112</v>
      </c>
      <c r="D391" s="25" t="s">
        <v>2112</v>
      </c>
      <c r="E391" s="13"/>
      <c r="F391" s="41"/>
      <c r="G391" s="65" t="s">
        <v>8185</v>
      </c>
      <c r="H391" s="14" t="s">
        <v>49</v>
      </c>
      <c r="I391" s="15">
        <v>44715</v>
      </c>
      <c r="J391" s="15" t="s">
        <v>1704</v>
      </c>
      <c r="K391" t="s">
        <v>1705</v>
      </c>
      <c r="L391" t="s">
        <v>1706</v>
      </c>
      <c r="M391" t="s">
        <v>53</v>
      </c>
      <c r="N391" t="s">
        <v>175</v>
      </c>
      <c r="O391" t="s">
        <v>2099</v>
      </c>
      <c r="P391" t="s">
        <v>56</v>
      </c>
      <c r="Q391" s="21" t="s">
        <v>2100</v>
      </c>
      <c r="R391" s="21"/>
      <c r="S391" t="s">
        <v>2113</v>
      </c>
      <c r="T391" t="s">
        <v>2114</v>
      </c>
      <c r="X391" t="s">
        <v>60</v>
      </c>
      <c r="Z391" s="15"/>
      <c r="AB391">
        <v>36.643929</v>
      </c>
      <c r="AC391">
        <v>-89.290992000000003</v>
      </c>
      <c r="AD391" t="s">
        <v>2103</v>
      </c>
      <c r="AG391" t="s">
        <v>1715</v>
      </c>
      <c r="AH391" t="s">
        <v>63</v>
      </c>
      <c r="AI391" t="s">
        <v>2115</v>
      </c>
      <c r="AJ391">
        <v>192561</v>
      </c>
      <c r="AL391" t="s">
        <v>2116</v>
      </c>
      <c r="AM391" t="s">
        <v>2117</v>
      </c>
      <c r="AN391" t="s">
        <v>2118</v>
      </c>
      <c r="AO391" t="s">
        <v>68</v>
      </c>
      <c r="AQ391" t="s">
        <v>2119</v>
      </c>
      <c r="AR391" t="s">
        <v>2120</v>
      </c>
      <c r="AS391" t="s">
        <v>2121</v>
      </c>
      <c r="AV391" s="14" t="s">
        <v>72</v>
      </c>
      <c r="AW391" s="14" t="s">
        <v>73</v>
      </c>
      <c r="AX391" s="14" t="s">
        <v>74</v>
      </c>
    </row>
    <row r="392" spans="1:50" ht="15" customHeight="1" x14ac:dyDescent="0.4">
      <c r="A392" s="12">
        <v>4024</v>
      </c>
      <c r="B392" s="21" t="s">
        <v>8081</v>
      </c>
      <c r="C392" s="13" t="s">
        <v>8082</v>
      </c>
      <c r="D392" s="28" t="s">
        <v>8082</v>
      </c>
      <c r="E392" s="13"/>
      <c r="F392" s="41"/>
      <c r="G392" s="65" t="s">
        <v>8185</v>
      </c>
      <c r="H392" s="14" t="s">
        <v>49</v>
      </c>
      <c r="I392" s="15">
        <v>44715</v>
      </c>
      <c r="J392" t="s">
        <v>1704</v>
      </c>
      <c r="K392" t="s">
        <v>51</v>
      </c>
      <c r="L392" t="s">
        <v>7972</v>
      </c>
      <c r="M392" t="s">
        <v>53</v>
      </c>
      <c r="N392" t="s">
        <v>175</v>
      </c>
      <c r="O392" t="s">
        <v>2099</v>
      </c>
      <c r="P392" t="s">
        <v>56</v>
      </c>
      <c r="Q392" s="21" t="s">
        <v>2100</v>
      </c>
      <c r="R392" s="21"/>
      <c r="S392" t="s">
        <v>8083</v>
      </c>
      <c r="T392" t="s">
        <v>8084</v>
      </c>
      <c r="X392" t="s">
        <v>60</v>
      </c>
      <c r="Z392" s="15"/>
      <c r="AB392">
        <v>36.644689</v>
      </c>
      <c r="AC392">
        <v>-89.290721000000005</v>
      </c>
      <c r="AD392" t="s">
        <v>2103</v>
      </c>
      <c r="AG392" t="s">
        <v>1715</v>
      </c>
      <c r="AH392" t="s">
        <v>63</v>
      </c>
      <c r="AI392" t="s">
        <v>8085</v>
      </c>
      <c r="AJ392">
        <v>192562</v>
      </c>
      <c r="AL392" t="s">
        <v>8086</v>
      </c>
      <c r="AM392" t="s">
        <v>8087</v>
      </c>
      <c r="AN392" t="s">
        <v>8088</v>
      </c>
      <c r="AO392" t="s">
        <v>68</v>
      </c>
      <c r="AQ392" t="s">
        <v>8089</v>
      </c>
      <c r="AR392" t="s">
        <v>8090</v>
      </c>
      <c r="AS392" t="s">
        <v>8091</v>
      </c>
      <c r="AV392" s="14" t="s">
        <v>72</v>
      </c>
      <c r="AW392" s="14" t="s">
        <v>73</v>
      </c>
      <c r="AX392" s="14" t="s">
        <v>74</v>
      </c>
    </row>
    <row r="393" spans="1:50" ht="15" customHeight="1" x14ac:dyDescent="0.4">
      <c r="A393" s="12">
        <v>3321</v>
      </c>
      <c r="B393" s="21" t="s">
        <v>2122</v>
      </c>
      <c r="C393" s="13" t="s">
        <v>2123</v>
      </c>
      <c r="D393" s="25" t="s">
        <v>2123</v>
      </c>
      <c r="E393" s="13"/>
      <c r="F393" s="41"/>
      <c r="G393" s="65" t="s">
        <v>8185</v>
      </c>
      <c r="H393" s="14" t="s">
        <v>2006</v>
      </c>
      <c r="I393" s="15">
        <v>44715</v>
      </c>
      <c r="J393" t="s">
        <v>1704</v>
      </c>
      <c r="K393" t="s">
        <v>1705</v>
      </c>
      <c r="L393" t="s">
        <v>1706</v>
      </c>
      <c r="M393" t="s">
        <v>53</v>
      </c>
      <c r="N393" t="s">
        <v>175</v>
      </c>
      <c r="O393" t="s">
        <v>2099</v>
      </c>
      <c r="P393" t="s">
        <v>56</v>
      </c>
      <c r="Q393" s="21" t="s">
        <v>2100</v>
      </c>
      <c r="R393" s="21"/>
      <c r="S393" t="s">
        <v>2124</v>
      </c>
      <c r="T393" t="s">
        <v>2125</v>
      </c>
      <c r="X393" t="s">
        <v>2009</v>
      </c>
      <c r="Z393" s="15"/>
      <c r="AB393">
        <v>36.644928</v>
      </c>
      <c r="AC393">
        <v>-89.292856</v>
      </c>
      <c r="AD393" t="s">
        <v>2126</v>
      </c>
      <c r="AG393" t="s">
        <v>1715</v>
      </c>
      <c r="AH393" t="s">
        <v>63</v>
      </c>
      <c r="AI393" t="s">
        <v>2127</v>
      </c>
      <c r="AJ393">
        <v>194227</v>
      </c>
      <c r="AL393" t="s">
        <v>2128</v>
      </c>
      <c r="AM393" t="s">
        <v>2129</v>
      </c>
      <c r="AN393" t="s">
        <v>2130</v>
      </c>
      <c r="AO393" t="s">
        <v>68</v>
      </c>
      <c r="AQ393" t="s">
        <v>2131</v>
      </c>
      <c r="AR393" t="s">
        <v>2132</v>
      </c>
      <c r="AS393" t="s">
        <v>2133</v>
      </c>
      <c r="AV393" s="14" t="s">
        <v>72</v>
      </c>
      <c r="AW393" s="14" t="s">
        <v>73</v>
      </c>
      <c r="AX393" s="14" t="s">
        <v>74</v>
      </c>
    </row>
    <row r="394" spans="1:50" ht="15" customHeight="1" x14ac:dyDescent="0.4">
      <c r="A394" s="12">
        <v>3322</v>
      </c>
      <c r="B394" s="21" t="s">
        <v>2134</v>
      </c>
      <c r="C394" s="13" t="s">
        <v>2135</v>
      </c>
      <c r="D394" s="25" t="s">
        <v>2135</v>
      </c>
      <c r="E394" s="13"/>
      <c r="F394" s="41"/>
      <c r="G394" s="65" t="s">
        <v>8185</v>
      </c>
      <c r="H394" s="14" t="s">
        <v>49</v>
      </c>
      <c r="I394" s="15">
        <v>44715</v>
      </c>
      <c r="J394" s="15" t="s">
        <v>1704</v>
      </c>
      <c r="K394" t="s">
        <v>1705</v>
      </c>
      <c r="L394" t="s">
        <v>1706</v>
      </c>
      <c r="M394" t="s">
        <v>53</v>
      </c>
      <c r="N394" t="s">
        <v>175</v>
      </c>
      <c r="O394" t="s">
        <v>2099</v>
      </c>
      <c r="P394" t="s">
        <v>56</v>
      </c>
      <c r="Q394" s="21" t="s">
        <v>2100</v>
      </c>
      <c r="R394" s="21"/>
      <c r="S394" t="s">
        <v>2124</v>
      </c>
      <c r="T394" t="s">
        <v>2136</v>
      </c>
      <c r="X394" t="s">
        <v>60</v>
      </c>
      <c r="Z394" s="15"/>
      <c r="AB394">
        <v>36.644964999999999</v>
      </c>
      <c r="AC394">
        <v>-89.292918999999998</v>
      </c>
      <c r="AD394" t="s">
        <v>2126</v>
      </c>
      <c r="AG394" t="s">
        <v>1715</v>
      </c>
      <c r="AH394" t="s">
        <v>63</v>
      </c>
      <c r="AI394" t="s">
        <v>2137</v>
      </c>
      <c r="AJ394">
        <v>192563</v>
      </c>
      <c r="AL394" t="s">
        <v>2138</v>
      </c>
      <c r="AM394" t="s">
        <v>2139</v>
      </c>
      <c r="AN394" t="s">
        <v>2140</v>
      </c>
      <c r="AO394" t="s">
        <v>68</v>
      </c>
      <c r="AQ394" t="s">
        <v>2141</v>
      </c>
      <c r="AR394" t="s">
        <v>2142</v>
      </c>
      <c r="AS394" t="s">
        <v>2143</v>
      </c>
      <c r="AV394" s="14" t="s">
        <v>72</v>
      </c>
      <c r="AW394" s="14" t="s">
        <v>73</v>
      </c>
      <c r="AX394" s="14" t="s">
        <v>74</v>
      </c>
    </row>
    <row r="395" spans="1:50" ht="15" customHeight="1" x14ac:dyDescent="0.4">
      <c r="A395" s="12">
        <v>3323</v>
      </c>
      <c r="B395" s="21" t="s">
        <v>2144</v>
      </c>
      <c r="C395" s="13" t="s">
        <v>2145</v>
      </c>
      <c r="D395" s="25" t="s">
        <v>2145</v>
      </c>
      <c r="E395" s="13"/>
      <c r="F395" s="41"/>
      <c r="G395" s="65" t="s">
        <v>8185</v>
      </c>
      <c r="H395" s="14" t="s">
        <v>2006</v>
      </c>
      <c r="I395" s="15">
        <v>44715</v>
      </c>
      <c r="J395" t="s">
        <v>1704</v>
      </c>
      <c r="K395" t="s">
        <v>1705</v>
      </c>
      <c r="L395" t="s">
        <v>1706</v>
      </c>
      <c r="M395" t="s">
        <v>53</v>
      </c>
      <c r="N395" t="s">
        <v>175</v>
      </c>
      <c r="O395" t="s">
        <v>2099</v>
      </c>
      <c r="P395" t="s">
        <v>56</v>
      </c>
      <c r="Q395" s="21" t="s">
        <v>2100</v>
      </c>
      <c r="R395" s="21"/>
      <c r="T395" t="s">
        <v>2146</v>
      </c>
      <c r="X395" t="s">
        <v>2009</v>
      </c>
      <c r="Z395" s="15"/>
      <c r="AB395">
        <v>36.644699000000003</v>
      </c>
      <c r="AC395">
        <v>-89.294887000000003</v>
      </c>
      <c r="AD395" t="s">
        <v>2147</v>
      </c>
      <c r="AG395" t="s">
        <v>1715</v>
      </c>
      <c r="AH395" t="s">
        <v>63</v>
      </c>
      <c r="AI395" t="s">
        <v>2148</v>
      </c>
      <c r="AJ395">
        <v>194228</v>
      </c>
      <c r="AL395" t="s">
        <v>2149</v>
      </c>
      <c r="AM395" t="s">
        <v>2150</v>
      </c>
      <c r="AN395" t="s">
        <v>2151</v>
      </c>
      <c r="AO395" t="s">
        <v>68</v>
      </c>
      <c r="AQ395" t="s">
        <v>2152</v>
      </c>
      <c r="AR395" t="s">
        <v>2153</v>
      </c>
      <c r="AS395" t="s">
        <v>2154</v>
      </c>
      <c r="AV395" s="14" t="s">
        <v>72</v>
      </c>
      <c r="AW395" s="14" t="s">
        <v>73</v>
      </c>
      <c r="AX395" s="14" t="s">
        <v>74</v>
      </c>
    </row>
    <row r="396" spans="1:50" ht="15" customHeight="1" x14ac:dyDescent="0.4">
      <c r="A396" s="12">
        <v>3324</v>
      </c>
      <c r="B396" s="21" t="s">
        <v>2155</v>
      </c>
      <c r="C396" s="13" t="s">
        <v>2156</v>
      </c>
      <c r="D396" s="25" t="s">
        <v>2156</v>
      </c>
      <c r="E396" s="13"/>
      <c r="F396" s="43" t="s">
        <v>49</v>
      </c>
      <c r="G396" s="65" t="s">
        <v>8185</v>
      </c>
      <c r="H396" s="14" t="s">
        <v>49</v>
      </c>
      <c r="I396" s="15">
        <v>44715</v>
      </c>
      <c r="J396" s="15" t="s">
        <v>1704</v>
      </c>
      <c r="K396" t="s">
        <v>1705</v>
      </c>
      <c r="L396" t="s">
        <v>1706</v>
      </c>
      <c r="M396" t="s">
        <v>53</v>
      </c>
      <c r="N396" t="s">
        <v>175</v>
      </c>
      <c r="O396" t="s">
        <v>2099</v>
      </c>
      <c r="P396" t="s">
        <v>56</v>
      </c>
      <c r="Q396" s="21" t="s">
        <v>2100</v>
      </c>
      <c r="R396" s="21"/>
      <c r="T396" t="s">
        <v>2157</v>
      </c>
      <c r="X396" t="s">
        <v>60</v>
      </c>
      <c r="Z396" s="15"/>
      <c r="AB396">
        <v>36.645049999999998</v>
      </c>
      <c r="AC396">
        <v>-89.294533000000001</v>
      </c>
      <c r="AD396" t="s">
        <v>2158</v>
      </c>
      <c r="AG396" t="s">
        <v>1715</v>
      </c>
      <c r="AH396" t="s">
        <v>63</v>
      </c>
      <c r="AI396" t="s">
        <v>2159</v>
      </c>
      <c r="AJ396">
        <v>194182</v>
      </c>
      <c r="AL396" t="s">
        <v>2160</v>
      </c>
      <c r="AM396" t="s">
        <v>2161</v>
      </c>
      <c r="AN396" t="s">
        <v>2162</v>
      </c>
      <c r="AO396" t="s">
        <v>68</v>
      </c>
      <c r="AQ396" t="s">
        <v>2163</v>
      </c>
      <c r="AR396" t="s">
        <v>2164</v>
      </c>
      <c r="AS396" t="s">
        <v>2165</v>
      </c>
      <c r="AV396" s="14" t="s">
        <v>72</v>
      </c>
      <c r="AW396" s="14" t="s">
        <v>73</v>
      </c>
      <c r="AX396" s="14" t="s">
        <v>74</v>
      </c>
    </row>
    <row r="397" spans="1:50" ht="15" customHeight="1" x14ac:dyDescent="0.4">
      <c r="A397" s="12">
        <v>3325</v>
      </c>
      <c r="B397" s="21" t="s">
        <v>2166</v>
      </c>
      <c r="C397" s="13" t="s">
        <v>2167</v>
      </c>
      <c r="D397" s="25" t="s">
        <v>2167</v>
      </c>
      <c r="E397" s="13"/>
      <c r="F397" s="41"/>
      <c r="G397" s="65" t="s">
        <v>8185</v>
      </c>
      <c r="H397" s="14" t="s">
        <v>49</v>
      </c>
      <c r="I397" s="15">
        <v>44715</v>
      </c>
      <c r="J397" t="s">
        <v>1704</v>
      </c>
      <c r="K397" t="s">
        <v>1705</v>
      </c>
      <c r="L397" t="s">
        <v>1706</v>
      </c>
      <c r="M397" t="s">
        <v>53</v>
      </c>
      <c r="N397" t="s">
        <v>175</v>
      </c>
      <c r="O397" t="s">
        <v>2099</v>
      </c>
      <c r="P397" t="s">
        <v>56</v>
      </c>
      <c r="Q397" s="21" t="s">
        <v>2100</v>
      </c>
      <c r="R397" s="21"/>
      <c r="S397" t="s">
        <v>2168</v>
      </c>
      <c r="T397" t="s">
        <v>2169</v>
      </c>
      <c r="X397" t="s">
        <v>60</v>
      </c>
      <c r="Z397" s="15"/>
      <c r="AG397" t="s">
        <v>1715</v>
      </c>
      <c r="AH397" t="s">
        <v>63</v>
      </c>
      <c r="AI397" t="s">
        <v>2170</v>
      </c>
      <c r="AJ397">
        <v>192665</v>
      </c>
      <c r="AL397" t="s">
        <v>2171</v>
      </c>
      <c r="AM397" t="s">
        <v>2172</v>
      </c>
      <c r="AN397" t="s">
        <v>2173</v>
      </c>
      <c r="AO397" t="s">
        <v>68</v>
      </c>
      <c r="AQ397" t="s">
        <v>2174</v>
      </c>
      <c r="AR397" t="s">
        <v>2175</v>
      </c>
      <c r="AS397" t="s">
        <v>2176</v>
      </c>
      <c r="AV397" s="14" t="s">
        <v>72</v>
      </c>
      <c r="AW397" s="14" t="s">
        <v>73</v>
      </c>
      <c r="AX397" s="14" t="s">
        <v>74</v>
      </c>
    </row>
    <row r="398" spans="1:50" ht="15" customHeight="1" x14ac:dyDescent="0.4">
      <c r="A398" s="12">
        <v>3326</v>
      </c>
      <c r="B398" s="21" t="s">
        <v>2177</v>
      </c>
      <c r="C398" s="13" t="s">
        <v>2178</v>
      </c>
      <c r="D398" s="25" t="s">
        <v>2178</v>
      </c>
      <c r="E398" s="13"/>
      <c r="F398" s="41"/>
      <c r="G398" s="65" t="s">
        <v>8185</v>
      </c>
      <c r="H398" s="14" t="s">
        <v>1703</v>
      </c>
      <c r="I398" s="15">
        <v>44715</v>
      </c>
      <c r="J398" s="15" t="s">
        <v>1704</v>
      </c>
      <c r="K398" t="s">
        <v>1705</v>
      </c>
      <c r="L398" t="s">
        <v>1706</v>
      </c>
      <c r="M398" t="s">
        <v>53</v>
      </c>
      <c r="N398" t="s">
        <v>175</v>
      </c>
      <c r="O398" t="s">
        <v>2099</v>
      </c>
      <c r="P398" t="s">
        <v>56</v>
      </c>
      <c r="Q398" s="21" t="s">
        <v>2100</v>
      </c>
      <c r="R398" s="21"/>
      <c r="S398" t="s">
        <v>2179</v>
      </c>
      <c r="T398" t="s">
        <v>2180</v>
      </c>
      <c r="X398" t="s">
        <v>1713</v>
      </c>
      <c r="Z398" s="15"/>
      <c r="AG398" t="s">
        <v>1715</v>
      </c>
      <c r="AH398" t="s">
        <v>63</v>
      </c>
      <c r="AI398" t="s">
        <v>2181</v>
      </c>
      <c r="AJ398">
        <v>193763</v>
      </c>
      <c r="AL398" t="s">
        <v>2182</v>
      </c>
      <c r="AM398" t="s">
        <v>2183</v>
      </c>
      <c r="AN398" t="s">
        <v>2184</v>
      </c>
      <c r="AO398" t="s">
        <v>68</v>
      </c>
      <c r="AQ398" t="s">
        <v>2185</v>
      </c>
      <c r="AR398" t="s">
        <v>2186</v>
      </c>
      <c r="AS398" t="s">
        <v>2187</v>
      </c>
      <c r="AV398" s="14" t="s">
        <v>72</v>
      </c>
      <c r="AW398" s="14" t="s">
        <v>73</v>
      </c>
      <c r="AX398" s="14" t="s">
        <v>1723</v>
      </c>
    </row>
    <row r="399" spans="1:50" ht="15" customHeight="1" x14ac:dyDescent="0.4">
      <c r="A399" s="12">
        <v>3327</v>
      </c>
      <c r="B399" s="21" t="s">
        <v>2188</v>
      </c>
      <c r="C399" s="13" t="s">
        <v>2189</v>
      </c>
      <c r="D399" s="25" t="s">
        <v>2189</v>
      </c>
      <c r="E399" s="13"/>
      <c r="F399" s="41"/>
      <c r="G399" s="65" t="s">
        <v>8185</v>
      </c>
      <c r="H399" s="14" t="s">
        <v>49</v>
      </c>
      <c r="I399" s="15">
        <v>44715</v>
      </c>
      <c r="J399" t="s">
        <v>1704</v>
      </c>
      <c r="K399" t="s">
        <v>1705</v>
      </c>
      <c r="L399" t="s">
        <v>1706</v>
      </c>
      <c r="M399" t="s">
        <v>53</v>
      </c>
      <c r="N399" t="s">
        <v>175</v>
      </c>
      <c r="O399" t="s">
        <v>2099</v>
      </c>
      <c r="P399" t="s">
        <v>56</v>
      </c>
      <c r="Q399" s="21" t="s">
        <v>2100</v>
      </c>
      <c r="R399" s="21"/>
      <c r="S399" t="s">
        <v>2190</v>
      </c>
      <c r="T399" t="s">
        <v>2191</v>
      </c>
      <c r="X399" t="s">
        <v>60</v>
      </c>
      <c r="Z399" s="15"/>
      <c r="AG399" t="s">
        <v>1715</v>
      </c>
      <c r="AH399" t="s">
        <v>63</v>
      </c>
      <c r="AI399" t="s">
        <v>2192</v>
      </c>
      <c r="AJ399">
        <v>192664</v>
      </c>
      <c r="AL399" t="s">
        <v>2193</v>
      </c>
      <c r="AM399" t="s">
        <v>2194</v>
      </c>
      <c r="AN399" t="s">
        <v>2195</v>
      </c>
      <c r="AO399" t="s">
        <v>68</v>
      </c>
      <c r="AQ399" t="s">
        <v>2196</v>
      </c>
      <c r="AR399" t="s">
        <v>2197</v>
      </c>
      <c r="AS399" t="s">
        <v>2198</v>
      </c>
      <c r="AV399" s="14" t="s">
        <v>72</v>
      </c>
      <c r="AW399" s="14" t="s">
        <v>73</v>
      </c>
      <c r="AX399" s="14" t="s">
        <v>74</v>
      </c>
    </row>
    <row r="400" spans="1:50" ht="15" customHeight="1" x14ac:dyDescent="0.4">
      <c r="A400" s="12">
        <v>3328</v>
      </c>
      <c r="B400" s="21" t="s">
        <v>2199</v>
      </c>
      <c r="C400" s="13" t="s">
        <v>2200</v>
      </c>
      <c r="D400" s="25" t="s">
        <v>2200</v>
      </c>
      <c r="E400" s="13"/>
      <c r="F400" s="41"/>
      <c r="G400" s="65" t="s">
        <v>8185</v>
      </c>
      <c r="H400" s="14" t="s">
        <v>1703</v>
      </c>
      <c r="I400" s="15">
        <v>44715</v>
      </c>
      <c r="J400" s="15" t="s">
        <v>1704</v>
      </c>
      <c r="K400" t="s">
        <v>1705</v>
      </c>
      <c r="L400" t="s">
        <v>1706</v>
      </c>
      <c r="M400" t="s">
        <v>53</v>
      </c>
      <c r="N400" t="s">
        <v>175</v>
      </c>
      <c r="O400" t="s">
        <v>2099</v>
      </c>
      <c r="P400" t="s">
        <v>56</v>
      </c>
      <c r="Q400" s="21" t="s">
        <v>2100</v>
      </c>
      <c r="R400" s="21"/>
      <c r="S400" t="s">
        <v>2201</v>
      </c>
      <c r="T400">
        <v>0</v>
      </c>
      <c r="X400" t="s">
        <v>1713</v>
      </c>
      <c r="Z400" s="15"/>
      <c r="AG400" t="s">
        <v>1715</v>
      </c>
      <c r="AH400" t="s">
        <v>63</v>
      </c>
      <c r="AI400" t="s">
        <v>2202</v>
      </c>
      <c r="AJ400">
        <v>193764</v>
      </c>
      <c r="AL400" t="s">
        <v>2203</v>
      </c>
      <c r="AM400" t="s">
        <v>2204</v>
      </c>
      <c r="AN400" t="s">
        <v>2205</v>
      </c>
      <c r="AO400" t="s">
        <v>68</v>
      </c>
      <c r="AQ400" t="s">
        <v>2206</v>
      </c>
      <c r="AR400" t="s">
        <v>2207</v>
      </c>
      <c r="AS400" t="s">
        <v>2208</v>
      </c>
      <c r="AV400" s="14" t="s">
        <v>72</v>
      </c>
      <c r="AW400" s="14" t="s">
        <v>73</v>
      </c>
      <c r="AX400" s="14" t="s">
        <v>1723</v>
      </c>
    </row>
    <row r="401" spans="1:50" ht="15" customHeight="1" x14ac:dyDescent="0.4">
      <c r="A401" s="12">
        <v>3329</v>
      </c>
      <c r="B401" s="21" t="s">
        <v>2209</v>
      </c>
      <c r="C401" s="13" t="s">
        <v>2210</v>
      </c>
      <c r="D401" s="25" t="s">
        <v>2210</v>
      </c>
      <c r="E401" s="13"/>
      <c r="F401" s="43" t="s">
        <v>1703</v>
      </c>
      <c r="G401" s="65" t="s">
        <v>8158</v>
      </c>
      <c r="H401" s="14" t="s">
        <v>1703</v>
      </c>
      <c r="I401" s="15">
        <v>44715</v>
      </c>
      <c r="J401" t="s">
        <v>1704</v>
      </c>
      <c r="K401" t="s">
        <v>1705</v>
      </c>
      <c r="L401" t="s">
        <v>1706</v>
      </c>
      <c r="M401" t="s">
        <v>53</v>
      </c>
      <c r="N401" t="s">
        <v>175</v>
      </c>
      <c r="O401" t="s">
        <v>2099</v>
      </c>
      <c r="P401" t="s">
        <v>56</v>
      </c>
      <c r="Q401" s="21" t="s">
        <v>2100</v>
      </c>
      <c r="R401" s="21"/>
      <c r="S401" t="s">
        <v>2211</v>
      </c>
      <c r="T401" t="s">
        <v>2212</v>
      </c>
      <c r="X401" t="s">
        <v>1713</v>
      </c>
      <c r="Z401" s="15"/>
      <c r="AG401" t="s">
        <v>1715</v>
      </c>
      <c r="AH401" t="s">
        <v>63</v>
      </c>
      <c r="AI401" t="s">
        <v>2213</v>
      </c>
      <c r="AJ401">
        <v>192574</v>
      </c>
      <c r="AL401" t="s">
        <v>2214</v>
      </c>
      <c r="AM401" t="s">
        <v>2215</v>
      </c>
      <c r="AN401" t="s">
        <v>2216</v>
      </c>
      <c r="AO401" t="s">
        <v>68</v>
      </c>
      <c r="AQ401" t="s">
        <v>2217</v>
      </c>
      <c r="AR401" t="s">
        <v>2218</v>
      </c>
      <c r="AS401" t="s">
        <v>2219</v>
      </c>
      <c r="AV401" s="14" t="s">
        <v>72</v>
      </c>
      <c r="AW401" s="14" t="s">
        <v>73</v>
      </c>
      <c r="AX401" s="14" t="s">
        <v>1723</v>
      </c>
    </row>
    <row r="402" spans="1:50" ht="15" customHeight="1" x14ac:dyDescent="0.4">
      <c r="A402" s="12">
        <v>3330</v>
      </c>
      <c r="B402" s="21" t="s">
        <v>2220</v>
      </c>
      <c r="C402" s="13" t="s">
        <v>2221</v>
      </c>
      <c r="D402" s="25" t="s">
        <v>2221</v>
      </c>
      <c r="E402" s="13"/>
      <c r="F402" s="41" t="s">
        <v>49</v>
      </c>
      <c r="G402" s="65" t="s">
        <v>8185</v>
      </c>
      <c r="H402" s="14" t="s">
        <v>2222</v>
      </c>
      <c r="I402" s="15">
        <v>44715</v>
      </c>
      <c r="J402" s="15" t="s">
        <v>1704</v>
      </c>
      <c r="K402" t="s">
        <v>1705</v>
      </c>
      <c r="L402" t="s">
        <v>1706</v>
      </c>
      <c r="M402" t="s">
        <v>53</v>
      </c>
      <c r="N402" t="s">
        <v>175</v>
      </c>
      <c r="O402" t="s">
        <v>2099</v>
      </c>
      <c r="P402" t="s">
        <v>56</v>
      </c>
      <c r="Q402" s="21" t="s">
        <v>2100</v>
      </c>
      <c r="R402" s="21"/>
      <c r="S402" t="s">
        <v>2223</v>
      </c>
      <c r="T402" t="s">
        <v>2224</v>
      </c>
      <c r="X402" t="s">
        <v>2225</v>
      </c>
      <c r="Z402" s="15"/>
      <c r="AG402" t="s">
        <v>1715</v>
      </c>
      <c r="AH402" t="s">
        <v>63</v>
      </c>
      <c r="AI402" t="s">
        <v>2226</v>
      </c>
      <c r="AJ402">
        <v>192675</v>
      </c>
      <c r="AL402" t="s">
        <v>2227</v>
      </c>
      <c r="AM402" t="s">
        <v>2228</v>
      </c>
      <c r="AN402" t="s">
        <v>2229</v>
      </c>
      <c r="AO402" t="s">
        <v>68</v>
      </c>
      <c r="AQ402" t="s">
        <v>2230</v>
      </c>
      <c r="AR402" t="s">
        <v>2231</v>
      </c>
      <c r="AS402" t="s">
        <v>2232</v>
      </c>
      <c r="AV402" s="14" t="s">
        <v>72</v>
      </c>
      <c r="AW402" s="14" t="s">
        <v>73</v>
      </c>
      <c r="AX402" s="14" t="s">
        <v>74</v>
      </c>
    </row>
    <row r="403" spans="1:50" ht="15" customHeight="1" x14ac:dyDescent="0.4">
      <c r="A403" s="12">
        <v>3331</v>
      </c>
      <c r="B403" s="21" t="s">
        <v>2233</v>
      </c>
      <c r="C403" s="13" t="s">
        <v>2234</v>
      </c>
      <c r="D403" s="25" t="s">
        <v>2234</v>
      </c>
      <c r="E403" s="13"/>
      <c r="F403" s="41"/>
      <c r="G403" s="65" t="s">
        <v>8185</v>
      </c>
      <c r="H403" s="14" t="s">
        <v>2006</v>
      </c>
      <c r="I403" s="15">
        <v>44715</v>
      </c>
      <c r="J403" t="s">
        <v>1704</v>
      </c>
      <c r="K403" t="s">
        <v>1705</v>
      </c>
      <c r="L403" t="s">
        <v>1706</v>
      </c>
      <c r="M403" t="s">
        <v>53</v>
      </c>
      <c r="N403" t="s">
        <v>175</v>
      </c>
      <c r="O403" t="s">
        <v>2099</v>
      </c>
      <c r="P403" t="s">
        <v>56</v>
      </c>
      <c r="Q403" s="21" t="s">
        <v>2100</v>
      </c>
      <c r="R403" s="21"/>
      <c r="S403" t="s">
        <v>2235</v>
      </c>
      <c r="T403" t="s">
        <v>2236</v>
      </c>
      <c r="X403" t="s">
        <v>2009</v>
      </c>
      <c r="Z403" s="15"/>
      <c r="AG403" t="s">
        <v>1715</v>
      </c>
      <c r="AH403" t="s">
        <v>63</v>
      </c>
      <c r="AI403" t="s">
        <v>2237</v>
      </c>
      <c r="AJ403">
        <v>194229</v>
      </c>
      <c r="AL403" t="s">
        <v>2238</v>
      </c>
      <c r="AM403" t="s">
        <v>2239</v>
      </c>
      <c r="AN403" t="s">
        <v>2240</v>
      </c>
      <c r="AO403" t="s">
        <v>68</v>
      </c>
      <c r="AQ403" t="s">
        <v>2241</v>
      </c>
      <c r="AR403" t="s">
        <v>2242</v>
      </c>
      <c r="AS403" t="s">
        <v>2243</v>
      </c>
      <c r="AV403" s="14" t="s">
        <v>72</v>
      </c>
      <c r="AW403" s="14" t="s">
        <v>73</v>
      </c>
      <c r="AX403" s="14" t="s">
        <v>74</v>
      </c>
    </row>
    <row r="404" spans="1:50" ht="15" customHeight="1" x14ac:dyDescent="0.4">
      <c r="A404" s="12">
        <v>3332</v>
      </c>
      <c r="B404" s="21" t="s">
        <v>2244</v>
      </c>
      <c r="C404" s="13" t="s">
        <v>2245</v>
      </c>
      <c r="D404" s="25" t="s">
        <v>2245</v>
      </c>
      <c r="E404" s="13"/>
      <c r="F404" s="44" t="s">
        <v>49</v>
      </c>
      <c r="G404" s="65" t="s">
        <v>8162</v>
      </c>
      <c r="H404" s="14" t="s">
        <v>2222</v>
      </c>
      <c r="I404" s="15">
        <v>44715</v>
      </c>
      <c r="J404" s="15" t="s">
        <v>1704</v>
      </c>
      <c r="K404" t="s">
        <v>1705</v>
      </c>
      <c r="L404" t="s">
        <v>1706</v>
      </c>
      <c r="M404" t="s">
        <v>53</v>
      </c>
      <c r="N404" t="s">
        <v>175</v>
      </c>
      <c r="O404" t="s">
        <v>2099</v>
      </c>
      <c r="P404" t="s">
        <v>56</v>
      </c>
      <c r="Q404" s="21" t="s">
        <v>2100</v>
      </c>
      <c r="S404" t="s">
        <v>2246</v>
      </c>
      <c r="T404" t="s">
        <v>2247</v>
      </c>
      <c r="X404" t="s">
        <v>2225</v>
      </c>
      <c r="Z404" s="15"/>
      <c r="AG404" t="s">
        <v>1715</v>
      </c>
      <c r="AH404" t="s">
        <v>63</v>
      </c>
      <c r="AI404" t="s">
        <v>2248</v>
      </c>
      <c r="AJ404">
        <v>192571</v>
      </c>
      <c r="AL404" t="s">
        <v>2249</v>
      </c>
      <c r="AM404" t="s">
        <v>2250</v>
      </c>
      <c r="AN404" t="s">
        <v>2251</v>
      </c>
      <c r="AO404" t="s">
        <v>68</v>
      </c>
      <c r="AQ404" t="s">
        <v>2252</v>
      </c>
      <c r="AR404" t="s">
        <v>2253</v>
      </c>
      <c r="AS404" t="s">
        <v>2254</v>
      </c>
      <c r="AV404" s="14" t="s">
        <v>72</v>
      </c>
      <c r="AW404" s="14" t="s">
        <v>73</v>
      </c>
      <c r="AX404" s="14" t="s">
        <v>74</v>
      </c>
    </row>
    <row r="405" spans="1:50" ht="15" customHeight="1" x14ac:dyDescent="0.4">
      <c r="A405" s="12">
        <v>3566</v>
      </c>
      <c r="B405" s="21" t="s">
        <v>2717</v>
      </c>
      <c r="C405" s="13" t="s">
        <v>2718</v>
      </c>
      <c r="D405" s="25" t="s">
        <v>2718</v>
      </c>
      <c r="E405" s="13"/>
      <c r="F405" s="41"/>
      <c r="G405" s="65" t="s">
        <v>8185</v>
      </c>
      <c r="H405" s="14" t="s">
        <v>49</v>
      </c>
      <c r="I405" s="15">
        <v>44732</v>
      </c>
      <c r="J405" t="s">
        <v>2719</v>
      </c>
      <c r="K405" t="s">
        <v>51</v>
      </c>
      <c r="L405" t="s">
        <v>52</v>
      </c>
      <c r="M405" t="s">
        <v>53</v>
      </c>
      <c r="N405" t="s">
        <v>175</v>
      </c>
      <c r="O405" t="s">
        <v>2720</v>
      </c>
      <c r="P405" t="s">
        <v>56</v>
      </c>
      <c r="Q405" s="21" t="s">
        <v>2721</v>
      </c>
      <c r="R405" s="21"/>
      <c r="S405" t="s">
        <v>2722</v>
      </c>
      <c r="T405" t="s">
        <v>2723</v>
      </c>
      <c r="X405" t="s">
        <v>60</v>
      </c>
      <c r="Z405" s="15"/>
      <c r="AB405">
        <v>38.545696999999997</v>
      </c>
      <c r="AC405">
        <v>-90.535657</v>
      </c>
      <c r="AD405" t="s">
        <v>2724</v>
      </c>
      <c r="AG405" t="s">
        <v>1715</v>
      </c>
      <c r="AH405" t="s">
        <v>63</v>
      </c>
      <c r="AI405" t="s">
        <v>2725</v>
      </c>
      <c r="AJ405">
        <v>192542</v>
      </c>
      <c r="AL405" t="s">
        <v>2726</v>
      </c>
      <c r="AM405" t="s">
        <v>2727</v>
      </c>
      <c r="AN405" t="s">
        <v>2728</v>
      </c>
      <c r="AO405" t="s">
        <v>68</v>
      </c>
      <c r="AQ405" t="s">
        <v>2729</v>
      </c>
      <c r="AR405" t="s">
        <v>2730</v>
      </c>
      <c r="AS405" t="s">
        <v>2731</v>
      </c>
      <c r="AV405" s="14" t="s">
        <v>72</v>
      </c>
      <c r="AW405" s="14" t="s">
        <v>73</v>
      </c>
      <c r="AX405" s="14" t="s">
        <v>74</v>
      </c>
    </row>
    <row r="406" spans="1:50" ht="15" customHeight="1" x14ac:dyDescent="0.4">
      <c r="A406" s="12">
        <v>3567</v>
      </c>
      <c r="B406" s="21" t="s">
        <v>2732</v>
      </c>
      <c r="C406" s="13" t="s">
        <v>2733</v>
      </c>
      <c r="D406" s="25" t="s">
        <v>2733</v>
      </c>
      <c r="E406" s="13"/>
      <c r="F406" s="41"/>
      <c r="G406" s="65" t="s">
        <v>8185</v>
      </c>
      <c r="H406" s="14" t="s">
        <v>49</v>
      </c>
      <c r="I406" s="15">
        <v>44732</v>
      </c>
      <c r="J406" t="s">
        <v>2719</v>
      </c>
      <c r="K406" t="s">
        <v>51</v>
      </c>
      <c r="L406" t="s">
        <v>52</v>
      </c>
      <c r="M406" t="s">
        <v>53</v>
      </c>
      <c r="N406" t="s">
        <v>175</v>
      </c>
      <c r="O406" t="s">
        <v>2720</v>
      </c>
      <c r="P406" t="s">
        <v>56</v>
      </c>
      <c r="Q406" s="21" t="s">
        <v>2721</v>
      </c>
      <c r="R406" s="21"/>
      <c r="S406" t="s">
        <v>2734</v>
      </c>
      <c r="T406" t="s">
        <v>2735</v>
      </c>
      <c r="X406" t="s">
        <v>60</v>
      </c>
      <c r="Z406" s="15"/>
      <c r="AB406">
        <v>38.546835000000002</v>
      </c>
      <c r="AC406">
        <v>-90.537024000000002</v>
      </c>
      <c r="AD406" t="s">
        <v>2736</v>
      </c>
      <c r="AG406" t="s">
        <v>1715</v>
      </c>
      <c r="AH406" t="s">
        <v>63</v>
      </c>
      <c r="AI406" t="s">
        <v>2737</v>
      </c>
      <c r="AJ406">
        <v>194183</v>
      </c>
      <c r="AL406" t="s">
        <v>2738</v>
      </c>
      <c r="AM406" t="s">
        <v>2739</v>
      </c>
      <c r="AN406" t="s">
        <v>2740</v>
      </c>
      <c r="AO406" t="s">
        <v>68</v>
      </c>
      <c r="AQ406" t="s">
        <v>2741</v>
      </c>
      <c r="AR406" t="s">
        <v>2742</v>
      </c>
      <c r="AS406" t="s">
        <v>2743</v>
      </c>
      <c r="AV406" s="14" t="s">
        <v>72</v>
      </c>
      <c r="AW406" s="14" t="s">
        <v>73</v>
      </c>
      <c r="AX406" s="14" t="s">
        <v>74</v>
      </c>
    </row>
    <row r="407" spans="1:50" ht="15" customHeight="1" x14ac:dyDescent="0.4">
      <c r="A407" s="12">
        <v>3568</v>
      </c>
      <c r="B407" s="21" t="s">
        <v>2744</v>
      </c>
      <c r="C407" s="13" t="s">
        <v>2745</v>
      </c>
      <c r="D407" s="25" t="s">
        <v>2745</v>
      </c>
      <c r="E407" s="13"/>
      <c r="F407" s="41"/>
      <c r="G407" s="65" t="s">
        <v>8185</v>
      </c>
      <c r="H407" s="14" t="s">
        <v>49</v>
      </c>
      <c r="I407" s="15">
        <v>44732</v>
      </c>
      <c r="J407" t="s">
        <v>2719</v>
      </c>
      <c r="K407" t="s">
        <v>51</v>
      </c>
      <c r="L407" t="s">
        <v>52</v>
      </c>
      <c r="M407" t="s">
        <v>53</v>
      </c>
      <c r="N407" t="s">
        <v>175</v>
      </c>
      <c r="O407" t="s">
        <v>2720</v>
      </c>
      <c r="P407" t="s">
        <v>56</v>
      </c>
      <c r="Q407" s="21" t="s">
        <v>2721</v>
      </c>
      <c r="R407" s="21"/>
      <c r="S407" t="s">
        <v>2746</v>
      </c>
      <c r="T407" t="s">
        <v>2747</v>
      </c>
      <c r="W407" t="s">
        <v>1758</v>
      </c>
      <c r="X407" t="s">
        <v>60</v>
      </c>
      <c r="Z407" s="15"/>
      <c r="AB407">
        <v>38.547165999999997</v>
      </c>
      <c r="AC407">
        <v>-90.536985999999999</v>
      </c>
      <c r="AD407" t="s">
        <v>2748</v>
      </c>
      <c r="AG407" t="s">
        <v>1715</v>
      </c>
      <c r="AH407" t="s">
        <v>63</v>
      </c>
      <c r="AI407" t="s">
        <v>2749</v>
      </c>
      <c r="AJ407">
        <v>194184</v>
      </c>
      <c r="AL407" t="s">
        <v>2750</v>
      </c>
      <c r="AM407" t="s">
        <v>2751</v>
      </c>
      <c r="AN407" t="s">
        <v>2752</v>
      </c>
      <c r="AO407" t="s">
        <v>68</v>
      </c>
      <c r="AQ407" t="s">
        <v>2753</v>
      </c>
      <c r="AR407" t="s">
        <v>2754</v>
      </c>
      <c r="AS407" t="s">
        <v>2755</v>
      </c>
      <c r="AV407" s="14" t="s">
        <v>72</v>
      </c>
      <c r="AW407" s="14" t="s">
        <v>73</v>
      </c>
      <c r="AX407" s="14" t="s">
        <v>74</v>
      </c>
    </row>
    <row r="408" spans="1:50" ht="15" customHeight="1" x14ac:dyDescent="0.4">
      <c r="A408" s="12">
        <v>3584</v>
      </c>
      <c r="B408" s="21" t="s">
        <v>2934</v>
      </c>
      <c r="C408" s="13" t="s">
        <v>2935</v>
      </c>
      <c r="D408" s="25" t="s">
        <v>2935</v>
      </c>
      <c r="E408" s="13"/>
      <c r="F408" s="41"/>
      <c r="G408" s="65" t="s">
        <v>8185</v>
      </c>
      <c r="H408" s="14" t="s">
        <v>49</v>
      </c>
      <c r="I408" s="15">
        <v>44734</v>
      </c>
      <c r="J408" t="s">
        <v>2719</v>
      </c>
      <c r="K408" t="s">
        <v>51</v>
      </c>
      <c r="L408" t="s">
        <v>52</v>
      </c>
      <c r="M408" t="s">
        <v>53</v>
      </c>
      <c r="N408" t="s">
        <v>175</v>
      </c>
      <c r="O408" t="s">
        <v>2936</v>
      </c>
      <c r="P408" t="s">
        <v>56</v>
      </c>
      <c r="Q408" s="21" t="s">
        <v>2937</v>
      </c>
      <c r="R408" s="21"/>
      <c r="S408" t="s">
        <v>2938</v>
      </c>
      <c r="T408" t="s">
        <v>2939</v>
      </c>
      <c r="W408" t="s">
        <v>2440</v>
      </c>
      <c r="X408" t="s">
        <v>60</v>
      </c>
      <c r="Z408" s="15"/>
      <c r="AB408">
        <v>37.990282000000001</v>
      </c>
      <c r="AC408">
        <v>-92.774439000000001</v>
      </c>
      <c r="AG408" t="s">
        <v>1715</v>
      </c>
      <c r="AH408" t="s">
        <v>63</v>
      </c>
      <c r="AI408" t="s">
        <v>2940</v>
      </c>
      <c r="AJ408">
        <v>194185</v>
      </c>
      <c r="AL408" t="s">
        <v>2941</v>
      </c>
      <c r="AM408" t="s">
        <v>2942</v>
      </c>
      <c r="AN408" t="s">
        <v>2943</v>
      </c>
      <c r="AO408" t="s">
        <v>68</v>
      </c>
      <c r="AQ408" t="s">
        <v>2944</v>
      </c>
      <c r="AR408" t="s">
        <v>2945</v>
      </c>
      <c r="AS408" t="s">
        <v>2946</v>
      </c>
      <c r="AV408" s="14" t="s">
        <v>72</v>
      </c>
      <c r="AW408" s="14" t="s">
        <v>73</v>
      </c>
      <c r="AX408" s="14" t="s">
        <v>74</v>
      </c>
    </row>
    <row r="409" spans="1:50" ht="15" customHeight="1" x14ac:dyDescent="0.4">
      <c r="A409" s="12">
        <v>3585</v>
      </c>
      <c r="B409" s="21" t="s">
        <v>2947</v>
      </c>
      <c r="C409" s="13" t="s">
        <v>2948</v>
      </c>
      <c r="D409" s="25" t="s">
        <v>2948</v>
      </c>
      <c r="E409" s="13"/>
      <c r="F409" s="41"/>
      <c r="G409" s="65" t="s">
        <v>8185</v>
      </c>
      <c r="H409" s="14" t="s">
        <v>1878</v>
      </c>
      <c r="I409" s="15">
        <v>44734</v>
      </c>
      <c r="J409" t="s">
        <v>2719</v>
      </c>
      <c r="K409" t="s">
        <v>51</v>
      </c>
      <c r="L409" t="s">
        <v>52</v>
      </c>
      <c r="M409" t="s">
        <v>53</v>
      </c>
      <c r="N409" t="s">
        <v>175</v>
      </c>
      <c r="O409" t="s">
        <v>2936</v>
      </c>
      <c r="P409" t="s">
        <v>56</v>
      </c>
      <c r="Q409" s="21" t="s">
        <v>2937</v>
      </c>
      <c r="R409" s="21"/>
      <c r="S409" t="s">
        <v>2949</v>
      </c>
      <c r="T409" t="s">
        <v>2950</v>
      </c>
      <c r="W409" t="s">
        <v>2951</v>
      </c>
      <c r="X409" t="s">
        <v>1881</v>
      </c>
      <c r="Z409" s="15"/>
      <c r="AB409">
        <v>37.978319999999997</v>
      </c>
      <c r="AC409">
        <v>-92.768426000000005</v>
      </c>
      <c r="AD409" t="s">
        <v>2952</v>
      </c>
      <c r="AG409" t="s">
        <v>1715</v>
      </c>
      <c r="AH409" t="s">
        <v>63</v>
      </c>
      <c r="AI409" t="s">
        <v>2953</v>
      </c>
      <c r="AJ409">
        <v>193915</v>
      </c>
      <c r="AL409" t="s">
        <v>2954</v>
      </c>
      <c r="AM409" t="s">
        <v>2955</v>
      </c>
      <c r="AN409" t="s">
        <v>2956</v>
      </c>
      <c r="AO409" t="s">
        <v>68</v>
      </c>
      <c r="AQ409" t="s">
        <v>2957</v>
      </c>
      <c r="AR409" t="s">
        <v>2958</v>
      </c>
      <c r="AS409" t="s">
        <v>2959</v>
      </c>
      <c r="AV409" s="14" t="s">
        <v>72</v>
      </c>
      <c r="AW409" s="14" t="s">
        <v>73</v>
      </c>
      <c r="AX409" s="14" t="s">
        <v>1723</v>
      </c>
    </row>
    <row r="410" spans="1:50" ht="15" customHeight="1" x14ac:dyDescent="0.4">
      <c r="A410" s="12">
        <v>3586</v>
      </c>
      <c r="B410" s="21" t="s">
        <v>2960</v>
      </c>
      <c r="C410" s="13" t="s">
        <v>2961</v>
      </c>
      <c r="D410" s="25" t="s">
        <v>2961</v>
      </c>
      <c r="E410" s="13"/>
      <c r="F410" s="41"/>
      <c r="G410" s="65" t="s">
        <v>8185</v>
      </c>
      <c r="H410" s="14" t="s">
        <v>1752</v>
      </c>
      <c r="I410" s="15">
        <v>44734</v>
      </c>
      <c r="J410" t="s">
        <v>2719</v>
      </c>
      <c r="K410" t="s">
        <v>51</v>
      </c>
      <c r="L410" t="s">
        <v>52</v>
      </c>
      <c r="M410" t="s">
        <v>53</v>
      </c>
      <c r="N410" t="s">
        <v>175</v>
      </c>
      <c r="O410" t="s">
        <v>2936</v>
      </c>
      <c r="P410" t="s">
        <v>56</v>
      </c>
      <c r="Q410" s="21" t="s">
        <v>2937</v>
      </c>
      <c r="R410" s="21"/>
      <c r="S410" t="s">
        <v>2949</v>
      </c>
      <c r="T410" t="s">
        <v>2962</v>
      </c>
      <c r="W410" t="s">
        <v>2440</v>
      </c>
      <c r="X410" t="s">
        <v>1759</v>
      </c>
      <c r="Z410" s="15"/>
      <c r="AB410">
        <v>37.978319999999997</v>
      </c>
      <c r="AC410">
        <v>-92.768446999999995</v>
      </c>
      <c r="AD410" t="s">
        <v>2963</v>
      </c>
      <c r="AG410" t="s">
        <v>1715</v>
      </c>
      <c r="AH410" t="s">
        <v>63</v>
      </c>
      <c r="AI410" t="s">
        <v>2964</v>
      </c>
      <c r="AJ410">
        <v>193516</v>
      </c>
      <c r="AL410" t="s">
        <v>2965</v>
      </c>
      <c r="AM410" t="s">
        <v>2966</v>
      </c>
      <c r="AN410" t="s">
        <v>2967</v>
      </c>
      <c r="AO410" t="s">
        <v>68</v>
      </c>
      <c r="AQ410" t="s">
        <v>2968</v>
      </c>
      <c r="AR410" t="s">
        <v>2969</v>
      </c>
      <c r="AS410" t="s">
        <v>2970</v>
      </c>
      <c r="AV410" s="14" t="s">
        <v>72</v>
      </c>
      <c r="AW410" s="14" t="s">
        <v>73</v>
      </c>
      <c r="AX410" s="14" t="s">
        <v>1768</v>
      </c>
    </row>
    <row r="411" spans="1:50" ht="15" customHeight="1" x14ac:dyDescent="0.4">
      <c r="A411" s="12">
        <v>3587</v>
      </c>
      <c r="B411" s="21" t="s">
        <v>2971</v>
      </c>
      <c r="C411" s="13" t="s">
        <v>2972</v>
      </c>
      <c r="D411" s="25" t="s">
        <v>2972</v>
      </c>
      <c r="E411" s="13"/>
      <c r="F411" s="41"/>
      <c r="G411" s="65" t="s">
        <v>8185</v>
      </c>
      <c r="H411" s="14" t="s">
        <v>1878</v>
      </c>
      <c r="I411" s="15">
        <v>44734</v>
      </c>
      <c r="J411" t="s">
        <v>2719</v>
      </c>
      <c r="K411" t="s">
        <v>51</v>
      </c>
      <c r="L411" t="s">
        <v>52</v>
      </c>
      <c r="M411" t="s">
        <v>53</v>
      </c>
      <c r="N411" t="s">
        <v>175</v>
      </c>
      <c r="O411" t="s">
        <v>2936</v>
      </c>
      <c r="P411" t="s">
        <v>56</v>
      </c>
      <c r="Q411" s="21" t="s">
        <v>2937</v>
      </c>
      <c r="R411" s="21"/>
      <c r="S411" t="s">
        <v>2973</v>
      </c>
      <c r="T411" t="s">
        <v>2974</v>
      </c>
      <c r="W411" t="s">
        <v>2951</v>
      </c>
      <c r="X411" t="s">
        <v>1881</v>
      </c>
      <c r="Z411" s="15"/>
      <c r="AB411">
        <v>37.980251000000003</v>
      </c>
      <c r="AC411">
        <v>-92.768297000000004</v>
      </c>
      <c r="AD411" t="s">
        <v>2975</v>
      </c>
      <c r="AG411" t="s">
        <v>1715</v>
      </c>
      <c r="AH411" t="s">
        <v>63</v>
      </c>
      <c r="AI411" t="s">
        <v>2976</v>
      </c>
      <c r="AJ411">
        <v>193916</v>
      </c>
      <c r="AL411" t="s">
        <v>2977</v>
      </c>
      <c r="AM411" t="s">
        <v>2978</v>
      </c>
      <c r="AN411" t="s">
        <v>2979</v>
      </c>
      <c r="AO411" t="s">
        <v>68</v>
      </c>
      <c r="AQ411" t="s">
        <v>2980</v>
      </c>
      <c r="AR411" t="s">
        <v>2981</v>
      </c>
      <c r="AS411" t="s">
        <v>2982</v>
      </c>
      <c r="AV411" s="14" t="s">
        <v>72</v>
      </c>
      <c r="AW411" s="14" t="s">
        <v>73</v>
      </c>
      <c r="AX411" s="14" t="s">
        <v>1723</v>
      </c>
    </row>
    <row r="412" spans="1:50" ht="15" customHeight="1" x14ac:dyDescent="0.4">
      <c r="A412" s="12">
        <v>3588</v>
      </c>
      <c r="B412" s="21" t="s">
        <v>2983</v>
      </c>
      <c r="C412" s="13" t="s">
        <v>2984</v>
      </c>
      <c r="D412" s="25" t="s">
        <v>2984</v>
      </c>
      <c r="E412" s="13"/>
      <c r="F412" s="41"/>
      <c r="G412" s="65" t="s">
        <v>8185</v>
      </c>
      <c r="H412" s="14" t="s">
        <v>1752</v>
      </c>
      <c r="I412" s="15">
        <v>44734</v>
      </c>
      <c r="J412" t="s">
        <v>2719</v>
      </c>
      <c r="K412" t="s">
        <v>51</v>
      </c>
      <c r="L412" t="s">
        <v>52</v>
      </c>
      <c r="M412" t="s">
        <v>53</v>
      </c>
      <c r="N412" t="s">
        <v>175</v>
      </c>
      <c r="O412" t="s">
        <v>2936</v>
      </c>
      <c r="P412" t="s">
        <v>56</v>
      </c>
      <c r="Q412" s="21" t="s">
        <v>2937</v>
      </c>
      <c r="R412" s="21"/>
      <c r="S412" t="s">
        <v>2973</v>
      </c>
      <c r="T412" t="s">
        <v>2985</v>
      </c>
      <c r="W412" t="s">
        <v>2440</v>
      </c>
      <c r="X412" t="s">
        <v>1759</v>
      </c>
      <c r="Z412" s="15"/>
      <c r="AB412">
        <v>37.980395999999999</v>
      </c>
      <c r="AC412">
        <v>-92.768258000000003</v>
      </c>
      <c r="AD412" t="s">
        <v>2975</v>
      </c>
      <c r="AG412" t="s">
        <v>1715</v>
      </c>
      <c r="AH412" t="s">
        <v>63</v>
      </c>
      <c r="AI412" t="s">
        <v>2986</v>
      </c>
      <c r="AJ412">
        <v>193517</v>
      </c>
      <c r="AL412" t="s">
        <v>2987</v>
      </c>
      <c r="AM412" t="s">
        <v>2988</v>
      </c>
      <c r="AN412" t="s">
        <v>2989</v>
      </c>
      <c r="AO412" t="s">
        <v>68</v>
      </c>
      <c r="AQ412" t="s">
        <v>2990</v>
      </c>
      <c r="AR412" t="s">
        <v>2991</v>
      </c>
      <c r="AS412" t="s">
        <v>2992</v>
      </c>
      <c r="AV412" s="14" t="s">
        <v>72</v>
      </c>
      <c r="AW412" s="14" t="s">
        <v>73</v>
      </c>
      <c r="AX412" s="14" t="s">
        <v>1768</v>
      </c>
    </row>
    <row r="413" spans="1:50" ht="15" customHeight="1" x14ac:dyDescent="0.4">
      <c r="A413" s="12">
        <v>3589</v>
      </c>
      <c r="B413" s="21" t="s">
        <v>2993</v>
      </c>
      <c r="C413" s="13" t="s">
        <v>2994</v>
      </c>
      <c r="D413" s="25" t="s">
        <v>2994</v>
      </c>
      <c r="E413" s="13"/>
      <c r="F413" s="41"/>
      <c r="G413" s="65" t="s">
        <v>8185</v>
      </c>
      <c r="H413" s="14" t="s">
        <v>1752</v>
      </c>
      <c r="I413" s="15">
        <v>44734</v>
      </c>
      <c r="J413" t="s">
        <v>2719</v>
      </c>
      <c r="K413" t="s">
        <v>51</v>
      </c>
      <c r="L413" t="s">
        <v>52</v>
      </c>
      <c r="M413" t="s">
        <v>53</v>
      </c>
      <c r="N413" t="s">
        <v>175</v>
      </c>
      <c r="O413" t="s">
        <v>2936</v>
      </c>
      <c r="P413" t="s">
        <v>56</v>
      </c>
      <c r="Q413" s="21" t="s">
        <v>2937</v>
      </c>
      <c r="R413" s="21"/>
      <c r="S413" t="s">
        <v>2973</v>
      </c>
      <c r="T413" t="s">
        <v>2995</v>
      </c>
      <c r="W413" t="s">
        <v>2452</v>
      </c>
      <c r="X413" t="s">
        <v>1759</v>
      </c>
      <c r="Z413" s="15"/>
      <c r="AB413">
        <v>37.980251000000003</v>
      </c>
      <c r="AC413">
        <v>-92.769240999999994</v>
      </c>
      <c r="AD413" t="s">
        <v>2996</v>
      </c>
      <c r="AG413" t="s">
        <v>1715</v>
      </c>
      <c r="AH413" t="s">
        <v>63</v>
      </c>
      <c r="AI413" t="s">
        <v>2997</v>
      </c>
      <c r="AJ413">
        <v>193518</v>
      </c>
      <c r="AL413" t="s">
        <v>2998</v>
      </c>
      <c r="AM413" t="s">
        <v>2999</v>
      </c>
      <c r="AN413" t="s">
        <v>3000</v>
      </c>
      <c r="AO413" t="s">
        <v>68</v>
      </c>
      <c r="AQ413" t="s">
        <v>3001</v>
      </c>
      <c r="AR413" t="s">
        <v>3002</v>
      </c>
      <c r="AS413" t="s">
        <v>3003</v>
      </c>
      <c r="AV413" s="14" t="s">
        <v>72</v>
      </c>
      <c r="AW413" s="14" t="s">
        <v>73</v>
      </c>
      <c r="AX413" s="14" t="s">
        <v>1768</v>
      </c>
    </row>
    <row r="414" spans="1:50" ht="15" customHeight="1" x14ac:dyDescent="0.4">
      <c r="A414" s="12">
        <v>3590</v>
      </c>
      <c r="B414" s="21" t="s">
        <v>3004</v>
      </c>
      <c r="C414" s="13" t="s">
        <v>3005</v>
      </c>
      <c r="D414" s="25" t="s">
        <v>3005</v>
      </c>
      <c r="E414" s="13"/>
      <c r="F414" s="41"/>
      <c r="G414" s="65" t="s">
        <v>8185</v>
      </c>
      <c r="H414" s="14" t="s">
        <v>1829</v>
      </c>
      <c r="I414" s="15">
        <v>44734</v>
      </c>
      <c r="J414" t="s">
        <v>2719</v>
      </c>
      <c r="K414" t="s">
        <v>51</v>
      </c>
      <c r="L414" t="s">
        <v>52</v>
      </c>
      <c r="M414" t="s">
        <v>53</v>
      </c>
      <c r="N414" t="s">
        <v>175</v>
      </c>
      <c r="O414" t="s">
        <v>2936</v>
      </c>
      <c r="P414" t="s">
        <v>56</v>
      </c>
      <c r="Q414" s="21" t="s">
        <v>2937</v>
      </c>
      <c r="R414" s="21"/>
      <c r="S414" t="s">
        <v>3006</v>
      </c>
      <c r="T414" t="s">
        <v>3007</v>
      </c>
      <c r="W414" t="s">
        <v>2452</v>
      </c>
      <c r="X414" t="s">
        <v>1832</v>
      </c>
      <c r="Z414" s="15"/>
      <c r="AB414">
        <v>37.980144000000003</v>
      </c>
      <c r="AC414">
        <v>-92.770184999999998</v>
      </c>
      <c r="AD414" t="s">
        <v>3008</v>
      </c>
      <c r="AG414" t="s">
        <v>1715</v>
      </c>
      <c r="AH414" t="s">
        <v>63</v>
      </c>
      <c r="AI414" t="s">
        <v>3009</v>
      </c>
      <c r="AJ414">
        <v>194425</v>
      </c>
      <c r="AL414" t="s">
        <v>3010</v>
      </c>
      <c r="AM414" t="s">
        <v>3011</v>
      </c>
      <c r="AN414" t="s">
        <v>3012</v>
      </c>
      <c r="AO414" t="s">
        <v>68</v>
      </c>
      <c r="AQ414" t="s">
        <v>3013</v>
      </c>
      <c r="AR414" t="s">
        <v>3014</v>
      </c>
      <c r="AS414" t="s">
        <v>3015</v>
      </c>
      <c r="AV414" s="14" t="s">
        <v>72</v>
      </c>
      <c r="AW414" s="14" t="s">
        <v>73</v>
      </c>
      <c r="AX414" s="14" t="s">
        <v>74</v>
      </c>
    </row>
    <row r="415" spans="1:50" ht="15" customHeight="1" x14ac:dyDescent="0.4">
      <c r="A415" s="12">
        <v>3591</v>
      </c>
      <c r="B415" s="21" t="s">
        <v>3016</v>
      </c>
      <c r="C415" s="13" t="s">
        <v>3017</v>
      </c>
      <c r="D415" s="25" t="s">
        <v>3017</v>
      </c>
      <c r="E415" s="13"/>
      <c r="F415" s="41"/>
      <c r="G415" s="65" t="s">
        <v>8185</v>
      </c>
      <c r="H415" s="14" t="s">
        <v>1829</v>
      </c>
      <c r="I415" s="15">
        <v>44734</v>
      </c>
      <c r="J415" t="s">
        <v>2719</v>
      </c>
      <c r="K415" t="s">
        <v>51</v>
      </c>
      <c r="L415" t="s">
        <v>52</v>
      </c>
      <c r="M415" t="s">
        <v>53</v>
      </c>
      <c r="N415" t="s">
        <v>175</v>
      </c>
      <c r="O415" t="s">
        <v>2936</v>
      </c>
      <c r="P415" t="s">
        <v>56</v>
      </c>
      <c r="Q415" s="21" t="s">
        <v>2937</v>
      </c>
      <c r="R415" s="21"/>
      <c r="S415" t="s">
        <v>3018</v>
      </c>
      <c r="T415" t="s">
        <v>3019</v>
      </c>
      <c r="X415" t="s">
        <v>1832</v>
      </c>
      <c r="Z415" s="15"/>
      <c r="AB415">
        <v>37.979585999999998</v>
      </c>
      <c r="AC415">
        <v>-92.770871999999997</v>
      </c>
      <c r="AD415" t="s">
        <v>3020</v>
      </c>
      <c r="AG415" t="s">
        <v>1715</v>
      </c>
      <c r="AH415" t="s">
        <v>63</v>
      </c>
      <c r="AI415" t="s">
        <v>3021</v>
      </c>
      <c r="AJ415">
        <v>194426</v>
      </c>
      <c r="AL415" t="s">
        <v>3022</v>
      </c>
      <c r="AM415" t="s">
        <v>3023</v>
      </c>
      <c r="AN415" t="s">
        <v>3024</v>
      </c>
      <c r="AO415" t="s">
        <v>68</v>
      </c>
      <c r="AQ415" t="s">
        <v>3025</v>
      </c>
      <c r="AR415" t="s">
        <v>3026</v>
      </c>
      <c r="AS415" t="s">
        <v>3027</v>
      </c>
      <c r="AV415" s="14" t="s">
        <v>72</v>
      </c>
      <c r="AW415" s="14" t="s">
        <v>73</v>
      </c>
      <c r="AX415" s="14" t="s">
        <v>74</v>
      </c>
    </row>
    <row r="416" spans="1:50" ht="15" customHeight="1" x14ac:dyDescent="0.4">
      <c r="A416" s="12">
        <v>3592</v>
      </c>
      <c r="B416" s="21" t="s">
        <v>3028</v>
      </c>
      <c r="C416" s="13" t="s">
        <v>3029</v>
      </c>
      <c r="D416" s="25" t="s">
        <v>3029</v>
      </c>
      <c r="E416" s="13"/>
      <c r="F416" s="41"/>
      <c r="G416" s="65" t="s">
        <v>8185</v>
      </c>
      <c r="H416" s="14" t="s">
        <v>1829</v>
      </c>
      <c r="I416" s="15">
        <v>44734</v>
      </c>
      <c r="J416" t="s">
        <v>2719</v>
      </c>
      <c r="K416" t="s">
        <v>51</v>
      </c>
      <c r="L416" t="s">
        <v>52</v>
      </c>
      <c r="M416" t="s">
        <v>53</v>
      </c>
      <c r="N416" t="s">
        <v>175</v>
      </c>
      <c r="O416" t="s">
        <v>2936</v>
      </c>
      <c r="P416" t="s">
        <v>56</v>
      </c>
      <c r="Q416" s="21" t="s">
        <v>2937</v>
      </c>
      <c r="R416" s="21"/>
      <c r="S416" t="s">
        <v>2973</v>
      </c>
      <c r="T416" t="s">
        <v>3030</v>
      </c>
      <c r="X416" t="s">
        <v>1832</v>
      </c>
      <c r="Z416" s="15"/>
      <c r="AB416">
        <v>37.980251000000003</v>
      </c>
      <c r="AC416">
        <v>-92.771752000000006</v>
      </c>
      <c r="AD416" t="s">
        <v>3031</v>
      </c>
      <c r="AG416" t="s">
        <v>1715</v>
      </c>
      <c r="AH416" t="s">
        <v>63</v>
      </c>
      <c r="AI416" t="s">
        <v>3032</v>
      </c>
      <c r="AJ416">
        <v>194427</v>
      </c>
      <c r="AL416" t="s">
        <v>3033</v>
      </c>
      <c r="AM416" t="s">
        <v>3034</v>
      </c>
      <c r="AN416" t="s">
        <v>3035</v>
      </c>
      <c r="AO416" t="s">
        <v>68</v>
      </c>
      <c r="AQ416" t="s">
        <v>3036</v>
      </c>
      <c r="AR416" t="s">
        <v>3037</v>
      </c>
      <c r="AS416" t="s">
        <v>3038</v>
      </c>
      <c r="AV416" s="14" t="s">
        <v>72</v>
      </c>
      <c r="AW416" s="14" t="s">
        <v>73</v>
      </c>
      <c r="AX416" s="14" t="s">
        <v>74</v>
      </c>
    </row>
    <row r="417" spans="1:50" ht="15" customHeight="1" x14ac:dyDescent="0.4">
      <c r="A417" s="12">
        <v>3593</v>
      </c>
      <c r="B417" s="21" t="s">
        <v>3039</v>
      </c>
      <c r="C417" s="13" t="s">
        <v>3040</v>
      </c>
      <c r="D417" s="25" t="s">
        <v>3040</v>
      </c>
      <c r="E417" s="13"/>
      <c r="F417" s="41"/>
      <c r="G417" s="65" t="s">
        <v>8185</v>
      </c>
      <c r="H417" s="14" t="s">
        <v>1829</v>
      </c>
      <c r="I417" s="15">
        <v>44734</v>
      </c>
      <c r="J417" t="s">
        <v>2719</v>
      </c>
      <c r="K417" t="s">
        <v>51</v>
      </c>
      <c r="L417" t="s">
        <v>52</v>
      </c>
      <c r="M417" t="s">
        <v>53</v>
      </c>
      <c r="N417" t="s">
        <v>175</v>
      </c>
      <c r="O417" t="s">
        <v>2936</v>
      </c>
      <c r="P417" t="s">
        <v>56</v>
      </c>
      <c r="Q417" s="21" t="s">
        <v>2937</v>
      </c>
      <c r="R417" s="21"/>
      <c r="S417" t="s">
        <v>3041</v>
      </c>
      <c r="T417" t="s">
        <v>3042</v>
      </c>
      <c r="W417" t="s">
        <v>1758</v>
      </c>
      <c r="X417" t="s">
        <v>1832</v>
      </c>
      <c r="Z417" s="15"/>
      <c r="AB417">
        <v>37.980058</v>
      </c>
      <c r="AC417">
        <v>-92.772782000000007</v>
      </c>
      <c r="AD417" t="s">
        <v>3043</v>
      </c>
      <c r="AG417" t="s">
        <v>1715</v>
      </c>
      <c r="AH417" t="s">
        <v>63</v>
      </c>
      <c r="AI417" t="s">
        <v>3044</v>
      </c>
      <c r="AJ417">
        <v>194428</v>
      </c>
      <c r="AL417" t="s">
        <v>3045</v>
      </c>
      <c r="AM417" t="s">
        <v>3046</v>
      </c>
      <c r="AN417" t="s">
        <v>3047</v>
      </c>
      <c r="AO417" t="s">
        <v>68</v>
      </c>
      <c r="AQ417" t="s">
        <v>3048</v>
      </c>
      <c r="AR417" t="s">
        <v>3049</v>
      </c>
      <c r="AS417" t="s">
        <v>3050</v>
      </c>
      <c r="AV417" s="14" t="s">
        <v>72</v>
      </c>
      <c r="AW417" s="14" t="s">
        <v>73</v>
      </c>
      <c r="AX417" s="14" t="s">
        <v>74</v>
      </c>
    </row>
    <row r="418" spans="1:50" ht="15" customHeight="1" x14ac:dyDescent="0.4">
      <c r="A418" s="12">
        <v>3594</v>
      </c>
      <c r="B418" s="21" t="s">
        <v>3051</v>
      </c>
      <c r="C418" s="13" t="s">
        <v>3052</v>
      </c>
      <c r="D418" s="25" t="s">
        <v>3052</v>
      </c>
      <c r="E418" s="13"/>
      <c r="F418" s="41"/>
      <c r="G418" s="65" t="s">
        <v>8185</v>
      </c>
      <c r="H418" s="14" t="s">
        <v>1878</v>
      </c>
      <c r="I418" s="15">
        <v>44734</v>
      </c>
      <c r="J418" t="s">
        <v>2719</v>
      </c>
      <c r="K418" t="s">
        <v>51</v>
      </c>
      <c r="L418" t="s">
        <v>52</v>
      </c>
      <c r="M418" t="s">
        <v>53</v>
      </c>
      <c r="N418" t="s">
        <v>175</v>
      </c>
      <c r="O418" t="s">
        <v>2936</v>
      </c>
      <c r="P418" t="s">
        <v>56</v>
      </c>
      <c r="Q418" s="21" t="s">
        <v>2937</v>
      </c>
      <c r="R418" s="21"/>
      <c r="S418" t="s">
        <v>3053</v>
      </c>
      <c r="T418" t="s">
        <v>3054</v>
      </c>
      <c r="X418" t="s">
        <v>1881</v>
      </c>
      <c r="Z418" s="15"/>
      <c r="AB418">
        <v>37.977505000000001</v>
      </c>
      <c r="AC418">
        <v>-92.773662000000002</v>
      </c>
      <c r="AD418" t="s">
        <v>3055</v>
      </c>
      <c r="AG418" t="s">
        <v>1715</v>
      </c>
      <c r="AH418" t="s">
        <v>63</v>
      </c>
      <c r="AI418" t="s">
        <v>3056</v>
      </c>
      <c r="AJ418">
        <v>193917</v>
      </c>
      <c r="AL418" t="s">
        <v>3057</v>
      </c>
      <c r="AM418" t="s">
        <v>3058</v>
      </c>
      <c r="AN418" t="s">
        <v>3059</v>
      </c>
      <c r="AO418" t="s">
        <v>68</v>
      </c>
      <c r="AQ418" t="s">
        <v>3060</v>
      </c>
      <c r="AR418" t="s">
        <v>3061</v>
      </c>
      <c r="AS418" t="s">
        <v>3062</v>
      </c>
      <c r="AV418" s="14" t="s">
        <v>72</v>
      </c>
      <c r="AW418" s="14" t="s">
        <v>73</v>
      </c>
      <c r="AX418" s="14" t="s">
        <v>1723</v>
      </c>
    </row>
    <row r="419" spans="1:50" ht="15" customHeight="1" x14ac:dyDescent="0.4">
      <c r="A419" s="12">
        <v>3595</v>
      </c>
      <c r="B419" s="21" t="s">
        <v>3063</v>
      </c>
      <c r="C419" s="13" t="s">
        <v>3064</v>
      </c>
      <c r="D419" s="25" t="s">
        <v>3064</v>
      </c>
      <c r="E419" s="13"/>
      <c r="F419" s="41" t="s">
        <v>1878</v>
      </c>
      <c r="G419" s="65" t="s">
        <v>8185</v>
      </c>
      <c r="H419" s="14" t="s">
        <v>1752</v>
      </c>
      <c r="I419" s="15">
        <v>44734</v>
      </c>
      <c r="J419" t="s">
        <v>2719</v>
      </c>
      <c r="K419" t="s">
        <v>51</v>
      </c>
      <c r="L419" t="s">
        <v>52</v>
      </c>
      <c r="M419" t="s">
        <v>53</v>
      </c>
      <c r="N419" t="s">
        <v>175</v>
      </c>
      <c r="O419" t="s">
        <v>2936</v>
      </c>
      <c r="P419" t="s">
        <v>56</v>
      </c>
      <c r="Q419" s="21" t="s">
        <v>2937</v>
      </c>
      <c r="R419" s="21"/>
      <c r="S419" t="s">
        <v>3065</v>
      </c>
      <c r="T419" t="s">
        <v>3066</v>
      </c>
      <c r="X419" t="s">
        <v>1759</v>
      </c>
      <c r="Z419" s="15"/>
      <c r="AB419">
        <v>37.977032999999999</v>
      </c>
      <c r="AC419">
        <v>-92.768855000000002</v>
      </c>
      <c r="AD419" t="s">
        <v>3067</v>
      </c>
      <c r="AG419" t="s">
        <v>1715</v>
      </c>
      <c r="AH419" t="s">
        <v>63</v>
      </c>
      <c r="AI419" t="s">
        <v>3068</v>
      </c>
      <c r="AJ419">
        <v>192673</v>
      </c>
      <c r="AL419" t="s">
        <v>3069</v>
      </c>
      <c r="AM419" t="s">
        <v>3070</v>
      </c>
      <c r="AN419" t="s">
        <v>3071</v>
      </c>
      <c r="AO419" t="s">
        <v>68</v>
      </c>
      <c r="AQ419" t="s">
        <v>3072</v>
      </c>
      <c r="AR419" t="s">
        <v>3073</v>
      </c>
      <c r="AS419" t="s">
        <v>3074</v>
      </c>
      <c r="AV419" s="14" t="s">
        <v>72</v>
      </c>
      <c r="AW419" s="14" t="s">
        <v>73</v>
      </c>
      <c r="AX419" s="14" t="s">
        <v>1768</v>
      </c>
    </row>
    <row r="420" spans="1:50" ht="15" customHeight="1" x14ac:dyDescent="0.4">
      <c r="A420" s="12">
        <v>3596</v>
      </c>
      <c r="B420" s="21" t="s">
        <v>3075</v>
      </c>
      <c r="C420" s="13" t="s">
        <v>3076</v>
      </c>
      <c r="D420" s="25" t="s">
        <v>3076</v>
      </c>
      <c r="E420" s="13"/>
      <c r="F420" s="41"/>
      <c r="G420" s="65" t="s">
        <v>8185</v>
      </c>
      <c r="H420" s="14" t="s">
        <v>1752</v>
      </c>
      <c r="I420" s="15">
        <v>44734</v>
      </c>
      <c r="J420" t="s">
        <v>2719</v>
      </c>
      <c r="K420" t="s">
        <v>51</v>
      </c>
      <c r="L420" t="s">
        <v>52</v>
      </c>
      <c r="M420" t="s">
        <v>53</v>
      </c>
      <c r="N420" t="s">
        <v>175</v>
      </c>
      <c r="O420" t="s">
        <v>2936</v>
      </c>
      <c r="P420" t="s">
        <v>56</v>
      </c>
      <c r="Q420" s="21" t="s">
        <v>2937</v>
      </c>
      <c r="R420" s="21"/>
      <c r="S420" t="s">
        <v>3077</v>
      </c>
      <c r="T420" t="s">
        <v>3078</v>
      </c>
      <c r="W420" t="s">
        <v>2336</v>
      </c>
      <c r="X420" t="s">
        <v>1759</v>
      </c>
      <c r="Z420" s="15"/>
      <c r="AB420">
        <v>37.977054000000003</v>
      </c>
      <c r="AC420">
        <v>-92.768555000000006</v>
      </c>
      <c r="AD420" t="s">
        <v>3079</v>
      </c>
      <c r="AG420" t="s">
        <v>1715</v>
      </c>
      <c r="AH420" t="s">
        <v>63</v>
      </c>
      <c r="AI420" t="s">
        <v>3080</v>
      </c>
      <c r="AJ420">
        <v>193519</v>
      </c>
      <c r="AL420" t="s">
        <v>3081</v>
      </c>
      <c r="AM420" t="s">
        <v>3082</v>
      </c>
      <c r="AN420" t="s">
        <v>3083</v>
      </c>
      <c r="AO420" t="s">
        <v>68</v>
      </c>
      <c r="AQ420" t="s">
        <v>3084</v>
      </c>
      <c r="AR420" t="s">
        <v>3085</v>
      </c>
      <c r="AS420" t="s">
        <v>3086</v>
      </c>
      <c r="AV420" s="14" t="s">
        <v>72</v>
      </c>
      <c r="AW420" s="14" t="s">
        <v>73</v>
      </c>
      <c r="AX420" s="14" t="s">
        <v>1768</v>
      </c>
    </row>
    <row r="421" spans="1:50" ht="15" customHeight="1" x14ac:dyDescent="0.4">
      <c r="A421" s="12">
        <v>3597</v>
      </c>
      <c r="B421" s="21" t="s">
        <v>3087</v>
      </c>
      <c r="C421" s="13" t="s">
        <v>3088</v>
      </c>
      <c r="D421" s="25" t="s">
        <v>3088</v>
      </c>
      <c r="E421" s="13" t="s">
        <v>3089</v>
      </c>
      <c r="F421" s="41"/>
      <c r="G421" s="65" t="s">
        <v>8180</v>
      </c>
      <c r="H421" s="14" t="s">
        <v>3090</v>
      </c>
      <c r="I421" s="15">
        <v>44735</v>
      </c>
      <c r="J421" t="s">
        <v>3091</v>
      </c>
      <c r="K421" t="s">
        <v>51</v>
      </c>
      <c r="L421" t="s">
        <v>52</v>
      </c>
      <c r="M421" t="s">
        <v>53</v>
      </c>
      <c r="N421" t="s">
        <v>175</v>
      </c>
      <c r="O421" t="s">
        <v>3092</v>
      </c>
      <c r="P421" t="s">
        <v>56</v>
      </c>
      <c r="Q421" s="21" t="s">
        <v>3093</v>
      </c>
      <c r="R421" s="21"/>
      <c r="S421" t="s">
        <v>3094</v>
      </c>
      <c r="T421" t="s">
        <v>3095</v>
      </c>
      <c r="X421" t="s">
        <v>3096</v>
      </c>
      <c r="Z421" s="15"/>
      <c r="AB421">
        <v>37.531755590000003</v>
      </c>
      <c r="AC421">
        <v>-94.574784399999999</v>
      </c>
      <c r="AG421" t="s">
        <v>1715</v>
      </c>
      <c r="AH421" t="s">
        <v>63</v>
      </c>
      <c r="AI421" t="s">
        <v>3097</v>
      </c>
      <c r="AJ421">
        <v>194565</v>
      </c>
      <c r="AL421" t="s">
        <v>3098</v>
      </c>
      <c r="AM421" t="s">
        <v>3099</v>
      </c>
      <c r="AN421" t="s">
        <v>3100</v>
      </c>
      <c r="AO421" t="s">
        <v>68</v>
      </c>
      <c r="AQ421" t="s">
        <v>3101</v>
      </c>
      <c r="AR421" t="s">
        <v>3102</v>
      </c>
      <c r="AS421" t="s">
        <v>3103</v>
      </c>
      <c r="AV421" s="14" t="s">
        <v>72</v>
      </c>
      <c r="AW421" s="14" t="s">
        <v>73</v>
      </c>
      <c r="AX421" s="14" t="s">
        <v>74</v>
      </c>
    </row>
    <row r="422" spans="1:50" ht="15" customHeight="1" x14ac:dyDescent="0.4">
      <c r="A422" s="12">
        <v>3598</v>
      </c>
      <c r="B422" s="21" t="s">
        <v>3104</v>
      </c>
      <c r="C422" s="13" t="s">
        <v>3105</v>
      </c>
      <c r="D422" s="25" t="s">
        <v>3105</v>
      </c>
      <c r="E422" s="13" t="s">
        <v>3106</v>
      </c>
      <c r="F422" s="41"/>
      <c r="G422" s="65" t="s">
        <v>8180</v>
      </c>
      <c r="H422" s="14" t="s">
        <v>3090</v>
      </c>
      <c r="I422" s="15">
        <v>44735</v>
      </c>
      <c r="J422" t="s">
        <v>3091</v>
      </c>
      <c r="K422" t="s">
        <v>51</v>
      </c>
      <c r="L422" t="s">
        <v>52</v>
      </c>
      <c r="M422" t="s">
        <v>53</v>
      </c>
      <c r="N422" t="s">
        <v>175</v>
      </c>
      <c r="O422" t="s">
        <v>3092</v>
      </c>
      <c r="P422" t="s">
        <v>56</v>
      </c>
      <c r="Q422" s="21" t="s">
        <v>3093</v>
      </c>
      <c r="R422" s="21"/>
      <c r="S422" t="s">
        <v>3107</v>
      </c>
      <c r="T422" t="s">
        <v>3108</v>
      </c>
      <c r="W422" t="s">
        <v>1758</v>
      </c>
      <c r="X422" t="s">
        <v>3096</v>
      </c>
      <c r="Z422" s="15"/>
      <c r="AB422">
        <v>37.532182849999998</v>
      </c>
      <c r="AC422">
        <v>-94.575126560000001</v>
      </c>
      <c r="AG422" t="s">
        <v>1715</v>
      </c>
      <c r="AH422" t="s">
        <v>63</v>
      </c>
      <c r="AI422" t="s">
        <v>3109</v>
      </c>
      <c r="AJ422">
        <v>194562</v>
      </c>
      <c r="AL422" t="s">
        <v>3110</v>
      </c>
      <c r="AM422" t="s">
        <v>3111</v>
      </c>
      <c r="AN422" t="s">
        <v>3112</v>
      </c>
      <c r="AO422" t="s">
        <v>68</v>
      </c>
      <c r="AQ422" t="s">
        <v>3113</v>
      </c>
      <c r="AR422" t="s">
        <v>3114</v>
      </c>
      <c r="AS422" t="s">
        <v>3115</v>
      </c>
      <c r="AV422" s="14" t="s">
        <v>72</v>
      </c>
      <c r="AW422" s="14" t="s">
        <v>73</v>
      </c>
      <c r="AX422" s="14" t="s">
        <v>74</v>
      </c>
    </row>
    <row r="423" spans="1:50" ht="15" customHeight="1" x14ac:dyDescent="0.4">
      <c r="A423" s="12">
        <v>3599</v>
      </c>
      <c r="B423" s="21" t="s">
        <v>3116</v>
      </c>
      <c r="C423" s="13" t="s">
        <v>3117</v>
      </c>
      <c r="D423" s="25" t="s">
        <v>3117</v>
      </c>
      <c r="E423" s="13" t="s">
        <v>3118</v>
      </c>
      <c r="F423" s="41"/>
      <c r="G423" s="65" t="s">
        <v>8185</v>
      </c>
      <c r="H423" s="14" t="s">
        <v>1752</v>
      </c>
      <c r="I423" s="15">
        <v>44735</v>
      </c>
      <c r="J423" t="s">
        <v>3091</v>
      </c>
      <c r="K423" t="s">
        <v>51</v>
      </c>
      <c r="L423" t="s">
        <v>52</v>
      </c>
      <c r="M423" t="s">
        <v>53</v>
      </c>
      <c r="N423" t="s">
        <v>175</v>
      </c>
      <c r="O423" t="s">
        <v>3092</v>
      </c>
      <c r="P423" t="s">
        <v>56</v>
      </c>
      <c r="Q423" s="21" t="s">
        <v>3093</v>
      </c>
      <c r="R423" s="21"/>
      <c r="S423" t="s">
        <v>3107</v>
      </c>
      <c r="T423" t="s">
        <v>3119</v>
      </c>
      <c r="W423" t="s">
        <v>1758</v>
      </c>
      <c r="X423" t="s">
        <v>1759</v>
      </c>
      <c r="Z423" s="15"/>
      <c r="AB423">
        <v>37.532246839999999</v>
      </c>
      <c r="AC423">
        <v>-94.574924379999999</v>
      </c>
      <c r="AG423" t="s">
        <v>1715</v>
      </c>
      <c r="AH423" t="s">
        <v>63</v>
      </c>
      <c r="AI423" t="s">
        <v>3120</v>
      </c>
      <c r="AJ423">
        <v>192797</v>
      </c>
      <c r="AL423" t="s">
        <v>3121</v>
      </c>
      <c r="AM423" t="s">
        <v>3122</v>
      </c>
      <c r="AN423" s="23" t="s">
        <v>3123</v>
      </c>
      <c r="AO423" t="s">
        <v>68</v>
      </c>
      <c r="AP423" t="s">
        <v>3124</v>
      </c>
      <c r="AQ423" t="s">
        <v>3125</v>
      </c>
      <c r="AR423" t="s">
        <v>3126</v>
      </c>
      <c r="AS423" t="s">
        <v>3127</v>
      </c>
      <c r="AT423" s="31" t="s">
        <v>3128</v>
      </c>
      <c r="AV423" s="14" t="s">
        <v>72</v>
      </c>
      <c r="AW423" s="14" t="s">
        <v>73</v>
      </c>
      <c r="AX423" s="14" t="s">
        <v>1768</v>
      </c>
    </row>
    <row r="424" spans="1:50" ht="15" customHeight="1" x14ac:dyDescent="0.4">
      <c r="A424" s="12">
        <v>3600</v>
      </c>
      <c r="B424" s="21" t="s">
        <v>3129</v>
      </c>
      <c r="C424" s="13" t="s">
        <v>3130</v>
      </c>
      <c r="D424" s="25" t="s">
        <v>3130</v>
      </c>
      <c r="E424" s="13" t="s">
        <v>3131</v>
      </c>
      <c r="F424" s="41"/>
      <c r="G424" s="65" t="s">
        <v>8180</v>
      </c>
      <c r="H424" s="14" t="s">
        <v>3090</v>
      </c>
      <c r="I424" s="15">
        <v>44735</v>
      </c>
      <c r="J424" t="s">
        <v>3091</v>
      </c>
      <c r="K424" t="s">
        <v>51</v>
      </c>
      <c r="L424" t="s">
        <v>52</v>
      </c>
      <c r="M424" t="s">
        <v>53</v>
      </c>
      <c r="N424" t="s">
        <v>175</v>
      </c>
      <c r="O424" t="s">
        <v>3092</v>
      </c>
      <c r="P424" t="s">
        <v>56</v>
      </c>
      <c r="Q424" s="21" t="s">
        <v>3093</v>
      </c>
      <c r="R424" s="21"/>
      <c r="S424" t="s">
        <v>3132</v>
      </c>
      <c r="T424" t="s">
        <v>3133</v>
      </c>
      <c r="X424" t="s">
        <v>3096</v>
      </c>
      <c r="Z424" s="15"/>
      <c r="AB424">
        <v>37.532592510000001</v>
      </c>
      <c r="AC424">
        <v>-94.574694890000004</v>
      </c>
      <c r="AG424" t="s">
        <v>1715</v>
      </c>
      <c r="AH424" t="s">
        <v>63</v>
      </c>
      <c r="AI424" t="s">
        <v>3134</v>
      </c>
      <c r="AJ424">
        <v>194561</v>
      </c>
      <c r="AL424" t="s">
        <v>3135</v>
      </c>
      <c r="AM424" t="s">
        <v>3136</v>
      </c>
      <c r="AN424" t="s">
        <v>3137</v>
      </c>
      <c r="AO424" t="s">
        <v>68</v>
      </c>
      <c r="AQ424" t="s">
        <v>3138</v>
      </c>
      <c r="AR424" t="s">
        <v>3139</v>
      </c>
      <c r="AS424" t="s">
        <v>3140</v>
      </c>
      <c r="AV424" s="14" t="s">
        <v>72</v>
      </c>
      <c r="AW424" s="14" t="s">
        <v>73</v>
      </c>
      <c r="AX424" s="14" t="s">
        <v>74</v>
      </c>
    </row>
    <row r="425" spans="1:50" ht="15" customHeight="1" x14ac:dyDescent="0.4">
      <c r="A425" s="12">
        <v>3601</v>
      </c>
      <c r="B425" s="21" t="s">
        <v>3141</v>
      </c>
      <c r="C425" s="13" t="s">
        <v>3142</v>
      </c>
      <c r="D425" s="25" t="s">
        <v>3142</v>
      </c>
      <c r="E425" s="13" t="s">
        <v>3143</v>
      </c>
      <c r="F425" s="41"/>
      <c r="G425" s="65" t="s">
        <v>8185</v>
      </c>
      <c r="H425" s="14" t="s">
        <v>1752</v>
      </c>
      <c r="I425" s="15">
        <v>44735</v>
      </c>
      <c r="J425" t="s">
        <v>3091</v>
      </c>
      <c r="K425" t="s">
        <v>51</v>
      </c>
      <c r="L425" t="s">
        <v>52</v>
      </c>
      <c r="M425" t="s">
        <v>53</v>
      </c>
      <c r="N425" t="s">
        <v>175</v>
      </c>
      <c r="O425" t="s">
        <v>3092</v>
      </c>
      <c r="P425" t="s">
        <v>56</v>
      </c>
      <c r="Q425" s="21" t="s">
        <v>3093</v>
      </c>
      <c r="R425" s="21"/>
      <c r="S425" t="s">
        <v>3132</v>
      </c>
      <c r="T425" t="s">
        <v>3133</v>
      </c>
      <c r="X425" t="s">
        <v>1759</v>
      </c>
      <c r="Z425" s="15"/>
      <c r="AB425">
        <v>37.532756900000003</v>
      </c>
      <c r="AC425">
        <v>-94.574669240000006</v>
      </c>
      <c r="AG425" t="s">
        <v>1715</v>
      </c>
      <c r="AH425" t="s">
        <v>63</v>
      </c>
      <c r="AI425" t="s">
        <v>3144</v>
      </c>
      <c r="AJ425">
        <v>192798</v>
      </c>
      <c r="AL425" t="s">
        <v>3145</v>
      </c>
      <c r="AM425" t="s">
        <v>3146</v>
      </c>
      <c r="AN425" t="s">
        <v>3147</v>
      </c>
      <c r="AO425" t="s">
        <v>68</v>
      </c>
      <c r="AQ425" t="s">
        <v>3148</v>
      </c>
      <c r="AR425" t="s">
        <v>3149</v>
      </c>
      <c r="AS425" t="s">
        <v>3150</v>
      </c>
      <c r="AV425" s="14" t="s">
        <v>72</v>
      </c>
      <c r="AW425" s="14" t="s">
        <v>73</v>
      </c>
      <c r="AX425" s="14" t="s">
        <v>1768</v>
      </c>
    </row>
    <row r="426" spans="1:50" ht="15" customHeight="1" x14ac:dyDescent="0.4">
      <c r="A426" s="12">
        <v>3602</v>
      </c>
      <c r="B426" s="21" t="s">
        <v>3151</v>
      </c>
      <c r="C426" s="13" t="s">
        <v>3152</v>
      </c>
      <c r="D426" s="25" t="s">
        <v>3152</v>
      </c>
      <c r="E426" s="13" t="s">
        <v>3153</v>
      </c>
      <c r="F426" s="41"/>
      <c r="G426" s="65" t="s">
        <v>8185</v>
      </c>
      <c r="H426" s="14" t="s">
        <v>3090</v>
      </c>
      <c r="I426" s="15">
        <v>44735</v>
      </c>
      <c r="J426" t="s">
        <v>3091</v>
      </c>
      <c r="K426" t="s">
        <v>51</v>
      </c>
      <c r="L426" t="s">
        <v>52</v>
      </c>
      <c r="M426" t="s">
        <v>53</v>
      </c>
      <c r="N426" t="s">
        <v>175</v>
      </c>
      <c r="O426" t="s">
        <v>3092</v>
      </c>
      <c r="P426" t="s">
        <v>56</v>
      </c>
      <c r="Q426" s="21" t="s">
        <v>3093</v>
      </c>
      <c r="R426" s="21"/>
      <c r="S426" t="s">
        <v>3107</v>
      </c>
      <c r="T426" t="s">
        <v>3154</v>
      </c>
      <c r="W426" t="s">
        <v>1758</v>
      </c>
      <c r="X426" t="s">
        <v>3096</v>
      </c>
      <c r="Z426" s="15"/>
      <c r="AB426">
        <v>37.535027499999998</v>
      </c>
      <c r="AC426">
        <v>-94.579779189999996</v>
      </c>
      <c r="AG426" t="s">
        <v>1715</v>
      </c>
      <c r="AH426" t="s">
        <v>63</v>
      </c>
      <c r="AI426" t="s">
        <v>3155</v>
      </c>
      <c r="AJ426">
        <v>194560</v>
      </c>
      <c r="AL426" t="s">
        <v>3156</v>
      </c>
      <c r="AM426" t="s">
        <v>3157</v>
      </c>
      <c r="AN426" t="s">
        <v>3158</v>
      </c>
      <c r="AO426" t="s">
        <v>68</v>
      </c>
      <c r="AQ426" t="s">
        <v>3159</v>
      </c>
      <c r="AR426" t="s">
        <v>3160</v>
      </c>
      <c r="AS426" t="s">
        <v>3161</v>
      </c>
      <c r="AV426" s="14" t="s">
        <v>72</v>
      </c>
      <c r="AW426" s="14" t="s">
        <v>73</v>
      </c>
      <c r="AX426" s="14" t="s">
        <v>74</v>
      </c>
    </row>
    <row r="427" spans="1:50" ht="15" customHeight="1" x14ac:dyDescent="0.4">
      <c r="A427" s="12">
        <v>3290</v>
      </c>
      <c r="B427" s="21" t="s">
        <v>1750</v>
      </c>
      <c r="C427" s="13" t="s">
        <v>1751</v>
      </c>
      <c r="D427" s="25" t="s">
        <v>1751</v>
      </c>
      <c r="E427" s="13"/>
      <c r="F427" s="41"/>
      <c r="G427" s="65" t="s">
        <v>8185</v>
      </c>
      <c r="H427" s="14" t="s">
        <v>1752</v>
      </c>
      <c r="I427" s="15">
        <v>44713</v>
      </c>
      <c r="J427" s="15" t="s">
        <v>1753</v>
      </c>
      <c r="K427" t="s">
        <v>1705</v>
      </c>
      <c r="L427" t="s">
        <v>1706</v>
      </c>
      <c r="M427" t="s">
        <v>53</v>
      </c>
      <c r="N427" t="s">
        <v>175</v>
      </c>
      <c r="O427" t="s">
        <v>1754</v>
      </c>
      <c r="P427" s="21" t="s">
        <v>56</v>
      </c>
      <c r="Q427" t="s">
        <v>1755</v>
      </c>
      <c r="R427" s="21"/>
      <c r="S427" t="s">
        <v>1756</v>
      </c>
      <c r="T427" t="s">
        <v>1757</v>
      </c>
      <c r="W427" t="s">
        <v>1758</v>
      </c>
      <c r="X427" t="s">
        <v>1759</v>
      </c>
      <c r="Z427" s="15"/>
      <c r="AB427">
        <v>38.467143</v>
      </c>
      <c r="AC427">
        <v>-90.820221000000004</v>
      </c>
      <c r="AD427" t="s">
        <v>1760</v>
      </c>
      <c r="AG427" t="s">
        <v>1715</v>
      </c>
      <c r="AH427" t="s">
        <v>63</v>
      </c>
      <c r="AI427" t="s">
        <v>1761</v>
      </c>
      <c r="AJ427">
        <v>192567</v>
      </c>
      <c r="AL427" t="s">
        <v>1762</v>
      </c>
      <c r="AM427" t="s">
        <v>1763</v>
      </c>
      <c r="AN427" t="s">
        <v>1764</v>
      </c>
      <c r="AO427" t="s">
        <v>68</v>
      </c>
      <c r="AQ427" t="s">
        <v>1765</v>
      </c>
      <c r="AR427" t="s">
        <v>1766</v>
      </c>
      <c r="AS427" t="s">
        <v>1767</v>
      </c>
      <c r="AV427" s="14" t="s">
        <v>72</v>
      </c>
      <c r="AW427" s="14" t="s">
        <v>73</v>
      </c>
      <c r="AX427" s="14" t="s">
        <v>1768</v>
      </c>
    </row>
    <row r="428" spans="1:50" ht="15" customHeight="1" x14ac:dyDescent="0.4">
      <c r="A428" s="12">
        <v>3291</v>
      </c>
      <c r="B428" s="21" t="s">
        <v>1769</v>
      </c>
      <c r="C428" s="13" t="s">
        <v>1770</v>
      </c>
      <c r="D428" s="25" t="s">
        <v>1770</v>
      </c>
      <c r="E428" s="13"/>
      <c r="F428" s="41"/>
      <c r="G428" s="65" t="s">
        <v>8185</v>
      </c>
      <c r="H428" s="14" t="s">
        <v>49</v>
      </c>
      <c r="I428" s="15">
        <v>44713</v>
      </c>
      <c r="J428" s="15" t="s">
        <v>1753</v>
      </c>
      <c r="K428" t="s">
        <v>1705</v>
      </c>
      <c r="L428" t="s">
        <v>1706</v>
      </c>
      <c r="M428" t="s">
        <v>53</v>
      </c>
      <c r="N428" t="s">
        <v>175</v>
      </c>
      <c r="O428" t="s">
        <v>1754</v>
      </c>
      <c r="P428" s="21" t="s">
        <v>56</v>
      </c>
      <c r="Q428" t="s">
        <v>1755</v>
      </c>
      <c r="R428" s="21"/>
      <c r="S428" t="s">
        <v>1771</v>
      </c>
      <c r="T428" t="s">
        <v>1772</v>
      </c>
      <c r="W428" t="s">
        <v>1758</v>
      </c>
      <c r="X428" t="s">
        <v>60</v>
      </c>
      <c r="Z428" s="15"/>
      <c r="AB428">
        <v>38.461995999999999</v>
      </c>
      <c r="AC428">
        <v>-90.814959000000002</v>
      </c>
      <c r="AD428" t="s">
        <v>1773</v>
      </c>
      <c r="AG428" t="s">
        <v>1715</v>
      </c>
      <c r="AH428" t="s">
        <v>63</v>
      </c>
      <c r="AI428" t="s">
        <v>1774</v>
      </c>
      <c r="AJ428">
        <v>192794</v>
      </c>
      <c r="AL428" t="s">
        <v>1775</v>
      </c>
      <c r="AM428" t="s">
        <v>1776</v>
      </c>
      <c r="AN428" t="s">
        <v>1777</v>
      </c>
      <c r="AO428" t="s">
        <v>68</v>
      </c>
      <c r="AQ428" t="s">
        <v>1778</v>
      </c>
      <c r="AR428" t="s">
        <v>1779</v>
      </c>
      <c r="AS428" t="s">
        <v>1780</v>
      </c>
      <c r="AV428" s="14" t="s">
        <v>72</v>
      </c>
      <c r="AW428" s="14" t="s">
        <v>73</v>
      </c>
      <c r="AX428" s="14" t="s">
        <v>74</v>
      </c>
    </row>
    <row r="429" spans="1:50" ht="15" customHeight="1" x14ac:dyDescent="0.4">
      <c r="A429" s="12">
        <v>3292</v>
      </c>
      <c r="B429" s="21" t="s">
        <v>1781</v>
      </c>
      <c r="C429" s="13" t="s">
        <v>1782</v>
      </c>
      <c r="D429" s="25" t="s">
        <v>1782</v>
      </c>
      <c r="E429" s="13"/>
      <c r="F429" s="41"/>
      <c r="G429" s="65" t="s">
        <v>8185</v>
      </c>
      <c r="H429" s="14" t="s">
        <v>49</v>
      </c>
      <c r="I429" s="15">
        <v>44713</v>
      </c>
      <c r="J429" s="15" t="s">
        <v>1753</v>
      </c>
      <c r="K429" t="s">
        <v>1705</v>
      </c>
      <c r="L429" t="s">
        <v>1706</v>
      </c>
      <c r="M429" t="s">
        <v>53</v>
      </c>
      <c r="N429" t="s">
        <v>175</v>
      </c>
      <c r="O429" t="s">
        <v>1754</v>
      </c>
      <c r="P429" s="21" t="s">
        <v>56</v>
      </c>
      <c r="Q429" t="s">
        <v>1755</v>
      </c>
      <c r="R429" s="21"/>
      <c r="S429" t="s">
        <v>1783</v>
      </c>
      <c r="T429" t="s">
        <v>1784</v>
      </c>
      <c r="X429" t="s">
        <v>60</v>
      </c>
      <c r="Z429" s="15"/>
      <c r="AB429">
        <v>38.461908999999999</v>
      </c>
      <c r="AC429">
        <v>-90.814651999999995</v>
      </c>
      <c r="AD429" t="s">
        <v>1773</v>
      </c>
      <c r="AG429" t="s">
        <v>1715</v>
      </c>
      <c r="AH429" t="s">
        <v>63</v>
      </c>
      <c r="AI429" t="s">
        <v>1785</v>
      </c>
      <c r="AJ429">
        <v>192793</v>
      </c>
      <c r="AL429" t="s">
        <v>1786</v>
      </c>
      <c r="AM429" t="s">
        <v>1787</v>
      </c>
      <c r="AN429" t="s">
        <v>1788</v>
      </c>
      <c r="AO429" t="s">
        <v>68</v>
      </c>
      <c r="AQ429" t="s">
        <v>1789</v>
      </c>
      <c r="AR429" t="s">
        <v>1790</v>
      </c>
      <c r="AS429" t="s">
        <v>1791</v>
      </c>
      <c r="AV429" s="14" t="s">
        <v>72</v>
      </c>
      <c r="AW429" s="14" t="s">
        <v>73</v>
      </c>
      <c r="AX429" s="14" t="s">
        <v>74</v>
      </c>
    </row>
    <row r="430" spans="1:50" ht="15" customHeight="1" x14ac:dyDescent="0.4">
      <c r="A430" s="12">
        <v>3293</v>
      </c>
      <c r="B430" s="21" t="s">
        <v>1792</v>
      </c>
      <c r="C430" s="13" t="s">
        <v>1793</v>
      </c>
      <c r="D430" s="25" t="s">
        <v>1793</v>
      </c>
      <c r="E430" s="13"/>
      <c r="F430" s="41"/>
      <c r="G430" s="65" t="s">
        <v>8185</v>
      </c>
      <c r="H430" s="14" t="s">
        <v>49</v>
      </c>
      <c r="I430" s="15">
        <v>44713</v>
      </c>
      <c r="J430" s="15" t="s">
        <v>1753</v>
      </c>
      <c r="K430" t="s">
        <v>1705</v>
      </c>
      <c r="L430" t="s">
        <v>1706</v>
      </c>
      <c r="M430" t="s">
        <v>53</v>
      </c>
      <c r="N430" t="s">
        <v>175</v>
      </c>
      <c r="O430" t="s">
        <v>1754</v>
      </c>
      <c r="P430" s="21" t="s">
        <v>56</v>
      </c>
      <c r="Q430" t="s">
        <v>1755</v>
      </c>
      <c r="R430" s="21"/>
      <c r="S430" t="s">
        <v>1794</v>
      </c>
      <c r="T430" t="s">
        <v>1795</v>
      </c>
      <c r="X430" t="s">
        <v>60</v>
      </c>
      <c r="Z430" s="15"/>
      <c r="AB430">
        <v>38.461961000000002</v>
      </c>
      <c r="AC430">
        <v>-90.814369999999997</v>
      </c>
      <c r="AD430" t="s">
        <v>1773</v>
      </c>
      <c r="AG430" t="s">
        <v>1715</v>
      </c>
      <c r="AH430" t="s">
        <v>63</v>
      </c>
      <c r="AI430" t="s">
        <v>1796</v>
      </c>
      <c r="AJ430">
        <v>192569</v>
      </c>
      <c r="AL430" t="s">
        <v>1797</v>
      </c>
      <c r="AM430" t="s">
        <v>1798</v>
      </c>
      <c r="AN430" t="s">
        <v>1799</v>
      </c>
      <c r="AO430" t="s">
        <v>68</v>
      </c>
      <c r="AQ430" t="s">
        <v>1800</v>
      </c>
      <c r="AR430" t="s">
        <v>1801</v>
      </c>
      <c r="AS430" t="s">
        <v>1802</v>
      </c>
      <c r="AV430" s="14" t="s">
        <v>72</v>
      </c>
      <c r="AW430" s="14" t="s">
        <v>73</v>
      </c>
      <c r="AX430" s="14" t="s">
        <v>74</v>
      </c>
    </row>
    <row r="431" spans="1:50" ht="15" customHeight="1" x14ac:dyDescent="0.4">
      <c r="A431" s="12">
        <v>3294</v>
      </c>
      <c r="B431" s="21" t="s">
        <v>1803</v>
      </c>
      <c r="C431" s="13" t="s">
        <v>1804</v>
      </c>
      <c r="D431" s="25" t="s">
        <v>1804</v>
      </c>
      <c r="E431" s="13"/>
      <c r="F431" s="41"/>
      <c r="G431" s="65" t="s">
        <v>8185</v>
      </c>
      <c r="H431" s="14" t="s">
        <v>49</v>
      </c>
      <c r="I431" s="15">
        <v>44713</v>
      </c>
      <c r="J431" s="15" t="s">
        <v>1753</v>
      </c>
      <c r="K431" t="s">
        <v>1705</v>
      </c>
      <c r="L431" t="s">
        <v>1706</v>
      </c>
      <c r="M431" t="s">
        <v>53</v>
      </c>
      <c r="N431" t="s">
        <v>175</v>
      </c>
      <c r="O431" t="s">
        <v>1754</v>
      </c>
      <c r="P431" s="21" t="s">
        <v>56</v>
      </c>
      <c r="Q431" t="s">
        <v>1755</v>
      </c>
      <c r="R431" s="21"/>
      <c r="S431" t="s">
        <v>1805</v>
      </c>
      <c r="T431" t="s">
        <v>1806</v>
      </c>
      <c r="X431" t="s">
        <v>60</v>
      </c>
      <c r="Z431" s="15"/>
      <c r="AB431">
        <v>38.462113000000002</v>
      </c>
      <c r="AC431">
        <v>-90.814155</v>
      </c>
      <c r="AD431" t="s">
        <v>1807</v>
      </c>
      <c r="AG431" t="s">
        <v>1715</v>
      </c>
      <c r="AH431" t="s">
        <v>63</v>
      </c>
      <c r="AI431" t="s">
        <v>1808</v>
      </c>
      <c r="AJ431">
        <v>192570</v>
      </c>
      <c r="AL431" t="s">
        <v>1809</v>
      </c>
      <c r="AM431" t="s">
        <v>1810</v>
      </c>
      <c r="AN431" t="s">
        <v>1811</v>
      </c>
      <c r="AO431" t="s">
        <v>68</v>
      </c>
      <c r="AQ431" t="s">
        <v>1812</v>
      </c>
      <c r="AR431" t="s">
        <v>1813</v>
      </c>
      <c r="AS431" t="s">
        <v>1814</v>
      </c>
      <c r="AV431" s="14" t="s">
        <v>72</v>
      </c>
      <c r="AW431" s="14" t="s">
        <v>73</v>
      </c>
      <c r="AX431" s="14" t="s">
        <v>74</v>
      </c>
    </row>
    <row r="432" spans="1:50" ht="15" customHeight="1" x14ac:dyDescent="0.4">
      <c r="A432" s="12">
        <v>3295</v>
      </c>
      <c r="B432" s="21" t="s">
        <v>1815</v>
      </c>
      <c r="C432" s="13" t="s">
        <v>1816</v>
      </c>
      <c r="D432" s="25" t="s">
        <v>1816</v>
      </c>
      <c r="E432" s="13"/>
      <c r="F432" s="41"/>
      <c r="G432" s="65" t="s">
        <v>8185</v>
      </c>
      <c r="H432" s="14" t="s">
        <v>49</v>
      </c>
      <c r="I432" s="15">
        <v>44713</v>
      </c>
      <c r="J432" s="15" t="s">
        <v>1753</v>
      </c>
      <c r="K432" t="s">
        <v>1705</v>
      </c>
      <c r="L432" t="s">
        <v>1706</v>
      </c>
      <c r="M432" t="s">
        <v>53</v>
      </c>
      <c r="N432" t="s">
        <v>175</v>
      </c>
      <c r="O432" t="s">
        <v>1754</v>
      </c>
      <c r="P432" s="21" t="s">
        <v>56</v>
      </c>
      <c r="Q432" t="s">
        <v>1755</v>
      </c>
      <c r="R432" s="21"/>
      <c r="S432" t="s">
        <v>1817</v>
      </c>
      <c r="T432" t="s">
        <v>1818</v>
      </c>
      <c r="X432" t="s">
        <v>60</v>
      </c>
      <c r="Z432" s="15"/>
      <c r="AB432">
        <v>38.462273000000003</v>
      </c>
      <c r="AC432">
        <v>-90.813528000000005</v>
      </c>
      <c r="AD432" t="s">
        <v>1819</v>
      </c>
      <c r="AG432" t="s">
        <v>1715</v>
      </c>
      <c r="AH432" t="s">
        <v>63</v>
      </c>
      <c r="AI432" t="s">
        <v>1820</v>
      </c>
      <c r="AJ432">
        <v>192549</v>
      </c>
      <c r="AL432" t="s">
        <v>1821</v>
      </c>
      <c r="AM432" t="s">
        <v>1822</v>
      </c>
      <c r="AN432" t="s">
        <v>1823</v>
      </c>
      <c r="AO432" t="s">
        <v>68</v>
      </c>
      <c r="AQ432" t="s">
        <v>1824</v>
      </c>
      <c r="AR432" t="s">
        <v>1825</v>
      </c>
      <c r="AS432" t="s">
        <v>1826</v>
      </c>
      <c r="AV432" s="14" t="s">
        <v>72</v>
      </c>
      <c r="AW432" s="14" t="s">
        <v>73</v>
      </c>
      <c r="AX432" s="14" t="s">
        <v>74</v>
      </c>
    </row>
    <row r="433" spans="1:50" ht="15" customHeight="1" x14ac:dyDescent="0.4">
      <c r="A433" s="12">
        <v>3296</v>
      </c>
      <c r="B433" s="21" t="s">
        <v>1827</v>
      </c>
      <c r="C433" s="13" t="s">
        <v>1828</v>
      </c>
      <c r="D433" s="25" t="s">
        <v>1828</v>
      </c>
      <c r="E433" s="13"/>
      <c r="F433" s="41"/>
      <c r="G433" s="65" t="s">
        <v>8185</v>
      </c>
      <c r="H433" s="14" t="s">
        <v>1829</v>
      </c>
      <c r="I433" s="15">
        <v>44713</v>
      </c>
      <c r="J433" s="15" t="s">
        <v>1753</v>
      </c>
      <c r="K433" t="s">
        <v>1705</v>
      </c>
      <c r="L433" t="s">
        <v>1706</v>
      </c>
      <c r="M433" t="s">
        <v>53</v>
      </c>
      <c r="N433" t="s">
        <v>175</v>
      </c>
      <c r="O433" t="s">
        <v>1754</v>
      </c>
      <c r="P433" s="21" t="s">
        <v>56</v>
      </c>
      <c r="Q433" t="s">
        <v>1755</v>
      </c>
      <c r="R433" s="21"/>
      <c r="S433" t="s">
        <v>1830</v>
      </c>
      <c r="T433" t="s">
        <v>1831</v>
      </c>
      <c r="X433" t="s">
        <v>1832</v>
      </c>
      <c r="Z433" s="15"/>
      <c r="AB433">
        <v>38.461575000000003</v>
      </c>
      <c r="AC433">
        <v>-90.818702999999999</v>
      </c>
      <c r="AD433" t="s">
        <v>1833</v>
      </c>
      <c r="AG433" t="s">
        <v>1715</v>
      </c>
      <c r="AH433" t="s">
        <v>63</v>
      </c>
      <c r="AI433" t="s">
        <v>1834</v>
      </c>
      <c r="AJ433">
        <v>192796</v>
      </c>
      <c r="AL433" t="s">
        <v>1835</v>
      </c>
      <c r="AM433" t="s">
        <v>1836</v>
      </c>
      <c r="AN433" t="s">
        <v>1837</v>
      </c>
      <c r="AO433" t="s">
        <v>68</v>
      </c>
      <c r="AQ433" t="s">
        <v>1838</v>
      </c>
      <c r="AR433" t="s">
        <v>1839</v>
      </c>
      <c r="AS433" t="s">
        <v>1840</v>
      </c>
      <c r="AV433" s="14" t="s">
        <v>72</v>
      </c>
      <c r="AW433" s="14" t="s">
        <v>73</v>
      </c>
      <c r="AX433" s="14" t="s">
        <v>74</v>
      </c>
    </row>
    <row r="434" spans="1:50" ht="15" customHeight="1" x14ac:dyDescent="0.4">
      <c r="A434" s="12">
        <v>3297</v>
      </c>
      <c r="B434" s="21" t="s">
        <v>1841</v>
      </c>
      <c r="C434" s="13" t="s">
        <v>1842</v>
      </c>
      <c r="D434" s="25" t="s">
        <v>1842</v>
      </c>
      <c r="E434" s="13"/>
      <c r="F434" s="41"/>
      <c r="G434" s="65" t="s">
        <v>8185</v>
      </c>
      <c r="H434" s="14" t="s">
        <v>1829</v>
      </c>
      <c r="I434" s="15">
        <v>44713</v>
      </c>
      <c r="J434" s="15" t="s">
        <v>1753</v>
      </c>
      <c r="K434" t="s">
        <v>1705</v>
      </c>
      <c r="L434" t="s">
        <v>1706</v>
      </c>
      <c r="M434" t="s">
        <v>53</v>
      </c>
      <c r="N434" t="s">
        <v>175</v>
      </c>
      <c r="O434" t="s">
        <v>1754</v>
      </c>
      <c r="P434" s="21" t="s">
        <v>56</v>
      </c>
      <c r="Q434" t="s">
        <v>1755</v>
      </c>
      <c r="R434" s="21"/>
      <c r="S434" t="s">
        <v>1843</v>
      </c>
      <c r="T434" t="s">
        <v>1844</v>
      </c>
      <c r="X434" t="s">
        <v>1832</v>
      </c>
      <c r="Z434" s="15"/>
      <c r="AB434">
        <v>38.461624</v>
      </c>
      <c r="AC434">
        <v>-90.818267000000006</v>
      </c>
      <c r="AG434" t="s">
        <v>1715</v>
      </c>
      <c r="AH434" t="s">
        <v>63</v>
      </c>
      <c r="AI434" t="s">
        <v>1845</v>
      </c>
      <c r="AJ434">
        <v>192795</v>
      </c>
      <c r="AL434" t="s">
        <v>1846</v>
      </c>
      <c r="AM434" t="s">
        <v>1847</v>
      </c>
      <c r="AN434" t="s">
        <v>1848</v>
      </c>
      <c r="AO434" t="s">
        <v>68</v>
      </c>
      <c r="AQ434" t="s">
        <v>1849</v>
      </c>
      <c r="AR434" t="s">
        <v>1850</v>
      </c>
      <c r="AS434" t="s">
        <v>1851</v>
      </c>
      <c r="AV434" s="14" t="s">
        <v>72</v>
      </c>
      <c r="AW434" s="14" t="s">
        <v>73</v>
      </c>
      <c r="AX434" s="14" t="s">
        <v>74</v>
      </c>
    </row>
    <row r="435" spans="1:50" ht="15" customHeight="1" x14ac:dyDescent="0.4">
      <c r="A435" s="12">
        <v>3298</v>
      </c>
      <c r="B435" s="21" t="s">
        <v>1852</v>
      </c>
      <c r="C435" s="13" t="s">
        <v>1853</v>
      </c>
      <c r="D435" s="25" t="s">
        <v>1853</v>
      </c>
      <c r="E435" s="13"/>
      <c r="F435" s="41"/>
      <c r="G435" s="65" t="s">
        <v>8185</v>
      </c>
      <c r="H435" s="14" t="s">
        <v>1829</v>
      </c>
      <c r="I435" s="15">
        <v>44713</v>
      </c>
      <c r="J435" s="15" t="s">
        <v>1753</v>
      </c>
      <c r="K435" t="s">
        <v>1705</v>
      </c>
      <c r="L435" t="s">
        <v>1706</v>
      </c>
      <c r="M435" t="s">
        <v>53</v>
      </c>
      <c r="N435" t="s">
        <v>175</v>
      </c>
      <c r="O435" t="s">
        <v>1754</v>
      </c>
      <c r="P435" s="21" t="s">
        <v>56</v>
      </c>
      <c r="Q435" t="s">
        <v>1755</v>
      </c>
      <c r="R435" s="21"/>
      <c r="S435" t="s">
        <v>1854</v>
      </c>
      <c r="T435" t="s">
        <v>1855</v>
      </c>
      <c r="X435" t="s">
        <v>1832</v>
      </c>
      <c r="Z435" s="15"/>
      <c r="AB435">
        <v>38.462029000000001</v>
      </c>
      <c r="AC435">
        <v>-90.818313000000003</v>
      </c>
      <c r="AD435" t="s">
        <v>1856</v>
      </c>
      <c r="AG435" t="s">
        <v>1715</v>
      </c>
      <c r="AH435" t="s">
        <v>63</v>
      </c>
      <c r="AI435" t="s">
        <v>1857</v>
      </c>
      <c r="AJ435">
        <v>194510</v>
      </c>
      <c r="AL435" t="s">
        <v>1858</v>
      </c>
      <c r="AM435" t="s">
        <v>1859</v>
      </c>
      <c r="AN435" t="s">
        <v>1860</v>
      </c>
      <c r="AO435" t="s">
        <v>68</v>
      </c>
      <c r="AQ435" t="s">
        <v>1861</v>
      </c>
      <c r="AR435" t="s">
        <v>1862</v>
      </c>
      <c r="AS435" t="s">
        <v>1863</v>
      </c>
      <c r="AV435" s="14" t="s">
        <v>72</v>
      </c>
      <c r="AW435" s="14" t="s">
        <v>73</v>
      </c>
      <c r="AX435" s="14" t="s">
        <v>74</v>
      </c>
    </row>
    <row r="436" spans="1:50" ht="15" customHeight="1" x14ac:dyDescent="0.4">
      <c r="A436" s="12">
        <v>3299</v>
      </c>
      <c r="B436" s="21" t="s">
        <v>1864</v>
      </c>
      <c r="C436" s="13" t="s">
        <v>1865</v>
      </c>
      <c r="D436" s="25" t="s">
        <v>1865</v>
      </c>
      <c r="E436" s="13"/>
      <c r="F436" s="41"/>
      <c r="G436" s="65" t="s">
        <v>8185</v>
      </c>
      <c r="H436" s="14" t="s">
        <v>1752</v>
      </c>
      <c r="I436" s="15">
        <v>44713</v>
      </c>
      <c r="J436" s="15" t="s">
        <v>1753</v>
      </c>
      <c r="K436" t="s">
        <v>1705</v>
      </c>
      <c r="L436" t="s">
        <v>1706</v>
      </c>
      <c r="M436" t="s">
        <v>53</v>
      </c>
      <c r="N436" t="s">
        <v>175</v>
      </c>
      <c r="O436" t="s">
        <v>1754</v>
      </c>
      <c r="P436" s="21" t="s">
        <v>56</v>
      </c>
      <c r="Q436" t="s">
        <v>1755</v>
      </c>
      <c r="R436" s="21"/>
      <c r="S436" t="s">
        <v>1866</v>
      </c>
      <c r="T436" t="s">
        <v>1867</v>
      </c>
      <c r="X436" t="s">
        <v>1759</v>
      </c>
      <c r="Z436" s="15"/>
      <c r="AB436">
        <v>38.46199</v>
      </c>
      <c r="AC436">
        <v>-90.818417999999994</v>
      </c>
      <c r="AD436" t="s">
        <v>1868</v>
      </c>
      <c r="AG436" t="s">
        <v>1715</v>
      </c>
      <c r="AH436" t="s">
        <v>63</v>
      </c>
      <c r="AI436" t="s">
        <v>1869</v>
      </c>
      <c r="AJ436">
        <v>192568</v>
      </c>
      <c r="AL436" t="s">
        <v>1870</v>
      </c>
      <c r="AM436" t="s">
        <v>1871</v>
      </c>
      <c r="AN436" t="s">
        <v>1872</v>
      </c>
      <c r="AO436" t="s">
        <v>68</v>
      </c>
      <c r="AQ436" t="s">
        <v>1873</v>
      </c>
      <c r="AR436" t="s">
        <v>1874</v>
      </c>
      <c r="AS436" t="s">
        <v>1875</v>
      </c>
      <c r="AV436" s="14" t="s">
        <v>72</v>
      </c>
      <c r="AW436" s="14" t="s">
        <v>73</v>
      </c>
      <c r="AX436" s="14" t="s">
        <v>1768</v>
      </c>
    </row>
    <row r="437" spans="1:50" ht="15" customHeight="1" x14ac:dyDescent="0.4">
      <c r="A437" s="12">
        <v>3300</v>
      </c>
      <c r="B437" s="21" t="s">
        <v>1876</v>
      </c>
      <c r="C437" s="13" t="s">
        <v>1877</v>
      </c>
      <c r="D437" s="25" t="s">
        <v>1877</v>
      </c>
      <c r="E437" s="13"/>
      <c r="F437" s="41"/>
      <c r="G437" s="65" t="s">
        <v>8185</v>
      </c>
      <c r="H437" s="14" t="s">
        <v>1878</v>
      </c>
      <c r="I437" s="15">
        <v>44713</v>
      </c>
      <c r="J437" s="15" t="s">
        <v>1753</v>
      </c>
      <c r="K437" t="s">
        <v>1705</v>
      </c>
      <c r="L437" t="s">
        <v>1706</v>
      </c>
      <c r="M437" t="s">
        <v>53</v>
      </c>
      <c r="N437" t="s">
        <v>175</v>
      </c>
      <c r="O437" t="s">
        <v>1754</v>
      </c>
      <c r="P437" s="21" t="s">
        <v>56</v>
      </c>
      <c r="Q437" t="s">
        <v>1755</v>
      </c>
      <c r="R437" s="21"/>
      <c r="S437" t="s">
        <v>1879</v>
      </c>
      <c r="T437" t="s">
        <v>1880</v>
      </c>
      <c r="X437" t="s">
        <v>1881</v>
      </c>
      <c r="Z437" s="15"/>
      <c r="AB437">
        <v>38.462390999999997</v>
      </c>
      <c r="AC437">
        <v>-90.817857000000004</v>
      </c>
      <c r="AD437" t="s">
        <v>859</v>
      </c>
      <c r="AG437" t="s">
        <v>1715</v>
      </c>
      <c r="AH437" t="s">
        <v>63</v>
      </c>
      <c r="AI437" t="s">
        <v>1882</v>
      </c>
      <c r="AJ437">
        <v>192792</v>
      </c>
      <c r="AL437" t="s">
        <v>1883</v>
      </c>
      <c r="AM437" t="s">
        <v>1884</v>
      </c>
      <c r="AN437" s="26" t="e">
        <v>#N/A</v>
      </c>
      <c r="AO437" t="s">
        <v>68</v>
      </c>
      <c r="AQ437" t="s">
        <v>1885</v>
      </c>
      <c r="AR437" t="s">
        <v>1886</v>
      </c>
      <c r="AS437" t="s">
        <v>1887</v>
      </c>
      <c r="AV437" s="14" t="s">
        <v>72</v>
      </c>
      <c r="AW437" s="14" t="s">
        <v>73</v>
      </c>
      <c r="AX437" s="14" t="s">
        <v>1723</v>
      </c>
    </row>
    <row r="438" spans="1:50" ht="15" customHeight="1" x14ac:dyDescent="0.4">
      <c r="A438" s="12">
        <v>3301</v>
      </c>
      <c r="B438" s="21" t="s">
        <v>1888</v>
      </c>
      <c r="C438" s="13" t="s">
        <v>1889</v>
      </c>
      <c r="D438" s="25" t="s">
        <v>1889</v>
      </c>
      <c r="E438" s="13"/>
      <c r="F438" s="41"/>
      <c r="G438" s="65" t="s">
        <v>8185</v>
      </c>
      <c r="H438" s="14" t="s">
        <v>1829</v>
      </c>
      <c r="I438" s="15">
        <v>44713</v>
      </c>
      <c r="J438" s="15" t="s">
        <v>1753</v>
      </c>
      <c r="K438" t="s">
        <v>1705</v>
      </c>
      <c r="L438" t="s">
        <v>1706</v>
      </c>
      <c r="M438" t="s">
        <v>53</v>
      </c>
      <c r="N438" t="s">
        <v>175</v>
      </c>
      <c r="O438" t="s">
        <v>1754</v>
      </c>
      <c r="P438" s="21" t="s">
        <v>56</v>
      </c>
      <c r="Q438" t="s">
        <v>1755</v>
      </c>
      <c r="R438" s="21"/>
      <c r="S438" t="s">
        <v>1890</v>
      </c>
      <c r="T438" t="s">
        <v>1891</v>
      </c>
      <c r="X438" t="s">
        <v>1832</v>
      </c>
      <c r="Z438" s="15"/>
      <c r="AB438">
        <v>38.462949999999999</v>
      </c>
      <c r="AC438">
        <v>-90.817616000000001</v>
      </c>
      <c r="AD438" t="s">
        <v>1892</v>
      </c>
      <c r="AG438" t="s">
        <v>1715</v>
      </c>
      <c r="AH438" t="s">
        <v>63</v>
      </c>
      <c r="AI438" t="s">
        <v>1893</v>
      </c>
      <c r="AJ438">
        <v>194511</v>
      </c>
      <c r="AL438" t="s">
        <v>1894</v>
      </c>
      <c r="AM438" t="s">
        <v>1895</v>
      </c>
      <c r="AN438" s="23" t="s">
        <v>1896</v>
      </c>
      <c r="AO438" t="s">
        <v>68</v>
      </c>
      <c r="AQ438" t="s">
        <v>1897</v>
      </c>
      <c r="AR438" t="s">
        <v>1898</v>
      </c>
      <c r="AS438" t="s">
        <v>1899</v>
      </c>
      <c r="AV438" s="14" t="s">
        <v>72</v>
      </c>
      <c r="AW438" s="14" t="s">
        <v>73</v>
      </c>
      <c r="AX438" s="14" t="s">
        <v>74</v>
      </c>
    </row>
    <row r="439" spans="1:50" ht="15" customHeight="1" x14ac:dyDescent="0.4">
      <c r="A439" s="12">
        <v>3302</v>
      </c>
      <c r="B439" s="21" t="s">
        <v>1900</v>
      </c>
      <c r="C439" s="13" t="s">
        <v>1901</v>
      </c>
      <c r="D439" s="25" t="s">
        <v>1901</v>
      </c>
      <c r="E439" s="13"/>
      <c r="F439" s="41"/>
      <c r="G439" s="65" t="s">
        <v>8178</v>
      </c>
      <c r="H439" s="14" t="s">
        <v>1829</v>
      </c>
      <c r="I439" s="15">
        <v>44713</v>
      </c>
      <c r="J439" s="15" t="s">
        <v>1753</v>
      </c>
      <c r="K439" t="s">
        <v>1705</v>
      </c>
      <c r="L439" t="s">
        <v>1706</v>
      </c>
      <c r="M439" t="s">
        <v>53</v>
      </c>
      <c r="N439" t="s">
        <v>175</v>
      </c>
      <c r="O439" t="s">
        <v>1754</v>
      </c>
      <c r="P439" s="21" t="s">
        <v>56</v>
      </c>
      <c r="Q439" t="s">
        <v>1755</v>
      </c>
      <c r="R439" s="21"/>
      <c r="S439" t="s">
        <v>1890</v>
      </c>
      <c r="T439" t="s">
        <v>1891</v>
      </c>
      <c r="X439" t="s">
        <v>1832</v>
      </c>
      <c r="Z439" s="15"/>
      <c r="AB439">
        <v>38.462961</v>
      </c>
      <c r="AC439">
        <v>-90.817894999999993</v>
      </c>
      <c r="AD439" t="s">
        <v>782</v>
      </c>
      <c r="AG439" t="s">
        <v>1715</v>
      </c>
      <c r="AH439" t="s">
        <v>63</v>
      </c>
      <c r="AI439" t="s">
        <v>1902</v>
      </c>
      <c r="AJ439">
        <v>194512</v>
      </c>
      <c r="AL439" t="s">
        <v>1903</v>
      </c>
      <c r="AM439" t="s">
        <v>1904</v>
      </c>
      <c r="AN439" t="s">
        <v>1905</v>
      </c>
      <c r="AO439" t="s">
        <v>68</v>
      </c>
      <c r="AQ439" t="s">
        <v>1906</v>
      </c>
      <c r="AR439" t="s">
        <v>1907</v>
      </c>
      <c r="AS439" t="s">
        <v>1908</v>
      </c>
      <c r="AV439" s="14" t="s">
        <v>72</v>
      </c>
      <c r="AW439" s="14" t="s">
        <v>73</v>
      </c>
      <c r="AX439" s="14" t="s">
        <v>74</v>
      </c>
    </row>
    <row r="440" spans="1:50" ht="15" customHeight="1" x14ac:dyDescent="0.4">
      <c r="A440" s="12">
        <v>3303</v>
      </c>
      <c r="B440" s="21" t="s">
        <v>1909</v>
      </c>
      <c r="C440" s="13" t="s">
        <v>1910</v>
      </c>
      <c r="D440" s="25" t="s">
        <v>1910</v>
      </c>
      <c r="E440" s="13"/>
      <c r="F440" s="41"/>
      <c r="G440" s="65" t="s">
        <v>8185</v>
      </c>
      <c r="H440" s="14" t="s">
        <v>1878</v>
      </c>
      <c r="I440" s="15">
        <v>44713</v>
      </c>
      <c r="J440" s="15" t="s">
        <v>1753</v>
      </c>
      <c r="K440" t="s">
        <v>1705</v>
      </c>
      <c r="L440" t="s">
        <v>1706</v>
      </c>
      <c r="M440" t="s">
        <v>53</v>
      </c>
      <c r="N440" t="s">
        <v>175</v>
      </c>
      <c r="O440" t="s">
        <v>1754</v>
      </c>
      <c r="P440" s="21" t="s">
        <v>56</v>
      </c>
      <c r="Q440" t="s">
        <v>1755</v>
      </c>
      <c r="R440" s="21"/>
      <c r="S440" t="s">
        <v>1911</v>
      </c>
      <c r="T440" t="s">
        <v>1912</v>
      </c>
      <c r="X440" t="s">
        <v>1881</v>
      </c>
      <c r="Z440" s="15"/>
      <c r="AB440">
        <v>38.462749000000002</v>
      </c>
      <c r="AC440">
        <v>-90.818039999999996</v>
      </c>
      <c r="AD440" t="s">
        <v>1913</v>
      </c>
      <c r="AG440" t="s">
        <v>1715</v>
      </c>
      <c r="AH440" t="s">
        <v>63</v>
      </c>
      <c r="AI440" t="s">
        <v>1914</v>
      </c>
      <c r="AJ440">
        <v>193381</v>
      </c>
      <c r="AL440" t="s">
        <v>1915</v>
      </c>
      <c r="AM440" t="s">
        <v>1916</v>
      </c>
      <c r="AN440" t="s">
        <v>1917</v>
      </c>
      <c r="AO440" t="s">
        <v>68</v>
      </c>
      <c r="AQ440" t="s">
        <v>1918</v>
      </c>
      <c r="AR440" t="s">
        <v>1919</v>
      </c>
      <c r="AS440" t="s">
        <v>1920</v>
      </c>
      <c r="AV440" s="14" t="s">
        <v>72</v>
      </c>
      <c r="AW440" s="14" t="s">
        <v>73</v>
      </c>
      <c r="AX440" s="14" t="s">
        <v>1723</v>
      </c>
    </row>
    <row r="441" spans="1:50" ht="15" customHeight="1" x14ac:dyDescent="0.4">
      <c r="A441" s="12">
        <v>3304</v>
      </c>
      <c r="B441" s="21" t="s">
        <v>1921</v>
      </c>
      <c r="C441" s="13" t="s">
        <v>1922</v>
      </c>
      <c r="D441" s="25" t="s">
        <v>1922</v>
      </c>
      <c r="E441" s="13"/>
      <c r="F441" s="41"/>
      <c r="G441" s="65" t="s">
        <v>8185</v>
      </c>
      <c r="H441" s="14" t="s">
        <v>1752</v>
      </c>
      <c r="I441" s="15">
        <v>44713</v>
      </c>
      <c r="J441" s="15" t="s">
        <v>1753</v>
      </c>
      <c r="K441" t="s">
        <v>1705</v>
      </c>
      <c r="L441" t="s">
        <v>1706</v>
      </c>
      <c r="M441" t="s">
        <v>53</v>
      </c>
      <c r="N441" t="s">
        <v>175</v>
      </c>
      <c r="O441" t="s">
        <v>1754</v>
      </c>
      <c r="P441" s="21" t="s">
        <v>56</v>
      </c>
      <c r="Q441" t="s">
        <v>1755</v>
      </c>
      <c r="R441" s="21"/>
      <c r="S441" t="s">
        <v>1923</v>
      </c>
      <c r="T441" t="s">
        <v>1924</v>
      </c>
      <c r="X441" t="s">
        <v>1759</v>
      </c>
      <c r="Z441" s="15"/>
      <c r="AB441">
        <v>38.462662000000002</v>
      </c>
      <c r="AC441">
        <v>-90.818128999999999</v>
      </c>
      <c r="AD441" t="s">
        <v>1925</v>
      </c>
      <c r="AG441" t="s">
        <v>1715</v>
      </c>
      <c r="AH441" t="s">
        <v>63</v>
      </c>
      <c r="AI441" t="s">
        <v>1926</v>
      </c>
      <c r="AJ441">
        <v>193513</v>
      </c>
      <c r="AL441" t="s">
        <v>1927</v>
      </c>
      <c r="AM441" t="s">
        <v>1928</v>
      </c>
      <c r="AN441" t="s">
        <v>1929</v>
      </c>
      <c r="AO441" t="s">
        <v>68</v>
      </c>
      <c r="AQ441" t="s">
        <v>1930</v>
      </c>
      <c r="AR441" t="s">
        <v>1931</v>
      </c>
      <c r="AS441" t="s">
        <v>1932</v>
      </c>
      <c r="AV441" s="14" t="s">
        <v>72</v>
      </c>
      <c r="AW441" s="14" t="s">
        <v>73</v>
      </c>
      <c r="AX441" s="14" t="s">
        <v>1768</v>
      </c>
    </row>
    <row r="442" spans="1:50" ht="15" customHeight="1" x14ac:dyDescent="0.4">
      <c r="A442" s="12">
        <v>3305</v>
      </c>
      <c r="B442" s="21" t="s">
        <v>1933</v>
      </c>
      <c r="C442" s="13" t="s">
        <v>1934</v>
      </c>
      <c r="D442" s="25" t="s">
        <v>1934</v>
      </c>
      <c r="E442" s="13"/>
      <c r="F442" s="41"/>
      <c r="G442" s="65" t="s">
        <v>8185</v>
      </c>
      <c r="H442" s="14" t="s">
        <v>1752</v>
      </c>
      <c r="I442" s="15">
        <v>44713</v>
      </c>
      <c r="J442" s="15" t="s">
        <v>1753</v>
      </c>
      <c r="K442" t="s">
        <v>1705</v>
      </c>
      <c r="L442" t="s">
        <v>1706</v>
      </c>
      <c r="M442" t="s">
        <v>53</v>
      </c>
      <c r="N442" t="s">
        <v>175</v>
      </c>
      <c r="O442" t="s">
        <v>1754</v>
      </c>
      <c r="P442" s="21" t="s">
        <v>56</v>
      </c>
      <c r="Q442" t="s">
        <v>1755</v>
      </c>
      <c r="R442" s="21"/>
      <c r="S442" t="s">
        <v>1935</v>
      </c>
      <c r="T442" t="s">
        <v>1936</v>
      </c>
      <c r="W442" t="s">
        <v>1758</v>
      </c>
      <c r="X442" t="s">
        <v>1759</v>
      </c>
      <c r="Z442" s="15"/>
      <c r="AB442">
        <v>38.462482999999999</v>
      </c>
      <c r="AC442">
        <v>-90.818432000000001</v>
      </c>
      <c r="AD442" t="s">
        <v>804</v>
      </c>
      <c r="AG442" t="s">
        <v>1715</v>
      </c>
      <c r="AH442" t="s">
        <v>63</v>
      </c>
      <c r="AI442" t="s">
        <v>1937</v>
      </c>
      <c r="AJ442">
        <v>193514</v>
      </c>
      <c r="AL442" t="s">
        <v>1938</v>
      </c>
      <c r="AM442" t="s">
        <v>1939</v>
      </c>
      <c r="AN442" t="s">
        <v>1940</v>
      </c>
      <c r="AO442" t="s">
        <v>68</v>
      </c>
      <c r="AQ442" t="s">
        <v>1941</v>
      </c>
      <c r="AR442" t="s">
        <v>1942</v>
      </c>
      <c r="AS442" t="s">
        <v>1943</v>
      </c>
      <c r="AV442" s="14" t="s">
        <v>72</v>
      </c>
      <c r="AW442" s="14" t="s">
        <v>73</v>
      </c>
      <c r="AX442" s="14" t="s">
        <v>1768</v>
      </c>
    </row>
    <row r="443" spans="1:50" ht="15" customHeight="1" x14ac:dyDescent="0.4">
      <c r="A443" s="12">
        <v>3306</v>
      </c>
      <c r="B443" s="21" t="s">
        <v>1944</v>
      </c>
      <c r="C443" s="13" t="s">
        <v>1945</v>
      </c>
      <c r="D443" s="25" t="s">
        <v>1945</v>
      </c>
      <c r="E443" s="13"/>
      <c r="F443" s="41"/>
      <c r="G443" s="65" t="s">
        <v>8185</v>
      </c>
      <c r="H443" s="14" t="s">
        <v>1752</v>
      </c>
      <c r="I443" s="15">
        <v>44713</v>
      </c>
      <c r="J443" s="15" t="s">
        <v>1753</v>
      </c>
      <c r="K443" t="s">
        <v>1705</v>
      </c>
      <c r="L443" t="s">
        <v>1706</v>
      </c>
      <c r="M443" t="s">
        <v>53</v>
      </c>
      <c r="N443" t="s">
        <v>175</v>
      </c>
      <c r="O443" t="s">
        <v>1754</v>
      </c>
      <c r="P443" s="21" t="s">
        <v>56</v>
      </c>
      <c r="Q443" t="s">
        <v>1755</v>
      </c>
      <c r="R443" s="21"/>
      <c r="S443" t="s">
        <v>1946</v>
      </c>
      <c r="T443" t="s">
        <v>1752</v>
      </c>
      <c r="X443" t="s">
        <v>1759</v>
      </c>
      <c r="Z443" s="15"/>
      <c r="AB443">
        <v>38.462702999999998</v>
      </c>
      <c r="AC443">
        <v>-90.818742</v>
      </c>
      <c r="AD443" t="s">
        <v>1947</v>
      </c>
      <c r="AG443" t="s">
        <v>1715</v>
      </c>
      <c r="AH443" t="s">
        <v>63</v>
      </c>
      <c r="AI443" t="s">
        <v>1948</v>
      </c>
      <c r="AJ443">
        <v>193515</v>
      </c>
      <c r="AL443" t="s">
        <v>1949</v>
      </c>
      <c r="AM443" t="s">
        <v>1950</v>
      </c>
      <c r="AN443" t="s">
        <v>1951</v>
      </c>
      <c r="AO443" t="s">
        <v>68</v>
      </c>
      <c r="AQ443" t="s">
        <v>1952</v>
      </c>
      <c r="AR443" t="s">
        <v>1953</v>
      </c>
      <c r="AS443" t="s">
        <v>1954</v>
      </c>
      <c r="AV443" s="14" t="s">
        <v>72</v>
      </c>
      <c r="AW443" s="14" t="s">
        <v>73</v>
      </c>
      <c r="AX443" s="14" t="s">
        <v>1768</v>
      </c>
    </row>
    <row r="444" spans="1:50" ht="15" customHeight="1" x14ac:dyDescent="0.4">
      <c r="A444" s="12">
        <v>3307</v>
      </c>
      <c r="B444" s="21" t="s">
        <v>1955</v>
      </c>
      <c r="C444" s="13" t="s">
        <v>1956</v>
      </c>
      <c r="D444" s="25" t="s">
        <v>1956</v>
      </c>
      <c r="E444" s="13"/>
      <c r="F444" s="41"/>
      <c r="G444" s="65" t="s">
        <v>8185</v>
      </c>
      <c r="H444" s="14" t="s">
        <v>1878</v>
      </c>
      <c r="I444" s="15">
        <v>44713</v>
      </c>
      <c r="J444" s="15" t="s">
        <v>1753</v>
      </c>
      <c r="K444" t="s">
        <v>1705</v>
      </c>
      <c r="L444" t="s">
        <v>1706</v>
      </c>
      <c r="M444" t="s">
        <v>53</v>
      </c>
      <c r="N444" t="s">
        <v>175</v>
      </c>
      <c r="O444" t="s">
        <v>1754</v>
      </c>
      <c r="P444" s="21" t="s">
        <v>56</v>
      </c>
      <c r="Q444" t="s">
        <v>1755</v>
      </c>
      <c r="R444" s="21"/>
      <c r="S444" t="s">
        <v>1957</v>
      </c>
      <c r="T444" t="s">
        <v>1958</v>
      </c>
      <c r="X444" t="s">
        <v>1881</v>
      </c>
      <c r="Z444" s="15"/>
      <c r="AB444">
        <v>38.462960000000002</v>
      </c>
      <c r="AC444">
        <v>-90.818493000000004</v>
      </c>
      <c r="AD444" t="s">
        <v>1959</v>
      </c>
      <c r="AG444" t="s">
        <v>1715</v>
      </c>
      <c r="AH444" t="s">
        <v>63</v>
      </c>
      <c r="AI444" t="s">
        <v>1960</v>
      </c>
      <c r="AJ444">
        <v>193751</v>
      </c>
      <c r="AL444" t="s">
        <v>1961</v>
      </c>
      <c r="AM444" t="s">
        <v>1962</v>
      </c>
      <c r="AN444" t="s">
        <v>1963</v>
      </c>
      <c r="AO444" t="s">
        <v>68</v>
      </c>
      <c r="AQ444" t="s">
        <v>1964</v>
      </c>
      <c r="AR444" t="s">
        <v>1965</v>
      </c>
      <c r="AS444" t="s">
        <v>1966</v>
      </c>
      <c r="AV444" s="14" t="s">
        <v>72</v>
      </c>
      <c r="AW444" s="14" t="s">
        <v>73</v>
      </c>
      <c r="AX444" s="14" t="s">
        <v>1723</v>
      </c>
    </row>
    <row r="445" spans="1:50" ht="15" customHeight="1" x14ac:dyDescent="0.4">
      <c r="A445" s="12">
        <v>3308</v>
      </c>
      <c r="B445" s="21" t="s">
        <v>1967</v>
      </c>
      <c r="C445" s="13" t="s">
        <v>1968</v>
      </c>
      <c r="D445" s="25" t="s">
        <v>1968</v>
      </c>
      <c r="E445" s="13"/>
      <c r="F445" s="41"/>
      <c r="G445" s="65" t="s">
        <v>8185</v>
      </c>
      <c r="H445" s="14" t="s">
        <v>1878</v>
      </c>
      <c r="I445" s="15">
        <v>44713</v>
      </c>
      <c r="J445" s="15" t="s">
        <v>1753</v>
      </c>
      <c r="K445" t="s">
        <v>1705</v>
      </c>
      <c r="L445" t="s">
        <v>1706</v>
      </c>
      <c r="M445" t="s">
        <v>53</v>
      </c>
      <c r="N445" t="s">
        <v>175</v>
      </c>
      <c r="O445" t="s">
        <v>1754</v>
      </c>
      <c r="P445" s="21" t="s">
        <v>56</v>
      </c>
      <c r="Q445" t="s">
        <v>1755</v>
      </c>
      <c r="R445" s="21"/>
      <c r="S445" t="s">
        <v>1969</v>
      </c>
      <c r="T445" t="s">
        <v>1970</v>
      </c>
      <c r="X445" t="s">
        <v>1881</v>
      </c>
      <c r="Z445" s="15"/>
      <c r="AB445">
        <v>38.463810000000002</v>
      </c>
      <c r="AC445">
        <v>-90.818731</v>
      </c>
      <c r="AD445" t="s">
        <v>1971</v>
      </c>
      <c r="AG445" t="s">
        <v>1715</v>
      </c>
      <c r="AH445" t="s">
        <v>63</v>
      </c>
      <c r="AI445" t="s">
        <v>1972</v>
      </c>
      <c r="AJ445">
        <v>193752</v>
      </c>
      <c r="AL445" t="s">
        <v>1973</v>
      </c>
      <c r="AM445" t="s">
        <v>1974</v>
      </c>
      <c r="AN445" t="s">
        <v>1975</v>
      </c>
      <c r="AO445" t="s">
        <v>68</v>
      </c>
      <c r="AQ445" t="s">
        <v>1976</v>
      </c>
      <c r="AR445" t="s">
        <v>1977</v>
      </c>
      <c r="AS445" t="s">
        <v>1978</v>
      </c>
      <c r="AV445" s="14" t="s">
        <v>72</v>
      </c>
      <c r="AW445" s="14" t="s">
        <v>73</v>
      </c>
      <c r="AX445" s="14" t="s">
        <v>1723</v>
      </c>
    </row>
    <row r="446" spans="1:50" ht="15" customHeight="1" x14ac:dyDescent="0.4">
      <c r="A446" s="12">
        <v>3309</v>
      </c>
      <c r="B446" s="21" t="s">
        <v>1979</v>
      </c>
      <c r="C446" s="13" t="s">
        <v>1980</v>
      </c>
      <c r="D446" s="25" t="s">
        <v>1980</v>
      </c>
      <c r="E446" s="13"/>
      <c r="F446" s="41"/>
      <c r="G446" s="65" t="s">
        <v>8185</v>
      </c>
      <c r="H446" s="14" t="s">
        <v>1878</v>
      </c>
      <c r="I446" s="15">
        <v>44713</v>
      </c>
      <c r="J446" s="15" t="s">
        <v>1753</v>
      </c>
      <c r="K446" t="s">
        <v>1705</v>
      </c>
      <c r="L446" t="s">
        <v>1706</v>
      </c>
      <c r="M446" t="s">
        <v>53</v>
      </c>
      <c r="N446" t="s">
        <v>175</v>
      </c>
      <c r="O446" t="s">
        <v>1754</v>
      </c>
      <c r="P446" s="21" t="s">
        <v>56</v>
      </c>
      <c r="Q446" t="s">
        <v>1755</v>
      </c>
      <c r="R446" s="21"/>
      <c r="S446" t="s">
        <v>1981</v>
      </c>
      <c r="T446" t="s">
        <v>1982</v>
      </c>
      <c r="X446" t="s">
        <v>1881</v>
      </c>
      <c r="Z446" s="15"/>
      <c r="AB446">
        <v>38.464165999999999</v>
      </c>
      <c r="AC446">
        <v>-90.818686</v>
      </c>
      <c r="AD446" t="s">
        <v>1971</v>
      </c>
      <c r="AG446" t="s">
        <v>1715</v>
      </c>
      <c r="AH446" t="s">
        <v>63</v>
      </c>
      <c r="AI446" t="s">
        <v>1983</v>
      </c>
      <c r="AJ446">
        <v>193754</v>
      </c>
      <c r="AL446" t="s">
        <v>1984</v>
      </c>
      <c r="AM446" t="s">
        <v>1985</v>
      </c>
      <c r="AN446" t="s">
        <v>1986</v>
      </c>
      <c r="AO446" t="s">
        <v>68</v>
      </c>
      <c r="AQ446" t="s">
        <v>1987</v>
      </c>
      <c r="AR446" t="s">
        <v>1988</v>
      </c>
      <c r="AS446" t="s">
        <v>1989</v>
      </c>
      <c r="AV446" s="14" t="s">
        <v>72</v>
      </c>
      <c r="AW446" s="14" t="s">
        <v>73</v>
      </c>
      <c r="AX446" s="14" t="s">
        <v>1723</v>
      </c>
    </row>
    <row r="447" spans="1:50" ht="15" customHeight="1" x14ac:dyDescent="0.4">
      <c r="A447" s="12">
        <v>3569</v>
      </c>
      <c r="B447" s="21" t="s">
        <v>2756</v>
      </c>
      <c r="C447" s="13" t="s">
        <v>2757</v>
      </c>
      <c r="D447" s="25" t="s">
        <v>2757</v>
      </c>
      <c r="E447" s="13"/>
      <c r="F447" s="41"/>
      <c r="G447" s="65" t="s">
        <v>8185</v>
      </c>
      <c r="H447" s="14" t="s">
        <v>1752</v>
      </c>
      <c r="I447" s="15">
        <v>44733</v>
      </c>
      <c r="J447" t="s">
        <v>2758</v>
      </c>
      <c r="K447" t="s">
        <v>51</v>
      </c>
      <c r="L447" t="s">
        <v>52</v>
      </c>
      <c r="M447" t="s">
        <v>53</v>
      </c>
      <c r="N447" t="s">
        <v>175</v>
      </c>
      <c r="O447" t="s">
        <v>2720</v>
      </c>
      <c r="P447" t="s">
        <v>56</v>
      </c>
      <c r="Q447" s="21" t="s">
        <v>2759</v>
      </c>
      <c r="R447" s="21"/>
      <c r="S447" t="s">
        <v>2760</v>
      </c>
      <c r="T447" t="s">
        <v>2761</v>
      </c>
      <c r="X447" t="s">
        <v>1759</v>
      </c>
      <c r="Z447" s="15"/>
      <c r="AB447">
        <v>38.512087999999999</v>
      </c>
      <c r="AC447">
        <v>-90.575698000000003</v>
      </c>
      <c r="AD447" t="s">
        <v>793</v>
      </c>
      <c r="AG447" t="s">
        <v>1715</v>
      </c>
      <c r="AH447" t="s">
        <v>63</v>
      </c>
      <c r="AI447" t="s">
        <v>2762</v>
      </c>
      <c r="AJ447">
        <v>193532</v>
      </c>
      <c r="AL447" t="s">
        <v>2763</v>
      </c>
      <c r="AM447" t="s">
        <v>2764</v>
      </c>
      <c r="AN447" t="s">
        <v>2765</v>
      </c>
      <c r="AO447" t="s">
        <v>68</v>
      </c>
      <c r="AQ447" t="s">
        <v>2766</v>
      </c>
      <c r="AR447" t="s">
        <v>2767</v>
      </c>
      <c r="AS447" t="s">
        <v>2768</v>
      </c>
      <c r="AV447" s="14" t="s">
        <v>72</v>
      </c>
      <c r="AW447" s="14" t="s">
        <v>73</v>
      </c>
      <c r="AX447" s="14" t="s">
        <v>1768</v>
      </c>
    </row>
    <row r="448" spans="1:50" ht="15" customHeight="1" x14ac:dyDescent="0.4">
      <c r="A448" s="12">
        <v>3570</v>
      </c>
      <c r="B448" s="21" t="s">
        <v>2769</v>
      </c>
      <c r="C448" s="13" t="s">
        <v>2770</v>
      </c>
      <c r="D448" s="25" t="s">
        <v>2770</v>
      </c>
      <c r="E448" s="13"/>
      <c r="F448" s="41"/>
      <c r="G448" s="65" t="s">
        <v>8178</v>
      </c>
      <c r="H448" s="14" t="s">
        <v>1829</v>
      </c>
      <c r="I448" s="15">
        <v>44733</v>
      </c>
      <c r="J448" t="s">
        <v>2758</v>
      </c>
      <c r="K448" t="s">
        <v>51</v>
      </c>
      <c r="L448" t="s">
        <v>52</v>
      </c>
      <c r="M448" t="s">
        <v>53</v>
      </c>
      <c r="N448" t="s">
        <v>175</v>
      </c>
      <c r="O448" t="s">
        <v>2720</v>
      </c>
      <c r="P448" t="s">
        <v>56</v>
      </c>
      <c r="Q448" s="21" t="s">
        <v>2759</v>
      </c>
      <c r="R448" s="21"/>
      <c r="S448" t="s">
        <v>2771</v>
      </c>
      <c r="T448" t="s">
        <v>2772</v>
      </c>
      <c r="W448" t="s">
        <v>2440</v>
      </c>
      <c r="X448" t="s">
        <v>1832</v>
      </c>
      <c r="Z448" s="15"/>
      <c r="AB448">
        <v>38.512208999999999</v>
      </c>
      <c r="AC448">
        <v>-90.576047000000003</v>
      </c>
      <c r="AD448" t="s">
        <v>2773</v>
      </c>
      <c r="AG448" t="s">
        <v>1715</v>
      </c>
      <c r="AH448" t="s">
        <v>63</v>
      </c>
      <c r="AI448" t="s">
        <v>2774</v>
      </c>
      <c r="AJ448">
        <v>194518</v>
      </c>
      <c r="AL448" t="s">
        <v>2775</v>
      </c>
      <c r="AM448" t="s">
        <v>2776</v>
      </c>
      <c r="AN448" t="s">
        <v>2777</v>
      </c>
      <c r="AO448" t="s">
        <v>68</v>
      </c>
      <c r="AQ448" t="s">
        <v>2778</v>
      </c>
      <c r="AR448" t="s">
        <v>2779</v>
      </c>
      <c r="AS448" t="s">
        <v>2780</v>
      </c>
      <c r="AV448" s="14" t="s">
        <v>72</v>
      </c>
      <c r="AW448" s="14" t="s">
        <v>73</v>
      </c>
      <c r="AX448" s="14" t="s">
        <v>74</v>
      </c>
    </row>
    <row r="449" spans="1:50" ht="15" customHeight="1" x14ac:dyDescent="0.4">
      <c r="A449" s="12">
        <v>3571</v>
      </c>
      <c r="B449" s="21" t="s">
        <v>2781</v>
      </c>
      <c r="C449" s="13" t="s">
        <v>2782</v>
      </c>
      <c r="D449" s="25" t="s">
        <v>2782</v>
      </c>
      <c r="E449" s="13"/>
      <c r="F449" s="41"/>
      <c r="G449" s="65" t="s">
        <v>8185</v>
      </c>
      <c r="H449" s="14" t="s">
        <v>1878</v>
      </c>
      <c r="I449" s="15">
        <v>44733</v>
      </c>
      <c r="J449" t="s">
        <v>2758</v>
      </c>
      <c r="K449" t="s">
        <v>51</v>
      </c>
      <c r="L449" t="s">
        <v>52</v>
      </c>
      <c r="M449" t="s">
        <v>53</v>
      </c>
      <c r="N449" t="s">
        <v>175</v>
      </c>
      <c r="O449" t="s">
        <v>2720</v>
      </c>
      <c r="P449" t="s">
        <v>56</v>
      </c>
      <c r="Q449" s="21" t="s">
        <v>2759</v>
      </c>
      <c r="R449" s="21"/>
      <c r="S449" t="s">
        <v>2783</v>
      </c>
      <c r="T449" t="s">
        <v>2784</v>
      </c>
      <c r="W449" t="s">
        <v>2440</v>
      </c>
      <c r="X449" t="s">
        <v>1881</v>
      </c>
      <c r="Z449" s="15"/>
      <c r="AB449">
        <v>38.512383999999997</v>
      </c>
      <c r="AC449">
        <v>-90.575894000000005</v>
      </c>
      <c r="AD449" t="s">
        <v>2785</v>
      </c>
      <c r="AG449" t="s">
        <v>1715</v>
      </c>
      <c r="AH449" t="s">
        <v>63</v>
      </c>
      <c r="AI449" t="s">
        <v>2786</v>
      </c>
      <c r="AJ449">
        <v>193758</v>
      </c>
      <c r="AL449" t="s">
        <v>2787</v>
      </c>
      <c r="AM449" t="s">
        <v>2788</v>
      </c>
      <c r="AN449" t="s">
        <v>2789</v>
      </c>
      <c r="AO449" t="s">
        <v>68</v>
      </c>
      <c r="AQ449" t="s">
        <v>2790</v>
      </c>
      <c r="AR449" t="s">
        <v>2791</v>
      </c>
      <c r="AS449" t="s">
        <v>2792</v>
      </c>
      <c r="AV449" s="14" t="s">
        <v>72</v>
      </c>
      <c r="AW449" s="14" t="s">
        <v>73</v>
      </c>
      <c r="AX449" s="14" t="s">
        <v>1723</v>
      </c>
    </row>
    <row r="450" spans="1:50" ht="15" customHeight="1" x14ac:dyDescent="0.4">
      <c r="A450" s="12">
        <v>3572</v>
      </c>
      <c r="B450" s="21" t="s">
        <v>2793</v>
      </c>
      <c r="C450" s="13" t="s">
        <v>2794</v>
      </c>
      <c r="D450" s="25" t="s">
        <v>2794</v>
      </c>
      <c r="E450" s="13"/>
      <c r="F450" s="41"/>
      <c r="G450" s="65" t="s">
        <v>8185</v>
      </c>
      <c r="H450" s="14" t="s">
        <v>1829</v>
      </c>
      <c r="I450" s="15">
        <v>44733</v>
      </c>
      <c r="J450" t="s">
        <v>2758</v>
      </c>
      <c r="K450" t="s">
        <v>51</v>
      </c>
      <c r="L450" t="s">
        <v>52</v>
      </c>
      <c r="M450" t="s">
        <v>53</v>
      </c>
      <c r="N450" t="s">
        <v>175</v>
      </c>
      <c r="O450" t="s">
        <v>2720</v>
      </c>
      <c r="P450" t="s">
        <v>56</v>
      </c>
      <c r="Q450" s="21" t="s">
        <v>2759</v>
      </c>
      <c r="R450" s="21"/>
      <c r="S450" t="s">
        <v>2795</v>
      </c>
      <c r="T450" t="s">
        <v>2796</v>
      </c>
      <c r="W450" t="s">
        <v>2440</v>
      </c>
      <c r="X450" t="s">
        <v>1832</v>
      </c>
      <c r="Z450" s="15"/>
      <c r="AB450">
        <v>38.512354999999999</v>
      </c>
      <c r="AC450">
        <v>-90.576186000000007</v>
      </c>
      <c r="AD450" t="s">
        <v>2785</v>
      </c>
      <c r="AG450" t="s">
        <v>1715</v>
      </c>
      <c r="AH450" t="s">
        <v>63</v>
      </c>
      <c r="AI450" t="s">
        <v>2797</v>
      </c>
      <c r="AJ450">
        <v>194519</v>
      </c>
      <c r="AL450" t="s">
        <v>2798</v>
      </c>
      <c r="AM450" t="s">
        <v>2799</v>
      </c>
      <c r="AN450" t="s">
        <v>2800</v>
      </c>
      <c r="AO450" t="s">
        <v>68</v>
      </c>
      <c r="AQ450" t="s">
        <v>2801</v>
      </c>
      <c r="AR450" t="s">
        <v>2802</v>
      </c>
      <c r="AS450" t="s">
        <v>2803</v>
      </c>
      <c r="AV450" s="14" t="s">
        <v>72</v>
      </c>
      <c r="AW450" s="14" t="s">
        <v>73</v>
      </c>
      <c r="AX450" s="14" t="s">
        <v>74</v>
      </c>
    </row>
    <row r="451" spans="1:50" ht="15" customHeight="1" x14ac:dyDescent="0.4">
      <c r="A451" s="12">
        <v>3573</v>
      </c>
      <c r="B451" s="21" t="s">
        <v>2804</v>
      </c>
      <c r="C451" s="13" t="s">
        <v>2805</v>
      </c>
      <c r="D451" s="25" t="s">
        <v>2805</v>
      </c>
      <c r="E451" s="13"/>
      <c r="F451" s="41"/>
      <c r="G451" s="65" t="s">
        <v>8185</v>
      </c>
      <c r="H451" s="14" t="s">
        <v>1878</v>
      </c>
      <c r="I451" s="15">
        <v>44733</v>
      </c>
      <c r="J451" t="s">
        <v>2758</v>
      </c>
      <c r="K451" t="s">
        <v>51</v>
      </c>
      <c r="L451" t="s">
        <v>52</v>
      </c>
      <c r="M451" t="s">
        <v>53</v>
      </c>
      <c r="N451" t="s">
        <v>175</v>
      </c>
      <c r="O451" t="s">
        <v>2720</v>
      </c>
      <c r="P451" t="s">
        <v>56</v>
      </c>
      <c r="Q451" s="21" t="s">
        <v>2759</v>
      </c>
      <c r="R451" s="21"/>
      <c r="S451" t="s">
        <v>2806</v>
      </c>
      <c r="T451" t="s">
        <v>2807</v>
      </c>
      <c r="W451" t="s">
        <v>2440</v>
      </c>
      <c r="X451" t="s">
        <v>1881</v>
      </c>
      <c r="Z451" s="15"/>
      <c r="AB451">
        <v>38.512345000000003</v>
      </c>
      <c r="AC451">
        <v>-90.576353999999995</v>
      </c>
      <c r="AD451" t="s">
        <v>2808</v>
      </c>
      <c r="AG451" t="s">
        <v>1715</v>
      </c>
      <c r="AH451" t="s">
        <v>63</v>
      </c>
      <c r="AI451" t="s">
        <v>2809</v>
      </c>
      <c r="AJ451">
        <v>193759</v>
      </c>
      <c r="AL451" t="s">
        <v>2810</v>
      </c>
      <c r="AM451" t="s">
        <v>2811</v>
      </c>
      <c r="AN451" t="s">
        <v>2812</v>
      </c>
      <c r="AO451" t="s">
        <v>68</v>
      </c>
      <c r="AQ451" t="s">
        <v>2813</v>
      </c>
      <c r="AR451" t="s">
        <v>2814</v>
      </c>
      <c r="AS451" t="s">
        <v>2815</v>
      </c>
      <c r="AV451" s="14" t="s">
        <v>72</v>
      </c>
      <c r="AW451" s="14" t="s">
        <v>73</v>
      </c>
      <c r="AX451" s="14" t="s">
        <v>1723</v>
      </c>
    </row>
    <row r="452" spans="1:50" ht="15" customHeight="1" x14ac:dyDescent="0.4">
      <c r="A452" s="12">
        <v>3574</v>
      </c>
      <c r="B452" s="21" t="s">
        <v>2816</v>
      </c>
      <c r="C452" s="13" t="s">
        <v>2817</v>
      </c>
      <c r="D452" s="25" t="s">
        <v>2817</v>
      </c>
      <c r="E452" s="13"/>
      <c r="F452" s="41"/>
      <c r="G452" s="65" t="s">
        <v>8185</v>
      </c>
      <c r="H452" s="14" t="s">
        <v>1752</v>
      </c>
      <c r="I452" s="15">
        <v>44733</v>
      </c>
      <c r="J452" t="s">
        <v>2758</v>
      </c>
      <c r="K452" t="s">
        <v>51</v>
      </c>
      <c r="L452" t="s">
        <v>52</v>
      </c>
      <c r="M452" t="s">
        <v>53</v>
      </c>
      <c r="N452" t="s">
        <v>175</v>
      </c>
      <c r="O452" t="s">
        <v>2720</v>
      </c>
      <c r="P452" t="s">
        <v>56</v>
      </c>
      <c r="Q452" s="21" t="s">
        <v>2759</v>
      </c>
      <c r="R452" s="21"/>
      <c r="S452" t="s">
        <v>2818</v>
      </c>
      <c r="T452" t="s">
        <v>2819</v>
      </c>
      <c r="W452" t="s">
        <v>2820</v>
      </c>
      <c r="X452" t="s">
        <v>1759</v>
      </c>
      <c r="Z452" s="15"/>
      <c r="AB452">
        <v>38.512487</v>
      </c>
      <c r="AC452">
        <v>-90.576479000000006</v>
      </c>
      <c r="AD452" t="s">
        <v>2821</v>
      </c>
      <c r="AG452" t="s">
        <v>1715</v>
      </c>
      <c r="AH452" t="s">
        <v>63</v>
      </c>
      <c r="AI452" t="s">
        <v>2822</v>
      </c>
      <c r="AJ452">
        <v>193533</v>
      </c>
      <c r="AL452" t="s">
        <v>2823</v>
      </c>
      <c r="AM452" t="s">
        <v>2824</v>
      </c>
      <c r="AN452" t="s">
        <v>2825</v>
      </c>
      <c r="AO452" t="s">
        <v>68</v>
      </c>
      <c r="AQ452" t="s">
        <v>2826</v>
      </c>
      <c r="AR452" t="s">
        <v>2827</v>
      </c>
      <c r="AS452" t="s">
        <v>2828</v>
      </c>
      <c r="AV452" s="14" t="s">
        <v>72</v>
      </c>
      <c r="AW452" s="14" t="s">
        <v>73</v>
      </c>
      <c r="AX452" s="14" t="s">
        <v>1768</v>
      </c>
    </row>
    <row r="453" spans="1:50" ht="15" customHeight="1" x14ac:dyDescent="0.4">
      <c r="A453" s="12">
        <v>3575</v>
      </c>
      <c r="B453" s="21" t="s">
        <v>2829</v>
      </c>
      <c r="C453" s="13" t="s">
        <v>2830</v>
      </c>
      <c r="D453" s="25" t="s">
        <v>2830</v>
      </c>
      <c r="E453" s="13"/>
      <c r="F453" s="41"/>
      <c r="G453" s="65" t="s">
        <v>8185</v>
      </c>
      <c r="H453" s="14" t="s">
        <v>1829</v>
      </c>
      <c r="I453" s="15">
        <v>44733</v>
      </c>
      <c r="J453" t="s">
        <v>2758</v>
      </c>
      <c r="K453" t="s">
        <v>51</v>
      </c>
      <c r="L453" t="s">
        <v>52</v>
      </c>
      <c r="M453" t="s">
        <v>53</v>
      </c>
      <c r="N453" t="s">
        <v>175</v>
      </c>
      <c r="O453" t="s">
        <v>2720</v>
      </c>
      <c r="P453" t="s">
        <v>56</v>
      </c>
      <c r="Q453" s="21" t="s">
        <v>2759</v>
      </c>
      <c r="R453" s="21"/>
      <c r="S453" t="s">
        <v>2831</v>
      </c>
      <c r="T453" t="s">
        <v>2832</v>
      </c>
      <c r="X453" t="s">
        <v>1832</v>
      </c>
      <c r="Z453" s="15"/>
      <c r="AB453">
        <v>38.511719999999997</v>
      </c>
      <c r="AC453">
        <v>-90.575335999999993</v>
      </c>
      <c r="AD453" t="s">
        <v>1856</v>
      </c>
      <c r="AG453" t="s">
        <v>1715</v>
      </c>
      <c r="AH453" t="s">
        <v>63</v>
      </c>
      <c r="AI453" t="s">
        <v>2833</v>
      </c>
      <c r="AJ453">
        <v>194520</v>
      </c>
      <c r="AL453" t="s">
        <v>2834</v>
      </c>
      <c r="AM453" t="s">
        <v>2835</v>
      </c>
      <c r="AN453" t="s">
        <v>2836</v>
      </c>
      <c r="AO453" t="s">
        <v>68</v>
      </c>
      <c r="AQ453" t="s">
        <v>2837</v>
      </c>
      <c r="AR453" t="s">
        <v>2838</v>
      </c>
      <c r="AS453" t="s">
        <v>2839</v>
      </c>
      <c r="AV453" s="14" t="s">
        <v>72</v>
      </c>
      <c r="AW453" s="14" t="s">
        <v>73</v>
      </c>
      <c r="AX453" s="14" t="s">
        <v>74</v>
      </c>
    </row>
    <row r="454" spans="1:50" ht="15" customHeight="1" x14ac:dyDescent="0.4">
      <c r="A454" s="12">
        <v>3576</v>
      </c>
      <c r="B454" s="21" t="s">
        <v>2840</v>
      </c>
      <c r="C454" s="13" t="s">
        <v>2841</v>
      </c>
      <c r="D454" s="25" t="s">
        <v>2841</v>
      </c>
      <c r="E454" s="13"/>
      <c r="F454" s="41"/>
      <c r="G454" s="65" t="s">
        <v>8185</v>
      </c>
      <c r="H454" s="14" t="s">
        <v>1829</v>
      </c>
      <c r="I454" s="15">
        <v>44733</v>
      </c>
      <c r="J454" t="s">
        <v>2758</v>
      </c>
      <c r="K454" t="s">
        <v>51</v>
      </c>
      <c r="L454" t="s">
        <v>52</v>
      </c>
      <c r="M454" t="s">
        <v>53</v>
      </c>
      <c r="N454" t="s">
        <v>175</v>
      </c>
      <c r="O454" t="s">
        <v>2720</v>
      </c>
      <c r="P454" t="s">
        <v>56</v>
      </c>
      <c r="Q454" s="21" t="s">
        <v>2759</v>
      </c>
      <c r="R454" s="21"/>
      <c r="S454" t="s">
        <v>2842</v>
      </c>
      <c r="T454" t="s">
        <v>2843</v>
      </c>
      <c r="W454" t="s">
        <v>2440</v>
      </c>
      <c r="X454" t="s">
        <v>1832</v>
      </c>
      <c r="Z454" s="15"/>
      <c r="AB454">
        <v>38.511583999999999</v>
      </c>
      <c r="AC454">
        <v>-90.574960000000004</v>
      </c>
      <c r="AD454" t="s">
        <v>1856</v>
      </c>
      <c r="AG454" t="s">
        <v>1715</v>
      </c>
      <c r="AH454" t="s">
        <v>63</v>
      </c>
      <c r="AI454" t="s">
        <v>2844</v>
      </c>
      <c r="AJ454">
        <v>194423</v>
      </c>
      <c r="AL454" t="s">
        <v>2845</v>
      </c>
      <c r="AM454" t="s">
        <v>2846</v>
      </c>
      <c r="AN454" t="s">
        <v>2847</v>
      </c>
      <c r="AO454" t="s">
        <v>68</v>
      </c>
      <c r="AQ454" t="s">
        <v>2848</v>
      </c>
      <c r="AR454" t="s">
        <v>2849</v>
      </c>
      <c r="AS454" t="s">
        <v>2850</v>
      </c>
      <c r="AV454" s="14" t="s">
        <v>72</v>
      </c>
      <c r="AW454" s="14" t="s">
        <v>73</v>
      </c>
      <c r="AX454" s="14" t="s">
        <v>74</v>
      </c>
    </row>
    <row r="455" spans="1:50" ht="15" customHeight="1" x14ac:dyDescent="0.4">
      <c r="A455" s="12">
        <v>3577</v>
      </c>
      <c r="B455" s="21" t="s">
        <v>2851</v>
      </c>
      <c r="C455" s="13" t="s">
        <v>2852</v>
      </c>
      <c r="D455" s="25" t="s">
        <v>2852</v>
      </c>
      <c r="E455" s="13"/>
      <c r="F455" s="41"/>
      <c r="G455" s="65" t="s">
        <v>8185</v>
      </c>
      <c r="H455" s="14" t="s">
        <v>1752</v>
      </c>
      <c r="I455" s="15">
        <v>44733</v>
      </c>
      <c r="J455" t="s">
        <v>2758</v>
      </c>
      <c r="K455" t="s">
        <v>51</v>
      </c>
      <c r="L455" t="s">
        <v>52</v>
      </c>
      <c r="M455" t="s">
        <v>53</v>
      </c>
      <c r="N455" t="s">
        <v>175</v>
      </c>
      <c r="O455" t="s">
        <v>2720</v>
      </c>
      <c r="P455" t="s">
        <v>56</v>
      </c>
      <c r="Q455" s="21" t="s">
        <v>2759</v>
      </c>
      <c r="R455" s="21"/>
      <c r="S455" t="s">
        <v>2853</v>
      </c>
      <c r="T455" t="s">
        <v>2854</v>
      </c>
      <c r="W455" t="s">
        <v>2440</v>
      </c>
      <c r="X455" t="s">
        <v>1759</v>
      </c>
      <c r="Z455" s="15"/>
      <c r="AB455">
        <v>38.513753000000001</v>
      </c>
      <c r="AC455">
        <v>-90.557106000000005</v>
      </c>
      <c r="AD455" t="s">
        <v>2855</v>
      </c>
      <c r="AG455" t="s">
        <v>1715</v>
      </c>
      <c r="AH455" t="s">
        <v>63</v>
      </c>
      <c r="AI455" t="s">
        <v>2856</v>
      </c>
      <c r="AJ455">
        <v>193534</v>
      </c>
      <c r="AL455" t="s">
        <v>2857</v>
      </c>
      <c r="AM455" t="s">
        <v>2858</v>
      </c>
      <c r="AN455" t="s">
        <v>2859</v>
      </c>
      <c r="AO455" t="s">
        <v>68</v>
      </c>
      <c r="AQ455" t="s">
        <v>2860</v>
      </c>
      <c r="AR455" t="s">
        <v>2861</v>
      </c>
      <c r="AS455" t="s">
        <v>2862</v>
      </c>
      <c r="AV455" s="14" t="s">
        <v>72</v>
      </c>
      <c r="AW455" s="14" t="s">
        <v>73</v>
      </c>
      <c r="AX455" s="14" t="s">
        <v>1768</v>
      </c>
    </row>
    <row r="456" spans="1:50" ht="15" customHeight="1" x14ac:dyDescent="0.4">
      <c r="A456" s="12">
        <v>3578</v>
      </c>
      <c r="B456" s="21" t="s">
        <v>2863</v>
      </c>
      <c r="C456" s="13" t="s">
        <v>2864</v>
      </c>
      <c r="D456" s="25" t="s">
        <v>2864</v>
      </c>
      <c r="E456" s="13"/>
      <c r="F456" s="41"/>
      <c r="G456" s="65" t="s">
        <v>8185</v>
      </c>
      <c r="H456" s="14" t="s">
        <v>1752</v>
      </c>
      <c r="I456" s="15">
        <v>44733</v>
      </c>
      <c r="J456" t="s">
        <v>2758</v>
      </c>
      <c r="K456" t="s">
        <v>51</v>
      </c>
      <c r="L456" t="s">
        <v>52</v>
      </c>
      <c r="M456" t="s">
        <v>53</v>
      </c>
      <c r="N456" t="s">
        <v>175</v>
      </c>
      <c r="O456" t="s">
        <v>2720</v>
      </c>
      <c r="P456" t="s">
        <v>56</v>
      </c>
      <c r="Q456" s="21" t="s">
        <v>2759</v>
      </c>
      <c r="R456" s="21"/>
      <c r="S456" t="s">
        <v>2865</v>
      </c>
      <c r="T456" t="s">
        <v>2866</v>
      </c>
      <c r="W456" t="s">
        <v>2440</v>
      </c>
      <c r="X456" t="s">
        <v>1759</v>
      </c>
      <c r="Z456" s="15"/>
      <c r="AB456">
        <v>38.514397000000002</v>
      </c>
      <c r="AC456">
        <v>-90.555689000000001</v>
      </c>
      <c r="AD456" t="s">
        <v>491</v>
      </c>
      <c r="AG456" t="s">
        <v>1715</v>
      </c>
      <c r="AH456" t="s">
        <v>63</v>
      </c>
      <c r="AI456" t="s">
        <v>2867</v>
      </c>
      <c r="AJ456">
        <v>193535</v>
      </c>
      <c r="AL456" t="s">
        <v>2868</v>
      </c>
      <c r="AM456" t="s">
        <v>2869</v>
      </c>
      <c r="AN456" t="s">
        <v>2870</v>
      </c>
      <c r="AO456" t="s">
        <v>68</v>
      </c>
      <c r="AQ456" t="s">
        <v>2871</v>
      </c>
      <c r="AR456" t="s">
        <v>2872</v>
      </c>
      <c r="AS456" t="s">
        <v>2873</v>
      </c>
      <c r="AV456" s="14" t="s">
        <v>72</v>
      </c>
      <c r="AW456" s="14" t="s">
        <v>73</v>
      </c>
      <c r="AX456" s="14" t="s">
        <v>1768</v>
      </c>
    </row>
    <row r="457" spans="1:50" ht="15" customHeight="1" x14ac:dyDescent="0.4">
      <c r="A457" s="12">
        <v>3579</v>
      </c>
      <c r="B457" s="21" t="s">
        <v>2874</v>
      </c>
      <c r="C457" s="13" t="s">
        <v>2875</v>
      </c>
      <c r="D457" s="25" t="s">
        <v>2875</v>
      </c>
      <c r="E457" s="13"/>
      <c r="F457" s="41"/>
      <c r="G457" s="65" t="s">
        <v>8185</v>
      </c>
      <c r="H457" s="14" t="s">
        <v>1829</v>
      </c>
      <c r="I457" s="15">
        <v>44733</v>
      </c>
      <c r="J457" t="s">
        <v>2758</v>
      </c>
      <c r="K457" t="s">
        <v>51</v>
      </c>
      <c r="L457" t="s">
        <v>52</v>
      </c>
      <c r="M457" t="s">
        <v>53</v>
      </c>
      <c r="N457" t="s">
        <v>175</v>
      </c>
      <c r="O457" t="s">
        <v>2720</v>
      </c>
      <c r="P457" t="s">
        <v>56</v>
      </c>
      <c r="Q457" s="21" t="s">
        <v>2759</v>
      </c>
      <c r="R457" s="21"/>
      <c r="S457" t="s">
        <v>2876</v>
      </c>
      <c r="T457" t="s">
        <v>2877</v>
      </c>
      <c r="X457" t="s">
        <v>1832</v>
      </c>
      <c r="Z457" s="15"/>
      <c r="AB457">
        <v>38.514482999999998</v>
      </c>
      <c r="AC457">
        <v>-90.555689000000001</v>
      </c>
      <c r="AD457" t="s">
        <v>2878</v>
      </c>
      <c r="AG457" t="s">
        <v>1715</v>
      </c>
      <c r="AH457" t="s">
        <v>63</v>
      </c>
      <c r="AI457" t="s">
        <v>2879</v>
      </c>
      <c r="AJ457">
        <v>194424</v>
      </c>
      <c r="AL457" t="s">
        <v>2880</v>
      </c>
      <c r="AM457" t="s">
        <v>2881</v>
      </c>
      <c r="AN457" t="s">
        <v>2882</v>
      </c>
      <c r="AO457" t="s">
        <v>68</v>
      </c>
      <c r="AQ457" t="s">
        <v>2883</v>
      </c>
      <c r="AR457" t="s">
        <v>2884</v>
      </c>
      <c r="AS457" t="s">
        <v>2885</v>
      </c>
      <c r="AV457" s="14" t="s">
        <v>72</v>
      </c>
      <c r="AW457" s="14" t="s">
        <v>73</v>
      </c>
      <c r="AX457" s="14" t="s">
        <v>74</v>
      </c>
    </row>
    <row r="458" spans="1:50" ht="15" customHeight="1" x14ac:dyDescent="0.4">
      <c r="A458" s="12">
        <v>3580</v>
      </c>
      <c r="B458" s="21" t="s">
        <v>2886</v>
      </c>
      <c r="C458" s="13" t="s">
        <v>2887</v>
      </c>
      <c r="D458" s="25" t="s">
        <v>2887</v>
      </c>
      <c r="E458" s="13"/>
      <c r="F458" s="41"/>
      <c r="G458" s="65" t="s">
        <v>8185</v>
      </c>
      <c r="H458" s="14" t="s">
        <v>1878</v>
      </c>
      <c r="I458" s="15">
        <v>44733</v>
      </c>
      <c r="J458" t="s">
        <v>2758</v>
      </c>
      <c r="K458" t="s">
        <v>51</v>
      </c>
      <c r="L458" t="s">
        <v>52</v>
      </c>
      <c r="M458" t="s">
        <v>53</v>
      </c>
      <c r="N458" t="s">
        <v>175</v>
      </c>
      <c r="O458" t="s">
        <v>2720</v>
      </c>
      <c r="P458" t="s">
        <v>56</v>
      </c>
      <c r="Q458" s="21" t="s">
        <v>2759</v>
      </c>
      <c r="R458" s="21"/>
      <c r="S458" t="s">
        <v>2888</v>
      </c>
      <c r="T458" t="s">
        <v>2889</v>
      </c>
      <c r="W458" t="s">
        <v>2440</v>
      </c>
      <c r="X458" t="s">
        <v>1881</v>
      </c>
      <c r="Z458" s="15"/>
      <c r="AB458">
        <v>38.51341</v>
      </c>
      <c r="AC458">
        <v>-90.557620999999997</v>
      </c>
      <c r="AD458" t="s">
        <v>2890</v>
      </c>
      <c r="AG458" t="s">
        <v>1715</v>
      </c>
      <c r="AH458" t="s">
        <v>63</v>
      </c>
      <c r="AI458" t="s">
        <v>2891</v>
      </c>
      <c r="AJ458">
        <v>193912</v>
      </c>
      <c r="AL458" t="s">
        <v>2892</v>
      </c>
      <c r="AM458" t="s">
        <v>2893</v>
      </c>
      <c r="AN458" t="s">
        <v>2894</v>
      </c>
      <c r="AO458" t="s">
        <v>68</v>
      </c>
      <c r="AQ458" t="s">
        <v>2895</v>
      </c>
      <c r="AR458" t="s">
        <v>2896</v>
      </c>
      <c r="AS458" t="s">
        <v>2897</v>
      </c>
      <c r="AV458" s="14" t="s">
        <v>72</v>
      </c>
      <c r="AW458" s="14" t="s">
        <v>73</v>
      </c>
      <c r="AX458" s="14" t="s">
        <v>1723</v>
      </c>
    </row>
    <row r="459" spans="1:50" ht="15" customHeight="1" x14ac:dyDescent="0.4">
      <c r="A459" s="12">
        <v>3581</v>
      </c>
      <c r="B459" s="21" t="s">
        <v>2898</v>
      </c>
      <c r="C459" s="13" t="s">
        <v>2899</v>
      </c>
      <c r="D459" s="25" t="s">
        <v>2899</v>
      </c>
      <c r="E459" s="13"/>
      <c r="F459" s="41"/>
      <c r="G459" s="65" t="s">
        <v>8185</v>
      </c>
      <c r="H459" s="14" t="s">
        <v>1752</v>
      </c>
      <c r="I459" s="15">
        <v>44733</v>
      </c>
      <c r="J459" t="s">
        <v>2758</v>
      </c>
      <c r="K459" t="s">
        <v>51</v>
      </c>
      <c r="L459" t="s">
        <v>52</v>
      </c>
      <c r="M459" t="s">
        <v>53</v>
      </c>
      <c r="N459" t="s">
        <v>175</v>
      </c>
      <c r="O459" t="s">
        <v>2720</v>
      </c>
      <c r="P459" t="s">
        <v>56</v>
      </c>
      <c r="Q459" s="21" t="s">
        <v>2759</v>
      </c>
      <c r="R459" s="21"/>
      <c r="S459" t="s">
        <v>2900</v>
      </c>
      <c r="T459" t="s">
        <v>2901</v>
      </c>
      <c r="W459" t="s">
        <v>2440</v>
      </c>
      <c r="X459" t="s">
        <v>1759</v>
      </c>
      <c r="Z459" s="15"/>
      <c r="AB459">
        <v>38.512873999999996</v>
      </c>
      <c r="AC459">
        <v>-90.557406</v>
      </c>
      <c r="AD459" t="s">
        <v>2902</v>
      </c>
      <c r="AG459" t="s">
        <v>1715</v>
      </c>
      <c r="AH459" t="s">
        <v>63</v>
      </c>
      <c r="AI459" t="s">
        <v>2903</v>
      </c>
      <c r="AJ459">
        <v>193536</v>
      </c>
      <c r="AL459" t="s">
        <v>2904</v>
      </c>
      <c r="AM459" t="s">
        <v>2905</v>
      </c>
      <c r="AN459" t="s">
        <v>2906</v>
      </c>
      <c r="AO459" t="s">
        <v>68</v>
      </c>
      <c r="AQ459" t="s">
        <v>2907</v>
      </c>
      <c r="AR459" t="s">
        <v>2908</v>
      </c>
      <c r="AS459" t="s">
        <v>2909</v>
      </c>
      <c r="AV459" s="14" t="s">
        <v>72</v>
      </c>
      <c r="AW459" s="14" t="s">
        <v>73</v>
      </c>
      <c r="AX459" s="14" t="s">
        <v>1768</v>
      </c>
    </row>
    <row r="460" spans="1:50" ht="15" customHeight="1" x14ac:dyDescent="0.4">
      <c r="A460" s="12">
        <v>3582</v>
      </c>
      <c r="B460" s="21" t="s">
        <v>2910</v>
      </c>
      <c r="C460" s="13" t="s">
        <v>2911</v>
      </c>
      <c r="D460" s="25" t="s">
        <v>2911</v>
      </c>
      <c r="E460" s="13"/>
      <c r="F460" s="41"/>
      <c r="G460" s="65" t="s">
        <v>8185</v>
      </c>
      <c r="H460" s="14" t="s">
        <v>1878</v>
      </c>
      <c r="I460" s="15">
        <v>44733</v>
      </c>
      <c r="J460" t="s">
        <v>2758</v>
      </c>
      <c r="K460" t="s">
        <v>51</v>
      </c>
      <c r="L460" t="s">
        <v>52</v>
      </c>
      <c r="M460" t="s">
        <v>53</v>
      </c>
      <c r="N460" t="s">
        <v>175</v>
      </c>
      <c r="O460" t="s">
        <v>2720</v>
      </c>
      <c r="P460" t="s">
        <v>56</v>
      </c>
      <c r="Q460" s="21" t="s">
        <v>2759</v>
      </c>
      <c r="R460" s="21"/>
      <c r="S460" t="s">
        <v>2912</v>
      </c>
      <c r="T460" t="s">
        <v>2913</v>
      </c>
      <c r="W460" t="s">
        <v>2440</v>
      </c>
      <c r="X460" t="s">
        <v>1881</v>
      </c>
      <c r="Z460" s="15"/>
      <c r="AB460">
        <v>38.512509000000001</v>
      </c>
      <c r="AC460">
        <v>-90.557449000000005</v>
      </c>
      <c r="AD460" t="s">
        <v>2914</v>
      </c>
      <c r="AG460" t="s">
        <v>1715</v>
      </c>
      <c r="AH460" t="s">
        <v>63</v>
      </c>
      <c r="AI460" t="s">
        <v>2915</v>
      </c>
      <c r="AJ460">
        <v>193913</v>
      </c>
      <c r="AL460" t="s">
        <v>2916</v>
      </c>
      <c r="AM460" t="s">
        <v>2917</v>
      </c>
      <c r="AN460" t="s">
        <v>2918</v>
      </c>
      <c r="AO460" t="s">
        <v>68</v>
      </c>
      <c r="AQ460" t="s">
        <v>2919</v>
      </c>
      <c r="AR460" t="s">
        <v>2920</v>
      </c>
      <c r="AS460" t="s">
        <v>2921</v>
      </c>
      <c r="AV460" s="14" t="s">
        <v>72</v>
      </c>
      <c r="AW460" s="14" t="s">
        <v>73</v>
      </c>
      <c r="AX460" s="14" t="s">
        <v>1723</v>
      </c>
    </row>
    <row r="461" spans="1:50" ht="15" customHeight="1" x14ac:dyDescent="0.4">
      <c r="A461" s="12">
        <v>3583</v>
      </c>
      <c r="B461" s="21" t="s">
        <v>2922</v>
      </c>
      <c r="C461" s="13" t="s">
        <v>2923</v>
      </c>
      <c r="D461" s="25" t="s">
        <v>2923</v>
      </c>
      <c r="E461" s="13"/>
      <c r="F461" s="41"/>
      <c r="G461" s="65" t="s">
        <v>8185</v>
      </c>
      <c r="H461" s="14" t="s">
        <v>1878</v>
      </c>
      <c r="I461" s="15">
        <v>44733</v>
      </c>
      <c r="J461" t="s">
        <v>2758</v>
      </c>
      <c r="K461" t="s">
        <v>51</v>
      </c>
      <c r="L461" t="s">
        <v>52</v>
      </c>
      <c r="M461" t="s">
        <v>53</v>
      </c>
      <c r="N461" t="s">
        <v>175</v>
      </c>
      <c r="O461" t="s">
        <v>2720</v>
      </c>
      <c r="P461" t="s">
        <v>56</v>
      </c>
      <c r="Q461" s="21" t="s">
        <v>2759</v>
      </c>
      <c r="R461" s="21"/>
      <c r="S461" t="s">
        <v>2924</v>
      </c>
      <c r="T461" t="s">
        <v>2925</v>
      </c>
      <c r="W461" t="s">
        <v>2440</v>
      </c>
      <c r="X461" t="s">
        <v>1881</v>
      </c>
      <c r="Z461" s="15"/>
      <c r="AB461">
        <v>38.511951000000003</v>
      </c>
      <c r="AC461">
        <v>-90.558586000000005</v>
      </c>
      <c r="AD461" t="s">
        <v>2926</v>
      </c>
      <c r="AG461" t="s">
        <v>1715</v>
      </c>
      <c r="AH461" t="s">
        <v>63</v>
      </c>
      <c r="AI461" t="s">
        <v>2927</v>
      </c>
      <c r="AJ461">
        <v>193914</v>
      </c>
      <c r="AL461" t="s">
        <v>2928</v>
      </c>
      <c r="AM461" t="s">
        <v>2929</v>
      </c>
      <c r="AN461" t="s">
        <v>2930</v>
      </c>
      <c r="AO461" t="s">
        <v>68</v>
      </c>
      <c r="AQ461" t="s">
        <v>2931</v>
      </c>
      <c r="AR461" t="s">
        <v>2932</v>
      </c>
      <c r="AS461" t="s">
        <v>2933</v>
      </c>
      <c r="AV461" s="14" t="s">
        <v>72</v>
      </c>
      <c r="AW461" s="14" t="s">
        <v>73</v>
      </c>
      <c r="AX461" s="14" t="s">
        <v>1723</v>
      </c>
    </row>
    <row r="462" spans="1:50" ht="15" customHeight="1" x14ac:dyDescent="0.4">
      <c r="A462" s="12">
        <v>1929</v>
      </c>
      <c r="B462" t="s">
        <v>172</v>
      </c>
      <c r="D462" t="s">
        <v>173</v>
      </c>
      <c r="E462" s="13"/>
      <c r="F462" s="41"/>
      <c r="G462" s="65" t="s">
        <v>8185</v>
      </c>
      <c r="H462" s="14" t="s">
        <v>49</v>
      </c>
      <c r="I462" s="15">
        <v>42909</v>
      </c>
      <c r="J462" t="s">
        <v>174</v>
      </c>
      <c r="K462" t="s">
        <v>51</v>
      </c>
      <c r="L462" t="s">
        <v>52</v>
      </c>
      <c r="M462" t="s">
        <v>53</v>
      </c>
      <c r="N462" t="s">
        <v>175</v>
      </c>
      <c r="O462" t="s">
        <v>176</v>
      </c>
      <c r="P462" t="s">
        <v>56</v>
      </c>
      <c r="Q462" t="s">
        <v>177</v>
      </c>
      <c r="R462" s="16" t="s">
        <v>178</v>
      </c>
      <c r="S462" t="s">
        <v>179</v>
      </c>
      <c r="X462" t="s">
        <v>180</v>
      </c>
      <c r="Y462" t="s">
        <v>79</v>
      </c>
      <c r="Z462" s="15">
        <v>45597</v>
      </c>
      <c r="AA462" t="s">
        <v>48</v>
      </c>
      <c r="AB462" s="17"/>
      <c r="AC462" s="17"/>
      <c r="AD462">
        <v>320</v>
      </c>
      <c r="AF462" t="s">
        <v>181</v>
      </c>
      <c r="AG462" t="s">
        <v>62</v>
      </c>
      <c r="AH462" t="s">
        <v>63</v>
      </c>
      <c r="AI462" t="s">
        <v>182</v>
      </c>
      <c r="AJ462">
        <v>184694</v>
      </c>
      <c r="AL462" t="s">
        <v>183</v>
      </c>
      <c r="AM462" t="s">
        <v>184</v>
      </c>
      <c r="AN462" t="s">
        <v>185</v>
      </c>
      <c r="AO462" t="s">
        <v>68</v>
      </c>
      <c r="AQ462" t="s">
        <v>186</v>
      </c>
      <c r="AR462" t="s">
        <v>187</v>
      </c>
      <c r="AS462" t="s">
        <v>188</v>
      </c>
      <c r="AT462" s="31" t="s">
        <v>189</v>
      </c>
      <c r="AU462" s="31" t="s">
        <v>85</v>
      </c>
      <c r="AV462" s="14" t="s">
        <v>72</v>
      </c>
      <c r="AW462" s="14" t="s">
        <v>73</v>
      </c>
      <c r="AX462" s="14" t="s">
        <v>74</v>
      </c>
    </row>
    <row r="463" spans="1:50" ht="15" customHeight="1" x14ac:dyDescent="0.4">
      <c r="A463" s="12">
        <v>1931</v>
      </c>
      <c r="B463" t="s">
        <v>190</v>
      </c>
      <c r="D463" t="s">
        <v>191</v>
      </c>
      <c r="E463" s="13"/>
      <c r="F463" s="41"/>
      <c r="G463" s="65" t="s">
        <v>8185</v>
      </c>
      <c r="H463" s="14" t="s">
        <v>49</v>
      </c>
      <c r="I463" s="15">
        <v>42909</v>
      </c>
      <c r="J463" t="s">
        <v>174</v>
      </c>
      <c r="K463" t="s">
        <v>51</v>
      </c>
      <c r="L463" t="s">
        <v>52</v>
      </c>
      <c r="M463" t="s">
        <v>53</v>
      </c>
      <c r="N463" t="s">
        <v>175</v>
      </c>
      <c r="O463" t="s">
        <v>176</v>
      </c>
      <c r="P463" t="s">
        <v>56</v>
      </c>
      <c r="Q463" t="s">
        <v>177</v>
      </c>
      <c r="R463" s="16" t="s">
        <v>178</v>
      </c>
      <c r="S463" t="s">
        <v>179</v>
      </c>
      <c r="X463" t="s">
        <v>192</v>
      </c>
      <c r="Z463" s="15"/>
      <c r="AB463" s="17">
        <v>37.157670000000003</v>
      </c>
      <c r="AC463" s="17">
        <v>-91.364739999999998</v>
      </c>
      <c r="AD463" t="s">
        <v>193</v>
      </c>
      <c r="AG463" t="s">
        <v>62</v>
      </c>
      <c r="AH463" t="s">
        <v>63</v>
      </c>
      <c r="AI463" t="s">
        <v>194</v>
      </c>
      <c r="AJ463">
        <v>184696</v>
      </c>
      <c r="AL463" t="s">
        <v>195</v>
      </c>
      <c r="AM463" t="s">
        <v>196</v>
      </c>
      <c r="AN463" t="s">
        <v>197</v>
      </c>
      <c r="AO463" t="s">
        <v>68</v>
      </c>
      <c r="AQ463" t="s">
        <v>198</v>
      </c>
      <c r="AR463" t="s">
        <v>199</v>
      </c>
      <c r="AS463" t="s">
        <v>200</v>
      </c>
      <c r="AV463" s="14" t="s">
        <v>72</v>
      </c>
      <c r="AW463" s="14" t="s">
        <v>73</v>
      </c>
      <c r="AX463" s="14" t="s">
        <v>74</v>
      </c>
    </row>
    <row r="464" spans="1:50" ht="15" customHeight="1" x14ac:dyDescent="0.4">
      <c r="A464" s="12">
        <v>1933</v>
      </c>
      <c r="B464" t="s">
        <v>201</v>
      </c>
      <c r="D464" t="s">
        <v>202</v>
      </c>
      <c r="E464" s="13"/>
      <c r="F464" s="41"/>
      <c r="G464" s="65" t="s">
        <v>8185</v>
      </c>
      <c r="H464" s="14" t="s">
        <v>49</v>
      </c>
      <c r="I464" s="15">
        <v>42909</v>
      </c>
      <c r="J464" t="s">
        <v>174</v>
      </c>
      <c r="K464" t="s">
        <v>51</v>
      </c>
      <c r="L464" t="s">
        <v>52</v>
      </c>
      <c r="M464" t="s">
        <v>53</v>
      </c>
      <c r="N464" t="s">
        <v>175</v>
      </c>
      <c r="O464" t="s">
        <v>176</v>
      </c>
      <c r="P464" t="s">
        <v>56</v>
      </c>
      <c r="Q464" t="s">
        <v>177</v>
      </c>
      <c r="R464" s="16" t="s">
        <v>178</v>
      </c>
      <c r="S464" t="s">
        <v>179</v>
      </c>
      <c r="X464" t="s">
        <v>78</v>
      </c>
      <c r="Y464" t="s">
        <v>79</v>
      </c>
      <c r="Z464" s="15">
        <v>45597</v>
      </c>
      <c r="AA464" t="s">
        <v>48</v>
      </c>
      <c r="AB464" s="17">
        <v>37.156869999999998</v>
      </c>
      <c r="AC464" s="17">
        <v>-91.364710000000002</v>
      </c>
      <c r="AD464" t="s">
        <v>203</v>
      </c>
      <c r="AG464" t="s">
        <v>62</v>
      </c>
      <c r="AH464" t="s">
        <v>63</v>
      </c>
      <c r="AI464" t="s">
        <v>204</v>
      </c>
      <c r="AJ464">
        <v>184697</v>
      </c>
      <c r="AL464" t="s">
        <v>205</v>
      </c>
      <c r="AM464" t="s">
        <v>206</v>
      </c>
      <c r="AN464" t="s">
        <v>207</v>
      </c>
      <c r="AO464" t="s">
        <v>68</v>
      </c>
      <c r="AQ464" t="s">
        <v>208</v>
      </c>
      <c r="AR464" t="s">
        <v>209</v>
      </c>
      <c r="AS464" t="s">
        <v>210</v>
      </c>
      <c r="AT464" s="31" t="s">
        <v>211</v>
      </c>
      <c r="AU464" s="31" t="s">
        <v>85</v>
      </c>
      <c r="AV464" s="14" t="s">
        <v>72</v>
      </c>
      <c r="AW464" s="14" t="s">
        <v>73</v>
      </c>
      <c r="AX464" s="14" t="s">
        <v>74</v>
      </c>
    </row>
    <row r="465" spans="1:50" ht="15" customHeight="1" x14ac:dyDescent="0.4">
      <c r="A465" s="12">
        <v>1934</v>
      </c>
      <c r="B465" t="s">
        <v>212</v>
      </c>
      <c r="D465" t="s">
        <v>213</v>
      </c>
      <c r="E465" s="13"/>
      <c r="F465" s="41"/>
      <c r="G465" s="65" t="s">
        <v>8185</v>
      </c>
      <c r="H465" s="14" t="s">
        <v>49</v>
      </c>
      <c r="I465" s="15">
        <v>42909</v>
      </c>
      <c r="J465" t="s">
        <v>174</v>
      </c>
      <c r="K465" t="s">
        <v>51</v>
      </c>
      <c r="L465" t="s">
        <v>52</v>
      </c>
      <c r="M465" t="s">
        <v>53</v>
      </c>
      <c r="N465" t="s">
        <v>175</v>
      </c>
      <c r="O465" t="s">
        <v>176</v>
      </c>
      <c r="P465" t="s">
        <v>56</v>
      </c>
      <c r="Q465" t="s">
        <v>177</v>
      </c>
      <c r="R465" s="16" t="s">
        <v>214</v>
      </c>
      <c r="S465" t="s">
        <v>179</v>
      </c>
      <c r="X465" t="s">
        <v>60</v>
      </c>
      <c r="Z465" s="15"/>
      <c r="AB465" s="17">
        <v>37.156860000000002</v>
      </c>
      <c r="AC465" s="17">
        <v>-91.365009999999998</v>
      </c>
      <c r="AD465" t="s">
        <v>215</v>
      </c>
      <c r="AG465" t="s">
        <v>62</v>
      </c>
      <c r="AH465" t="s">
        <v>63</v>
      </c>
      <c r="AI465" t="s">
        <v>216</v>
      </c>
      <c r="AJ465">
        <v>186782</v>
      </c>
      <c r="AL465" t="s">
        <v>217</v>
      </c>
      <c r="AM465" t="s">
        <v>218</v>
      </c>
      <c r="AN465" t="s">
        <v>219</v>
      </c>
      <c r="AO465" t="s">
        <v>68</v>
      </c>
      <c r="AQ465" t="s">
        <v>220</v>
      </c>
      <c r="AR465" t="s">
        <v>221</v>
      </c>
      <c r="AS465" t="s">
        <v>222</v>
      </c>
      <c r="AV465" s="14" t="s">
        <v>72</v>
      </c>
      <c r="AW465" s="14" t="s">
        <v>73</v>
      </c>
      <c r="AX465" s="14" t="s">
        <v>74</v>
      </c>
    </row>
    <row r="466" spans="1:50" ht="15" customHeight="1" x14ac:dyDescent="0.4">
      <c r="A466" s="12">
        <v>1935</v>
      </c>
      <c r="B466" t="s">
        <v>223</v>
      </c>
      <c r="D466" t="s">
        <v>224</v>
      </c>
      <c r="E466" s="13"/>
      <c r="F466" s="41"/>
      <c r="G466" s="65" t="s">
        <v>8185</v>
      </c>
      <c r="H466" s="14" t="s">
        <v>49</v>
      </c>
      <c r="I466" s="15">
        <v>42909</v>
      </c>
      <c r="J466" t="s">
        <v>174</v>
      </c>
      <c r="K466" t="s">
        <v>51</v>
      </c>
      <c r="L466" t="s">
        <v>52</v>
      </c>
      <c r="M466" t="s">
        <v>53</v>
      </c>
      <c r="N466" t="s">
        <v>175</v>
      </c>
      <c r="O466" t="s">
        <v>176</v>
      </c>
      <c r="P466" t="s">
        <v>56</v>
      </c>
      <c r="Q466" t="s">
        <v>177</v>
      </c>
      <c r="R466" s="16" t="s">
        <v>214</v>
      </c>
      <c r="S466" t="s">
        <v>179</v>
      </c>
      <c r="X466" t="s">
        <v>60</v>
      </c>
      <c r="Z466" s="15"/>
      <c r="AB466" s="17">
        <v>37.157260000000001</v>
      </c>
      <c r="AC466" s="17">
        <v>-91.365179999999995</v>
      </c>
      <c r="AD466" t="s">
        <v>225</v>
      </c>
      <c r="AG466" t="s">
        <v>62</v>
      </c>
      <c r="AH466" t="s">
        <v>63</v>
      </c>
      <c r="AI466" t="s">
        <v>226</v>
      </c>
      <c r="AJ466">
        <v>186775</v>
      </c>
      <c r="AL466" s="20" t="s">
        <v>227</v>
      </c>
      <c r="AM466" t="s">
        <v>228</v>
      </c>
      <c r="AN466" t="s">
        <v>229</v>
      </c>
      <c r="AO466" t="s">
        <v>68</v>
      </c>
      <c r="AQ466" t="s">
        <v>230</v>
      </c>
      <c r="AR466" t="s">
        <v>231</v>
      </c>
      <c r="AS466" t="s">
        <v>232</v>
      </c>
      <c r="AV466" s="14" t="s">
        <v>72</v>
      </c>
      <c r="AW466" s="14" t="s">
        <v>73</v>
      </c>
      <c r="AX466" s="14" t="s">
        <v>74</v>
      </c>
    </row>
    <row r="467" spans="1:50" ht="15" customHeight="1" x14ac:dyDescent="0.4">
      <c r="A467" s="12">
        <v>1936</v>
      </c>
      <c r="B467" t="s">
        <v>233</v>
      </c>
      <c r="D467" t="s">
        <v>234</v>
      </c>
      <c r="E467" s="13"/>
      <c r="F467" s="41"/>
      <c r="G467" s="65" t="s">
        <v>8185</v>
      </c>
      <c r="H467" s="14" t="s">
        <v>49</v>
      </c>
      <c r="I467" s="15">
        <v>42909</v>
      </c>
      <c r="J467" t="s">
        <v>174</v>
      </c>
      <c r="K467" t="s">
        <v>51</v>
      </c>
      <c r="L467" t="s">
        <v>52</v>
      </c>
      <c r="M467" t="s">
        <v>53</v>
      </c>
      <c r="N467" t="s">
        <v>175</v>
      </c>
      <c r="O467" t="s">
        <v>176</v>
      </c>
      <c r="P467" t="s">
        <v>56</v>
      </c>
      <c r="Q467" t="s">
        <v>177</v>
      </c>
      <c r="R467" s="16" t="s">
        <v>178</v>
      </c>
      <c r="S467" t="s">
        <v>179</v>
      </c>
      <c r="X467" t="s">
        <v>78</v>
      </c>
      <c r="Y467" t="s">
        <v>79</v>
      </c>
      <c r="Z467" s="15">
        <v>45597</v>
      </c>
      <c r="AA467" t="s">
        <v>48</v>
      </c>
      <c r="AB467" s="17">
        <v>37.157580000000003</v>
      </c>
      <c r="AC467" s="17">
        <v>-91.365129999999994</v>
      </c>
      <c r="AD467" t="s">
        <v>235</v>
      </c>
      <c r="AG467" t="s">
        <v>62</v>
      </c>
      <c r="AH467" t="s">
        <v>63</v>
      </c>
      <c r="AI467" t="s">
        <v>236</v>
      </c>
      <c r="AJ467">
        <v>184698</v>
      </c>
      <c r="AL467" t="s">
        <v>237</v>
      </c>
      <c r="AM467" t="s">
        <v>238</v>
      </c>
      <c r="AN467" t="s">
        <v>239</v>
      </c>
      <c r="AO467" t="s">
        <v>68</v>
      </c>
      <c r="AQ467" t="s">
        <v>240</v>
      </c>
      <c r="AR467" t="s">
        <v>241</v>
      </c>
      <c r="AS467" t="s">
        <v>242</v>
      </c>
      <c r="AT467" s="31" t="s">
        <v>243</v>
      </c>
      <c r="AU467" s="31" t="s">
        <v>85</v>
      </c>
      <c r="AV467" s="14" t="s">
        <v>72</v>
      </c>
      <c r="AW467" s="14" t="s">
        <v>73</v>
      </c>
      <c r="AX467" s="14" t="s">
        <v>74</v>
      </c>
    </row>
    <row r="468" spans="1:50" ht="15" customHeight="1" x14ac:dyDescent="0.4">
      <c r="A468" s="12">
        <v>3860</v>
      </c>
      <c r="B468" s="21" t="s">
        <v>6188</v>
      </c>
      <c r="C468" s="13" t="s">
        <v>6189</v>
      </c>
      <c r="D468" s="25" t="s">
        <v>6189</v>
      </c>
      <c r="E468" s="13"/>
      <c r="F468" s="41"/>
      <c r="G468" s="65" t="s">
        <v>8185</v>
      </c>
      <c r="H468" s="14" t="s">
        <v>1878</v>
      </c>
      <c r="I468" s="15">
        <v>44792</v>
      </c>
      <c r="J468" t="s">
        <v>2719</v>
      </c>
      <c r="K468" t="s">
        <v>51</v>
      </c>
      <c r="L468" t="s">
        <v>52</v>
      </c>
      <c r="M468" t="s">
        <v>53</v>
      </c>
      <c r="N468" t="s">
        <v>5591</v>
      </c>
      <c r="O468" t="s">
        <v>6176</v>
      </c>
      <c r="P468" t="s">
        <v>56</v>
      </c>
      <c r="Q468" s="21" t="s">
        <v>6177</v>
      </c>
      <c r="R468" s="21"/>
      <c r="S468" t="s">
        <v>6190</v>
      </c>
      <c r="T468" t="s">
        <v>6191</v>
      </c>
      <c r="X468" t="s">
        <v>1881</v>
      </c>
      <c r="Z468" s="15"/>
      <c r="AB468">
        <v>42.720314000000002</v>
      </c>
      <c r="AC468">
        <v>-73.858947999999998</v>
      </c>
      <c r="AD468" t="s">
        <v>6192</v>
      </c>
      <c r="AG468" t="s">
        <v>1715</v>
      </c>
      <c r="AH468" t="s">
        <v>63</v>
      </c>
      <c r="AI468" t="s">
        <v>6193</v>
      </c>
      <c r="AJ468">
        <v>193949</v>
      </c>
      <c r="AL468" t="s">
        <v>6194</v>
      </c>
      <c r="AM468" t="s">
        <v>6195</v>
      </c>
      <c r="AN468" t="s">
        <v>6196</v>
      </c>
      <c r="AO468" t="s">
        <v>68</v>
      </c>
      <c r="AQ468" t="s">
        <v>6197</v>
      </c>
      <c r="AR468" t="s">
        <v>6198</v>
      </c>
      <c r="AS468" t="s">
        <v>6199</v>
      </c>
      <c r="AV468" s="14" t="s">
        <v>72</v>
      </c>
      <c r="AW468" s="14" t="s">
        <v>73</v>
      </c>
      <c r="AX468" s="14" t="s">
        <v>1723</v>
      </c>
    </row>
    <row r="469" spans="1:50" ht="15" customHeight="1" x14ac:dyDescent="0.4">
      <c r="A469" s="12">
        <v>3859</v>
      </c>
      <c r="B469" s="21" t="s">
        <v>6174</v>
      </c>
      <c r="C469" s="13" t="s">
        <v>6175</v>
      </c>
      <c r="D469" s="25" t="s">
        <v>6175</v>
      </c>
      <c r="E469" s="13"/>
      <c r="F469" s="41"/>
      <c r="G469" s="65" t="s">
        <v>8149</v>
      </c>
      <c r="H469" s="14" t="s">
        <v>3090</v>
      </c>
      <c r="I469" s="15">
        <v>44792</v>
      </c>
      <c r="J469" t="s">
        <v>2719</v>
      </c>
      <c r="K469" t="s">
        <v>51</v>
      </c>
      <c r="L469" t="s">
        <v>52</v>
      </c>
      <c r="M469" t="s">
        <v>53</v>
      </c>
      <c r="N469" t="s">
        <v>5591</v>
      </c>
      <c r="O469" t="s">
        <v>6176</v>
      </c>
      <c r="P469" t="s">
        <v>56</v>
      </c>
      <c r="Q469" s="21" t="s">
        <v>6177</v>
      </c>
      <c r="R469" s="21"/>
      <c r="S469" t="s">
        <v>6178</v>
      </c>
      <c r="T469" t="s">
        <v>6179</v>
      </c>
      <c r="X469" t="s">
        <v>3096</v>
      </c>
      <c r="Z469" s="15"/>
      <c r="AB469">
        <v>42.719489000000003</v>
      </c>
      <c r="AC469">
        <v>-73.860055000000003</v>
      </c>
      <c r="AD469" t="s">
        <v>6180</v>
      </c>
      <c r="AG469" t="s">
        <v>1715</v>
      </c>
      <c r="AH469" t="s">
        <v>63</v>
      </c>
      <c r="AI469" t="s">
        <v>6181</v>
      </c>
      <c r="AJ469">
        <v>194552</v>
      </c>
      <c r="AL469" t="s">
        <v>6182</v>
      </c>
      <c r="AM469" t="s">
        <v>6183</v>
      </c>
      <c r="AN469" t="s">
        <v>6184</v>
      </c>
      <c r="AO469" t="s">
        <v>68</v>
      </c>
      <c r="AQ469" t="s">
        <v>6185</v>
      </c>
      <c r="AR469" t="s">
        <v>6186</v>
      </c>
      <c r="AS469" t="s">
        <v>6187</v>
      </c>
      <c r="AV469" s="14" t="s">
        <v>72</v>
      </c>
      <c r="AW469" s="14" t="s">
        <v>73</v>
      </c>
      <c r="AX469" s="14" t="s">
        <v>74</v>
      </c>
    </row>
    <row r="470" spans="1:50" ht="15" customHeight="1" x14ac:dyDescent="0.4">
      <c r="A470" s="12">
        <v>3861</v>
      </c>
      <c r="B470" s="21" t="s">
        <v>6200</v>
      </c>
      <c r="C470" s="13" t="s">
        <v>6201</v>
      </c>
      <c r="D470" s="25" t="s">
        <v>6201</v>
      </c>
      <c r="E470" s="13"/>
      <c r="F470" s="41"/>
      <c r="G470" s="65" t="s">
        <v>8149</v>
      </c>
      <c r="H470" s="14" t="s">
        <v>3090</v>
      </c>
      <c r="I470" s="15">
        <v>44792</v>
      </c>
      <c r="J470" t="s">
        <v>2719</v>
      </c>
      <c r="K470" t="s">
        <v>51</v>
      </c>
      <c r="L470" t="s">
        <v>52</v>
      </c>
      <c r="M470" t="s">
        <v>53</v>
      </c>
      <c r="N470" t="s">
        <v>5591</v>
      </c>
      <c r="O470" t="s">
        <v>6176</v>
      </c>
      <c r="P470" t="s">
        <v>56</v>
      </c>
      <c r="Q470" s="21" t="s">
        <v>6177</v>
      </c>
      <c r="R470" s="21"/>
      <c r="S470" t="s">
        <v>6202</v>
      </c>
      <c r="T470" t="s">
        <v>6203</v>
      </c>
      <c r="W470" t="s">
        <v>1758</v>
      </c>
      <c r="X470" t="s">
        <v>3096</v>
      </c>
      <c r="Z470" s="15"/>
      <c r="AB470">
        <v>42.720207000000002</v>
      </c>
      <c r="AC470">
        <v>-73.858750999999998</v>
      </c>
      <c r="AD470" t="s">
        <v>6192</v>
      </c>
      <c r="AG470" t="s">
        <v>1715</v>
      </c>
      <c r="AH470" t="s">
        <v>63</v>
      </c>
      <c r="AI470" t="s">
        <v>6204</v>
      </c>
      <c r="AJ470">
        <v>194551</v>
      </c>
      <c r="AL470" t="s">
        <v>6205</v>
      </c>
      <c r="AM470" t="s">
        <v>6206</v>
      </c>
      <c r="AN470" t="s">
        <v>6207</v>
      </c>
      <c r="AO470" t="s">
        <v>68</v>
      </c>
      <c r="AQ470" t="s">
        <v>6208</v>
      </c>
      <c r="AR470" t="s">
        <v>6209</v>
      </c>
      <c r="AS470" t="s">
        <v>6210</v>
      </c>
      <c r="AV470" s="14" t="s">
        <v>72</v>
      </c>
      <c r="AW470" s="14" t="s">
        <v>73</v>
      </c>
      <c r="AX470" s="14" t="s">
        <v>74</v>
      </c>
    </row>
    <row r="471" spans="1:50" ht="15" customHeight="1" x14ac:dyDescent="0.4">
      <c r="A471" s="12">
        <v>3862</v>
      </c>
      <c r="B471" s="21" t="s">
        <v>6211</v>
      </c>
      <c r="C471" s="13" t="s">
        <v>6212</v>
      </c>
      <c r="D471" s="25" t="s">
        <v>6212</v>
      </c>
      <c r="E471" s="13"/>
      <c r="F471" s="41"/>
      <c r="G471" s="65" t="s">
        <v>8180</v>
      </c>
      <c r="H471" s="14" t="s">
        <v>3090</v>
      </c>
      <c r="I471" s="15">
        <v>44792</v>
      </c>
      <c r="J471" t="s">
        <v>2719</v>
      </c>
      <c r="K471" t="s">
        <v>51</v>
      </c>
      <c r="L471" t="s">
        <v>52</v>
      </c>
      <c r="M471" t="s">
        <v>53</v>
      </c>
      <c r="N471" t="s">
        <v>5591</v>
      </c>
      <c r="O471" t="s">
        <v>6176</v>
      </c>
      <c r="P471" t="s">
        <v>56</v>
      </c>
      <c r="Q471" s="21" t="s">
        <v>6177</v>
      </c>
      <c r="R471" s="21"/>
      <c r="S471" t="s">
        <v>6213</v>
      </c>
      <c r="T471" t="s">
        <v>6214</v>
      </c>
      <c r="W471" t="s">
        <v>1758</v>
      </c>
      <c r="X471" t="s">
        <v>3096</v>
      </c>
      <c r="Z471" s="15"/>
      <c r="AB471">
        <v>42.718048000000003</v>
      </c>
      <c r="AC471">
        <v>-73.855642000000003</v>
      </c>
      <c r="AD471" t="s">
        <v>6215</v>
      </c>
      <c r="AG471" t="s">
        <v>1715</v>
      </c>
      <c r="AH471" t="s">
        <v>63</v>
      </c>
      <c r="AI471" t="s">
        <v>6216</v>
      </c>
      <c r="AJ471">
        <v>194550</v>
      </c>
      <c r="AL471" t="s">
        <v>6217</v>
      </c>
      <c r="AM471" t="s">
        <v>6218</v>
      </c>
      <c r="AN471" t="s">
        <v>6219</v>
      </c>
      <c r="AO471" t="s">
        <v>68</v>
      </c>
      <c r="AQ471" t="s">
        <v>6220</v>
      </c>
      <c r="AR471" t="s">
        <v>6221</v>
      </c>
      <c r="AS471" t="s">
        <v>6222</v>
      </c>
      <c r="AV471" s="14" t="s">
        <v>72</v>
      </c>
      <c r="AW471" s="14" t="s">
        <v>73</v>
      </c>
      <c r="AX471" s="14" t="s">
        <v>74</v>
      </c>
    </row>
    <row r="472" spans="1:50" ht="15" customHeight="1" x14ac:dyDescent="0.4">
      <c r="A472" s="12">
        <v>3863</v>
      </c>
      <c r="B472" s="21" t="s">
        <v>6223</v>
      </c>
      <c r="C472" s="13" t="s">
        <v>6224</v>
      </c>
      <c r="D472" s="25" t="s">
        <v>6224</v>
      </c>
      <c r="E472" s="13"/>
      <c r="F472" s="41"/>
      <c r="G472" s="65" t="s">
        <v>8187</v>
      </c>
      <c r="H472" s="14" t="s">
        <v>3090</v>
      </c>
      <c r="I472" s="15">
        <v>44792</v>
      </c>
      <c r="J472" t="s">
        <v>2719</v>
      </c>
      <c r="K472" t="s">
        <v>51</v>
      </c>
      <c r="L472" t="s">
        <v>52</v>
      </c>
      <c r="M472" t="s">
        <v>53</v>
      </c>
      <c r="N472" t="s">
        <v>5591</v>
      </c>
      <c r="O472" t="s">
        <v>6176</v>
      </c>
      <c r="P472" t="s">
        <v>56</v>
      </c>
      <c r="Q472" s="21" t="s">
        <v>6177</v>
      </c>
      <c r="R472" s="21"/>
      <c r="S472" t="s">
        <v>6225</v>
      </c>
      <c r="T472" t="s">
        <v>6226</v>
      </c>
      <c r="W472" t="s">
        <v>1758</v>
      </c>
      <c r="X472" t="s">
        <v>3096</v>
      </c>
      <c r="Z472" s="15"/>
      <c r="AB472">
        <v>42.717212000000004</v>
      </c>
      <c r="AC472">
        <v>-73.855942999999996</v>
      </c>
      <c r="AD472" t="s">
        <v>6192</v>
      </c>
      <c r="AG472" t="s">
        <v>1715</v>
      </c>
      <c r="AH472" t="s">
        <v>63</v>
      </c>
      <c r="AI472" t="s">
        <v>6227</v>
      </c>
      <c r="AJ472">
        <v>194549</v>
      </c>
      <c r="AL472" t="s">
        <v>6228</v>
      </c>
      <c r="AM472" t="s">
        <v>6229</v>
      </c>
      <c r="AN472" t="s">
        <v>6230</v>
      </c>
      <c r="AO472" t="s">
        <v>68</v>
      </c>
      <c r="AQ472" t="s">
        <v>6231</v>
      </c>
      <c r="AR472" t="s">
        <v>6232</v>
      </c>
      <c r="AS472" t="s">
        <v>6233</v>
      </c>
      <c r="AV472" s="14" t="s">
        <v>72</v>
      </c>
      <c r="AW472" s="14" t="s">
        <v>73</v>
      </c>
      <c r="AX472" s="14" t="s">
        <v>74</v>
      </c>
    </row>
    <row r="473" spans="1:50" ht="15" customHeight="1" x14ac:dyDescent="0.4">
      <c r="A473" s="12">
        <v>3864</v>
      </c>
      <c r="B473" s="21" t="s">
        <v>6234</v>
      </c>
      <c r="C473" s="13" t="s">
        <v>6235</v>
      </c>
      <c r="D473" s="25" t="s">
        <v>6235</v>
      </c>
      <c r="E473" s="13"/>
      <c r="F473" s="41"/>
      <c r="G473" s="65" t="s">
        <v>8185</v>
      </c>
      <c r="H473" s="14" t="s">
        <v>1878</v>
      </c>
      <c r="I473" s="15">
        <v>44792</v>
      </c>
      <c r="J473" t="s">
        <v>2719</v>
      </c>
      <c r="K473" t="s">
        <v>51</v>
      </c>
      <c r="L473" t="s">
        <v>52</v>
      </c>
      <c r="M473" t="s">
        <v>53</v>
      </c>
      <c r="N473" t="s">
        <v>5591</v>
      </c>
      <c r="O473" t="s">
        <v>6176</v>
      </c>
      <c r="P473" t="s">
        <v>56</v>
      </c>
      <c r="Q473" s="21" t="s">
        <v>6177</v>
      </c>
      <c r="R473" s="21"/>
      <c r="S473" t="s">
        <v>6236</v>
      </c>
      <c r="T473" t="s">
        <v>6237</v>
      </c>
      <c r="W473" t="s">
        <v>1758</v>
      </c>
      <c r="X473" t="s">
        <v>1881</v>
      </c>
      <c r="Z473" s="15"/>
      <c r="AB473">
        <v>42.717061999999999</v>
      </c>
      <c r="AC473">
        <v>-73.855643999999998</v>
      </c>
      <c r="AD473" t="s">
        <v>6238</v>
      </c>
      <c r="AG473" t="s">
        <v>1715</v>
      </c>
      <c r="AH473" t="s">
        <v>63</v>
      </c>
      <c r="AI473" t="s">
        <v>6239</v>
      </c>
      <c r="AJ473">
        <v>193950</v>
      </c>
      <c r="AL473" t="s">
        <v>6240</v>
      </c>
      <c r="AM473" t="s">
        <v>6241</v>
      </c>
      <c r="AN473" t="s">
        <v>6242</v>
      </c>
      <c r="AO473" t="s">
        <v>68</v>
      </c>
      <c r="AQ473" t="s">
        <v>6243</v>
      </c>
      <c r="AR473" t="s">
        <v>6244</v>
      </c>
      <c r="AS473" t="s">
        <v>6245</v>
      </c>
      <c r="AV473" s="14" t="s">
        <v>72</v>
      </c>
      <c r="AW473" s="14" t="s">
        <v>73</v>
      </c>
      <c r="AX473" s="14" t="s">
        <v>1723</v>
      </c>
    </row>
    <row r="474" spans="1:50" ht="15" customHeight="1" x14ac:dyDescent="0.4">
      <c r="A474" s="12">
        <v>3865</v>
      </c>
      <c r="B474" s="21" t="s">
        <v>6246</v>
      </c>
      <c r="C474" s="13" t="s">
        <v>6247</v>
      </c>
      <c r="D474" s="25" t="s">
        <v>6247</v>
      </c>
      <c r="E474" s="13"/>
      <c r="F474" s="41"/>
      <c r="G474" s="65" t="s">
        <v>8185</v>
      </c>
      <c r="H474" s="14" t="s">
        <v>1878</v>
      </c>
      <c r="I474" s="15">
        <v>44792</v>
      </c>
      <c r="J474" t="s">
        <v>2719</v>
      </c>
      <c r="K474" t="s">
        <v>51</v>
      </c>
      <c r="L474" t="s">
        <v>52</v>
      </c>
      <c r="M474" t="s">
        <v>53</v>
      </c>
      <c r="N474" t="s">
        <v>5591</v>
      </c>
      <c r="O474" t="s">
        <v>6176</v>
      </c>
      <c r="P474" t="s">
        <v>56</v>
      </c>
      <c r="Q474" s="21" t="s">
        <v>6177</v>
      </c>
      <c r="R474" s="21"/>
      <c r="S474" t="s">
        <v>6248</v>
      </c>
      <c r="T474" t="s">
        <v>6249</v>
      </c>
      <c r="X474" t="s">
        <v>1881</v>
      </c>
      <c r="Z474" s="15"/>
      <c r="AB474">
        <v>42.716617999999997</v>
      </c>
      <c r="AC474">
        <v>-73.854881000000006</v>
      </c>
      <c r="AD474" t="s">
        <v>6250</v>
      </c>
      <c r="AG474" t="s">
        <v>1715</v>
      </c>
      <c r="AH474" t="s">
        <v>63</v>
      </c>
      <c r="AI474" t="s">
        <v>6251</v>
      </c>
      <c r="AJ474">
        <v>193951</v>
      </c>
      <c r="AL474" t="s">
        <v>6252</v>
      </c>
      <c r="AM474" t="s">
        <v>6253</v>
      </c>
      <c r="AN474" t="s">
        <v>6254</v>
      </c>
      <c r="AO474" t="s">
        <v>68</v>
      </c>
      <c r="AQ474" t="s">
        <v>6255</v>
      </c>
      <c r="AR474" t="s">
        <v>6256</v>
      </c>
      <c r="AS474" t="s">
        <v>6257</v>
      </c>
      <c r="AV474" s="14" t="s">
        <v>72</v>
      </c>
      <c r="AW474" s="14" t="s">
        <v>73</v>
      </c>
      <c r="AX474" s="14" t="s">
        <v>1723</v>
      </c>
    </row>
    <row r="475" spans="1:50" ht="15" customHeight="1" x14ac:dyDescent="0.4">
      <c r="A475" s="12">
        <v>3866</v>
      </c>
      <c r="B475" s="21" t="s">
        <v>6258</v>
      </c>
      <c r="C475" s="13" t="s">
        <v>6259</v>
      </c>
      <c r="D475" s="25" t="s">
        <v>6259</v>
      </c>
      <c r="E475" s="13"/>
      <c r="F475" s="41"/>
      <c r="G475" s="65" t="s">
        <v>8185</v>
      </c>
      <c r="H475" s="14" t="s">
        <v>1878</v>
      </c>
      <c r="I475" s="15">
        <v>44792</v>
      </c>
      <c r="J475" t="s">
        <v>2719</v>
      </c>
      <c r="K475" t="s">
        <v>51</v>
      </c>
      <c r="L475" t="s">
        <v>52</v>
      </c>
      <c r="M475" t="s">
        <v>53</v>
      </c>
      <c r="N475" t="s">
        <v>5591</v>
      </c>
      <c r="O475" t="s">
        <v>6176</v>
      </c>
      <c r="P475" t="s">
        <v>56</v>
      </c>
      <c r="Q475" s="21" t="s">
        <v>6177</v>
      </c>
      <c r="R475" s="21"/>
      <c r="S475" t="s">
        <v>6260</v>
      </c>
      <c r="T475" t="s">
        <v>6261</v>
      </c>
      <c r="W475" t="s">
        <v>1758</v>
      </c>
      <c r="X475" t="s">
        <v>1881</v>
      </c>
      <c r="Z475" s="15"/>
      <c r="AB475">
        <v>42.715933999999997</v>
      </c>
      <c r="AC475">
        <v>-73.853837999999996</v>
      </c>
      <c r="AD475" t="s">
        <v>6262</v>
      </c>
      <c r="AG475" t="s">
        <v>1715</v>
      </c>
      <c r="AH475" t="s">
        <v>63</v>
      </c>
      <c r="AI475" t="s">
        <v>6263</v>
      </c>
      <c r="AJ475">
        <v>193952</v>
      </c>
      <c r="AL475" t="s">
        <v>6264</v>
      </c>
      <c r="AM475" t="s">
        <v>6265</v>
      </c>
      <c r="AN475" t="s">
        <v>6266</v>
      </c>
      <c r="AO475" t="s">
        <v>68</v>
      </c>
      <c r="AQ475" t="s">
        <v>6267</v>
      </c>
      <c r="AR475" t="s">
        <v>6268</v>
      </c>
      <c r="AS475" t="s">
        <v>6269</v>
      </c>
      <c r="AV475" s="14" t="s">
        <v>72</v>
      </c>
      <c r="AW475" s="14" t="s">
        <v>73</v>
      </c>
      <c r="AX475" s="14" t="s">
        <v>1723</v>
      </c>
    </row>
    <row r="476" spans="1:50" ht="15" customHeight="1" x14ac:dyDescent="0.4">
      <c r="A476" s="12">
        <v>3867</v>
      </c>
      <c r="B476" s="21" t="s">
        <v>6270</v>
      </c>
      <c r="C476" s="13" t="s">
        <v>6271</v>
      </c>
      <c r="D476" s="25" t="s">
        <v>6271</v>
      </c>
      <c r="E476" s="13"/>
      <c r="F476" s="41"/>
      <c r="G476" s="65" t="s">
        <v>8187</v>
      </c>
      <c r="H476" s="14" t="s">
        <v>3090</v>
      </c>
      <c r="I476" s="15">
        <v>44792</v>
      </c>
      <c r="J476" t="s">
        <v>2719</v>
      </c>
      <c r="K476" t="s">
        <v>51</v>
      </c>
      <c r="L476" t="s">
        <v>52</v>
      </c>
      <c r="M476" t="s">
        <v>53</v>
      </c>
      <c r="N476" t="s">
        <v>5591</v>
      </c>
      <c r="O476" t="s">
        <v>6176</v>
      </c>
      <c r="P476" t="s">
        <v>56</v>
      </c>
      <c r="Q476" s="21" t="s">
        <v>6177</v>
      </c>
      <c r="R476" s="21"/>
      <c r="S476" t="s">
        <v>6272</v>
      </c>
      <c r="T476" t="s">
        <v>6273</v>
      </c>
      <c r="W476" t="s">
        <v>1758</v>
      </c>
      <c r="X476" t="s">
        <v>3096</v>
      </c>
      <c r="Z476" s="15"/>
      <c r="AB476">
        <v>42.716000999999999</v>
      </c>
      <c r="AC476">
        <v>-73.853819000000001</v>
      </c>
      <c r="AD476" t="s">
        <v>6274</v>
      </c>
      <c r="AG476" t="s">
        <v>1715</v>
      </c>
      <c r="AH476" t="s">
        <v>63</v>
      </c>
      <c r="AI476" t="s">
        <v>6275</v>
      </c>
      <c r="AJ476">
        <v>194548</v>
      </c>
      <c r="AL476" t="s">
        <v>6276</v>
      </c>
      <c r="AM476" t="s">
        <v>6277</v>
      </c>
      <c r="AN476" t="s">
        <v>6278</v>
      </c>
      <c r="AO476" t="s">
        <v>68</v>
      </c>
      <c r="AQ476" t="s">
        <v>6279</v>
      </c>
      <c r="AR476" t="s">
        <v>6280</v>
      </c>
      <c r="AS476" t="s">
        <v>6281</v>
      </c>
      <c r="AV476" s="14" t="s">
        <v>72</v>
      </c>
      <c r="AW476" s="14" t="s">
        <v>73</v>
      </c>
      <c r="AX476" s="14" t="s">
        <v>74</v>
      </c>
    </row>
    <row r="477" spans="1:50" ht="15" customHeight="1" x14ac:dyDescent="0.4">
      <c r="A477" s="12">
        <v>3810</v>
      </c>
      <c r="B477" s="21" t="s">
        <v>5589</v>
      </c>
      <c r="C477" s="13" t="s">
        <v>5590</v>
      </c>
      <c r="D477" s="25" t="s">
        <v>5590</v>
      </c>
      <c r="E477" s="13"/>
      <c r="F477" s="41" t="s">
        <v>2222</v>
      </c>
      <c r="G477" s="65" t="s">
        <v>8158</v>
      </c>
      <c r="H477" s="14" t="s">
        <v>49</v>
      </c>
      <c r="I477" s="15">
        <v>44788</v>
      </c>
      <c r="J477" t="s">
        <v>2719</v>
      </c>
      <c r="K477" t="s">
        <v>51</v>
      </c>
      <c r="L477" t="s">
        <v>52</v>
      </c>
      <c r="M477" t="s">
        <v>53</v>
      </c>
      <c r="N477" t="s">
        <v>5591</v>
      </c>
      <c r="O477" t="s">
        <v>5592</v>
      </c>
      <c r="P477" t="s">
        <v>56</v>
      </c>
      <c r="Q477" s="21" t="s">
        <v>5593</v>
      </c>
      <c r="R477" s="21"/>
      <c r="S477" t="s">
        <v>5594</v>
      </c>
      <c r="T477" t="s">
        <v>5595</v>
      </c>
      <c r="W477" t="s">
        <v>1758</v>
      </c>
      <c r="X477" t="s">
        <v>60</v>
      </c>
      <c r="Z477" s="15"/>
      <c r="AB477">
        <v>43.057822999999999</v>
      </c>
      <c r="AC477">
        <v>-78.971293000000003</v>
      </c>
      <c r="AD477" t="s">
        <v>5596</v>
      </c>
      <c r="AG477" t="s">
        <v>1715</v>
      </c>
      <c r="AH477" t="s">
        <v>63</v>
      </c>
      <c r="AI477" t="s">
        <v>5597</v>
      </c>
      <c r="AJ477">
        <v>192546</v>
      </c>
      <c r="AL477" t="s">
        <v>5598</v>
      </c>
      <c r="AM477" t="s">
        <v>5599</v>
      </c>
      <c r="AN477" t="s">
        <v>5600</v>
      </c>
      <c r="AO477" t="s">
        <v>68</v>
      </c>
      <c r="AQ477" t="s">
        <v>5601</v>
      </c>
      <c r="AR477" t="s">
        <v>5602</v>
      </c>
      <c r="AS477" t="s">
        <v>5603</v>
      </c>
      <c r="AV477" s="14" t="s">
        <v>72</v>
      </c>
      <c r="AW477" s="14" t="s">
        <v>73</v>
      </c>
      <c r="AX477" s="14" t="s">
        <v>74</v>
      </c>
    </row>
    <row r="478" spans="1:50" ht="15" customHeight="1" x14ac:dyDescent="0.4">
      <c r="A478" s="12">
        <v>3811</v>
      </c>
      <c r="B478" s="21" t="s">
        <v>5604</v>
      </c>
      <c r="C478" s="13" t="s">
        <v>5605</v>
      </c>
      <c r="D478" s="25" t="s">
        <v>5605</v>
      </c>
      <c r="E478" s="13"/>
      <c r="F478" s="43" t="s">
        <v>49</v>
      </c>
      <c r="G478" s="65" t="s">
        <v>8153</v>
      </c>
      <c r="H478" s="14" t="s">
        <v>49</v>
      </c>
      <c r="I478" s="15">
        <v>44788</v>
      </c>
      <c r="J478" t="s">
        <v>2719</v>
      </c>
      <c r="K478" t="s">
        <v>51</v>
      </c>
      <c r="L478" t="s">
        <v>52</v>
      </c>
      <c r="M478" t="s">
        <v>53</v>
      </c>
      <c r="N478" t="s">
        <v>5591</v>
      </c>
      <c r="O478" t="s">
        <v>5592</v>
      </c>
      <c r="P478" t="s">
        <v>56</v>
      </c>
      <c r="Q478" s="21" t="s">
        <v>5593</v>
      </c>
      <c r="R478" s="21"/>
      <c r="S478" t="s">
        <v>5606</v>
      </c>
      <c r="T478" t="s">
        <v>5607</v>
      </c>
      <c r="X478" t="s">
        <v>60</v>
      </c>
      <c r="Z478" s="15"/>
      <c r="AB478">
        <v>43.059486999999997</v>
      </c>
      <c r="AC478">
        <v>-78.972201999999996</v>
      </c>
      <c r="AD478" t="s">
        <v>5596</v>
      </c>
      <c r="AG478" t="s">
        <v>1715</v>
      </c>
      <c r="AH478" t="s">
        <v>63</v>
      </c>
      <c r="AI478" t="s">
        <v>5608</v>
      </c>
      <c r="AJ478">
        <v>192533</v>
      </c>
      <c r="AL478" t="s">
        <v>5609</v>
      </c>
      <c r="AM478" t="s">
        <v>5610</v>
      </c>
      <c r="AN478" t="s">
        <v>5611</v>
      </c>
      <c r="AO478" t="s">
        <v>68</v>
      </c>
      <c r="AQ478" t="s">
        <v>5612</v>
      </c>
      <c r="AR478" t="s">
        <v>5613</v>
      </c>
      <c r="AS478" t="s">
        <v>5614</v>
      </c>
      <c r="AV478" s="14" t="s">
        <v>72</v>
      </c>
      <c r="AW478" s="14" t="s">
        <v>73</v>
      </c>
      <c r="AX478" s="14" t="s">
        <v>74</v>
      </c>
    </row>
    <row r="479" spans="1:50" ht="15" customHeight="1" x14ac:dyDescent="0.4">
      <c r="A479" s="12">
        <v>3812</v>
      </c>
      <c r="B479" s="21" t="s">
        <v>5615</v>
      </c>
      <c r="C479" s="13" t="s">
        <v>5616</v>
      </c>
      <c r="D479" s="25" t="s">
        <v>5616</v>
      </c>
      <c r="E479" s="13"/>
      <c r="F479" s="41"/>
      <c r="G479" s="65" t="s">
        <v>8182</v>
      </c>
      <c r="H479" s="14" t="s">
        <v>49</v>
      </c>
      <c r="I479" s="15">
        <v>44788</v>
      </c>
      <c r="J479" t="s">
        <v>2719</v>
      </c>
      <c r="K479" t="s">
        <v>51</v>
      </c>
      <c r="L479" t="s">
        <v>52</v>
      </c>
      <c r="M479" t="s">
        <v>53</v>
      </c>
      <c r="N479" t="s">
        <v>5591</v>
      </c>
      <c r="O479" t="s">
        <v>5592</v>
      </c>
      <c r="P479" t="s">
        <v>56</v>
      </c>
      <c r="Q479" s="21" t="s">
        <v>5593</v>
      </c>
      <c r="R479" s="21"/>
      <c r="S479" t="s">
        <v>5617</v>
      </c>
      <c r="T479" t="s">
        <v>5618</v>
      </c>
      <c r="W479" t="s">
        <v>1758</v>
      </c>
      <c r="X479" t="s">
        <v>60</v>
      </c>
      <c r="Z479" s="15"/>
      <c r="AB479">
        <v>43.060034000000002</v>
      </c>
      <c r="AC479">
        <v>-78.972550999999996</v>
      </c>
      <c r="AD479" t="s">
        <v>914</v>
      </c>
      <c r="AG479" t="s">
        <v>1715</v>
      </c>
      <c r="AH479" t="s">
        <v>63</v>
      </c>
      <c r="AI479" t="s">
        <v>5619</v>
      </c>
      <c r="AJ479">
        <v>192530</v>
      </c>
      <c r="AL479" t="s">
        <v>5620</v>
      </c>
      <c r="AM479" t="s">
        <v>5621</v>
      </c>
      <c r="AN479" t="s">
        <v>5622</v>
      </c>
      <c r="AO479" t="s">
        <v>68</v>
      </c>
      <c r="AQ479" t="s">
        <v>5623</v>
      </c>
      <c r="AR479" t="s">
        <v>5624</v>
      </c>
      <c r="AS479" t="s">
        <v>5625</v>
      </c>
      <c r="AV479" s="14" t="s">
        <v>72</v>
      </c>
      <c r="AW479" s="14" t="s">
        <v>73</v>
      </c>
      <c r="AX479" s="14" t="s">
        <v>74</v>
      </c>
    </row>
    <row r="480" spans="1:50" ht="15" customHeight="1" x14ac:dyDescent="0.4">
      <c r="A480" s="12">
        <v>3813</v>
      </c>
      <c r="B480" s="21" t="s">
        <v>5626</v>
      </c>
      <c r="C480" s="13" t="s">
        <v>5627</v>
      </c>
      <c r="D480" s="25" t="s">
        <v>5627</v>
      </c>
      <c r="E480" s="13"/>
      <c r="F480" s="42" t="s">
        <v>8106</v>
      </c>
      <c r="G480" s="65" t="s">
        <v>8185</v>
      </c>
      <c r="H480" s="14" t="s">
        <v>49</v>
      </c>
      <c r="I480" s="15">
        <v>44788</v>
      </c>
      <c r="J480" t="s">
        <v>2719</v>
      </c>
      <c r="K480" t="s">
        <v>51</v>
      </c>
      <c r="L480" t="s">
        <v>52</v>
      </c>
      <c r="M480" t="s">
        <v>53</v>
      </c>
      <c r="N480" t="s">
        <v>5591</v>
      </c>
      <c r="O480" t="s">
        <v>5592</v>
      </c>
      <c r="P480" t="s">
        <v>56</v>
      </c>
      <c r="Q480" s="21" t="s">
        <v>5593</v>
      </c>
      <c r="R480" s="21"/>
      <c r="S480" t="s">
        <v>5628</v>
      </c>
      <c r="T480" t="s">
        <v>5629</v>
      </c>
      <c r="W480" t="s">
        <v>1758</v>
      </c>
      <c r="X480" t="s">
        <v>60</v>
      </c>
      <c r="Z480" s="15"/>
      <c r="AB480">
        <v>43.061137000000002</v>
      </c>
      <c r="AC480">
        <v>-78.973082000000005</v>
      </c>
      <c r="AD480" t="s">
        <v>5630</v>
      </c>
      <c r="AG480" t="s">
        <v>1715</v>
      </c>
      <c r="AH480" t="s">
        <v>63</v>
      </c>
      <c r="AI480" t="s">
        <v>5631</v>
      </c>
      <c r="AJ480">
        <v>192676</v>
      </c>
      <c r="AL480" t="s">
        <v>5632</v>
      </c>
      <c r="AM480" t="s">
        <v>5633</v>
      </c>
      <c r="AN480" t="s">
        <v>5634</v>
      </c>
      <c r="AO480" t="s">
        <v>68</v>
      </c>
      <c r="AQ480" t="s">
        <v>5635</v>
      </c>
      <c r="AR480" t="s">
        <v>5636</v>
      </c>
      <c r="AS480" t="s">
        <v>5637</v>
      </c>
      <c r="AV480" s="14" t="s">
        <v>72</v>
      </c>
      <c r="AW480" s="14" t="s">
        <v>73</v>
      </c>
      <c r="AX480" s="14" t="s">
        <v>74</v>
      </c>
    </row>
    <row r="481" spans="1:50" ht="15" customHeight="1" x14ac:dyDescent="0.4">
      <c r="A481" s="12">
        <v>3814</v>
      </c>
      <c r="B481" s="21" t="s">
        <v>5638</v>
      </c>
      <c r="C481" s="13" t="s">
        <v>5639</v>
      </c>
      <c r="D481" s="25" t="s">
        <v>5639</v>
      </c>
      <c r="E481" s="13"/>
      <c r="F481" s="41"/>
      <c r="G481" s="65" t="s">
        <v>8185</v>
      </c>
      <c r="H481" s="14" t="s">
        <v>1878</v>
      </c>
      <c r="I481" s="15">
        <v>44788</v>
      </c>
      <c r="J481" t="s">
        <v>2719</v>
      </c>
      <c r="K481" t="s">
        <v>51</v>
      </c>
      <c r="L481" t="s">
        <v>52</v>
      </c>
      <c r="M481" t="s">
        <v>53</v>
      </c>
      <c r="N481" t="s">
        <v>5591</v>
      </c>
      <c r="O481" t="s">
        <v>5592</v>
      </c>
      <c r="P481" t="s">
        <v>56</v>
      </c>
      <c r="Q481" s="21" t="s">
        <v>5593</v>
      </c>
      <c r="R481" s="21"/>
      <c r="S481" t="s">
        <v>5640</v>
      </c>
      <c r="T481" t="s">
        <v>5641</v>
      </c>
      <c r="W481" t="s">
        <v>1758</v>
      </c>
      <c r="X481" t="s">
        <v>1881</v>
      </c>
      <c r="Z481" s="15"/>
      <c r="AB481">
        <v>43.057209</v>
      </c>
      <c r="AC481">
        <v>-78.986107000000004</v>
      </c>
      <c r="AG481" t="s">
        <v>1715</v>
      </c>
      <c r="AH481" t="s">
        <v>63</v>
      </c>
      <c r="AI481" t="s">
        <v>5642</v>
      </c>
      <c r="AJ481">
        <v>192583</v>
      </c>
      <c r="AL481" t="s">
        <v>5643</v>
      </c>
      <c r="AM481" t="s">
        <v>5644</v>
      </c>
      <c r="AN481" t="s">
        <v>5645</v>
      </c>
      <c r="AO481" t="s">
        <v>68</v>
      </c>
      <c r="AQ481" t="s">
        <v>5646</v>
      </c>
      <c r="AR481" t="s">
        <v>5647</v>
      </c>
      <c r="AS481" t="s">
        <v>5648</v>
      </c>
      <c r="AV481" s="14" t="s">
        <v>72</v>
      </c>
      <c r="AW481" s="14" t="s">
        <v>73</v>
      </c>
      <c r="AX481" s="14" t="s">
        <v>1723</v>
      </c>
    </row>
    <row r="482" spans="1:50" ht="15" customHeight="1" x14ac:dyDescent="0.4">
      <c r="A482" s="12">
        <v>3815</v>
      </c>
      <c r="B482" s="21" t="s">
        <v>5649</v>
      </c>
      <c r="C482" s="13" t="s">
        <v>5650</v>
      </c>
      <c r="D482" s="25" t="s">
        <v>5650</v>
      </c>
      <c r="E482" s="13"/>
      <c r="F482" s="45" t="s">
        <v>2222</v>
      </c>
      <c r="G482" s="65" t="s">
        <v>8159</v>
      </c>
      <c r="H482" s="14" t="s">
        <v>2222</v>
      </c>
      <c r="I482" s="15">
        <v>44788</v>
      </c>
      <c r="J482" t="s">
        <v>2719</v>
      </c>
      <c r="K482" t="s">
        <v>51</v>
      </c>
      <c r="L482" t="s">
        <v>52</v>
      </c>
      <c r="M482" t="s">
        <v>53</v>
      </c>
      <c r="N482" t="s">
        <v>5591</v>
      </c>
      <c r="O482" t="s">
        <v>5592</v>
      </c>
      <c r="P482" t="s">
        <v>56</v>
      </c>
      <c r="Q482" s="21" t="s">
        <v>5593</v>
      </c>
      <c r="R482" s="21"/>
      <c r="S482" t="s">
        <v>5651</v>
      </c>
      <c r="T482" t="s">
        <v>5652</v>
      </c>
      <c r="X482" t="s">
        <v>2225</v>
      </c>
      <c r="Z482" s="15"/>
      <c r="AB482">
        <v>43.057170999999997</v>
      </c>
      <c r="AC482">
        <v>-78.985855999999998</v>
      </c>
      <c r="AD482" t="s">
        <v>987</v>
      </c>
      <c r="AG482" t="s">
        <v>1715</v>
      </c>
      <c r="AH482" t="s">
        <v>63</v>
      </c>
      <c r="AI482" t="s">
        <v>5653</v>
      </c>
      <c r="AJ482">
        <v>193368</v>
      </c>
      <c r="AL482" t="s">
        <v>5654</v>
      </c>
      <c r="AM482" t="s">
        <v>5655</v>
      </c>
      <c r="AN482" t="s">
        <v>5656</v>
      </c>
      <c r="AO482" t="s">
        <v>68</v>
      </c>
      <c r="AP482" t="s">
        <v>5657</v>
      </c>
      <c r="AQ482" t="s">
        <v>5658</v>
      </c>
      <c r="AR482" t="s">
        <v>5659</v>
      </c>
      <c r="AS482" t="s">
        <v>5660</v>
      </c>
      <c r="AT482" s="31" t="s">
        <v>5661</v>
      </c>
      <c r="AV482" s="14" t="s">
        <v>72</v>
      </c>
      <c r="AW482" s="14" t="s">
        <v>73</v>
      </c>
      <c r="AX482" s="14" t="s">
        <v>74</v>
      </c>
    </row>
    <row r="483" spans="1:50" ht="15" customHeight="1" x14ac:dyDescent="0.4">
      <c r="A483" s="12">
        <v>3816</v>
      </c>
      <c r="B483" s="21" t="s">
        <v>5662</v>
      </c>
      <c r="C483" s="13" t="s">
        <v>5663</v>
      </c>
      <c r="D483" s="25" t="s">
        <v>5663</v>
      </c>
      <c r="E483" s="13"/>
      <c r="F483" s="41"/>
      <c r="G483" s="65" t="s">
        <v>8185</v>
      </c>
      <c r="H483" s="14" t="s">
        <v>1878</v>
      </c>
      <c r="I483" s="15">
        <v>44788</v>
      </c>
      <c r="J483" t="s">
        <v>2719</v>
      </c>
      <c r="K483" t="s">
        <v>51</v>
      </c>
      <c r="L483" t="s">
        <v>52</v>
      </c>
      <c r="M483" t="s">
        <v>53</v>
      </c>
      <c r="N483" t="s">
        <v>5591</v>
      </c>
      <c r="O483" t="s">
        <v>5592</v>
      </c>
      <c r="P483" t="s">
        <v>56</v>
      </c>
      <c r="Q483" s="21" t="s">
        <v>5593</v>
      </c>
      <c r="R483" s="21"/>
      <c r="S483" t="s">
        <v>5640</v>
      </c>
      <c r="T483" t="s">
        <v>5664</v>
      </c>
      <c r="W483" t="s">
        <v>2336</v>
      </c>
      <c r="X483" t="s">
        <v>1881</v>
      </c>
      <c r="Z483" s="15"/>
      <c r="AB483">
        <v>43.056780000000003</v>
      </c>
      <c r="AC483">
        <v>-78.985106999999999</v>
      </c>
      <c r="AD483" t="s">
        <v>5665</v>
      </c>
      <c r="AG483" t="s">
        <v>1715</v>
      </c>
      <c r="AH483" t="s">
        <v>63</v>
      </c>
      <c r="AI483" t="s">
        <v>5666</v>
      </c>
      <c r="AJ483">
        <v>193379</v>
      </c>
      <c r="AL483" t="s">
        <v>5667</v>
      </c>
      <c r="AM483" t="s">
        <v>5668</v>
      </c>
      <c r="AN483" t="s">
        <v>5669</v>
      </c>
      <c r="AO483" t="s">
        <v>68</v>
      </c>
      <c r="AQ483" t="s">
        <v>5670</v>
      </c>
      <c r="AR483" t="s">
        <v>5671</v>
      </c>
      <c r="AS483" t="s">
        <v>5672</v>
      </c>
      <c r="AV483" s="14" t="s">
        <v>72</v>
      </c>
      <c r="AW483" s="14" t="s">
        <v>73</v>
      </c>
      <c r="AX483" s="14" t="s">
        <v>1723</v>
      </c>
    </row>
    <row r="484" spans="1:50" ht="15" customHeight="1" x14ac:dyDescent="0.4">
      <c r="A484" s="12">
        <v>3817</v>
      </c>
      <c r="B484" s="21" t="s">
        <v>5673</v>
      </c>
      <c r="C484" s="13" t="s">
        <v>5674</v>
      </c>
      <c r="D484" s="25" t="s">
        <v>5674</v>
      </c>
      <c r="E484" s="13"/>
      <c r="F484" s="41"/>
      <c r="G484" s="65" t="s">
        <v>8185</v>
      </c>
      <c r="H484" s="14" t="s">
        <v>1878</v>
      </c>
      <c r="I484" s="15">
        <v>44788</v>
      </c>
      <c r="J484" t="s">
        <v>2719</v>
      </c>
      <c r="K484" t="s">
        <v>51</v>
      </c>
      <c r="L484" t="s">
        <v>52</v>
      </c>
      <c r="M484" t="s">
        <v>53</v>
      </c>
      <c r="N484" t="s">
        <v>5591</v>
      </c>
      <c r="O484" t="s">
        <v>5592</v>
      </c>
      <c r="P484" t="s">
        <v>56</v>
      </c>
      <c r="Q484" s="21" t="s">
        <v>5593</v>
      </c>
      <c r="R484" s="21"/>
      <c r="S484" t="s">
        <v>5675</v>
      </c>
      <c r="T484" t="s">
        <v>5676</v>
      </c>
      <c r="X484" t="s">
        <v>1881</v>
      </c>
      <c r="Z484" s="15"/>
      <c r="AB484">
        <v>43.056680999999998</v>
      </c>
      <c r="AC484">
        <v>-78.984002000000004</v>
      </c>
      <c r="AD484" t="s">
        <v>987</v>
      </c>
      <c r="AG484" t="s">
        <v>1715</v>
      </c>
      <c r="AH484" t="s">
        <v>63</v>
      </c>
      <c r="AI484" t="s">
        <v>5677</v>
      </c>
      <c r="AJ484">
        <v>192584</v>
      </c>
      <c r="AL484" t="s">
        <v>5678</v>
      </c>
      <c r="AM484" t="s">
        <v>5679</v>
      </c>
      <c r="AN484" t="s">
        <v>5680</v>
      </c>
      <c r="AO484" t="s">
        <v>68</v>
      </c>
      <c r="AQ484" t="s">
        <v>5681</v>
      </c>
      <c r="AR484" t="s">
        <v>5682</v>
      </c>
      <c r="AS484" t="s">
        <v>5683</v>
      </c>
      <c r="AV484" s="14" t="s">
        <v>72</v>
      </c>
      <c r="AW484" s="14" t="s">
        <v>73</v>
      </c>
      <c r="AX484" s="14" t="s">
        <v>1723</v>
      </c>
    </row>
    <row r="485" spans="1:50" ht="15" customHeight="1" x14ac:dyDescent="0.4">
      <c r="A485" s="12">
        <v>3818</v>
      </c>
      <c r="B485" s="21" t="s">
        <v>5684</v>
      </c>
      <c r="C485" s="13" t="s">
        <v>5685</v>
      </c>
      <c r="D485" s="25" t="s">
        <v>5685</v>
      </c>
      <c r="E485" s="13"/>
      <c r="F485" s="45" t="s">
        <v>2222</v>
      </c>
      <c r="G485" s="65" t="s">
        <v>8158</v>
      </c>
      <c r="H485" s="14" t="s">
        <v>2222</v>
      </c>
      <c r="I485" s="15">
        <v>44788</v>
      </c>
      <c r="J485" t="s">
        <v>2719</v>
      </c>
      <c r="K485" t="s">
        <v>51</v>
      </c>
      <c r="L485" t="s">
        <v>52</v>
      </c>
      <c r="M485" t="s">
        <v>53</v>
      </c>
      <c r="N485" t="s">
        <v>5591</v>
      </c>
      <c r="O485" t="s">
        <v>5592</v>
      </c>
      <c r="P485" t="s">
        <v>56</v>
      </c>
      <c r="Q485" s="21" t="s">
        <v>5593</v>
      </c>
      <c r="R485" s="21"/>
      <c r="S485" t="s">
        <v>5686</v>
      </c>
      <c r="T485" t="s">
        <v>5687</v>
      </c>
      <c r="W485" t="s">
        <v>2336</v>
      </c>
      <c r="X485" t="s">
        <v>2225</v>
      </c>
      <c r="Z485" s="15"/>
      <c r="AB485">
        <v>43.056547999999999</v>
      </c>
      <c r="AC485">
        <v>-78.983165999999997</v>
      </c>
      <c r="AD485" t="s">
        <v>5688</v>
      </c>
      <c r="AG485" t="s">
        <v>1715</v>
      </c>
      <c r="AH485" t="s">
        <v>63</v>
      </c>
      <c r="AI485" t="s">
        <v>5689</v>
      </c>
      <c r="AJ485">
        <v>192677</v>
      </c>
      <c r="AL485" t="s">
        <v>5690</v>
      </c>
      <c r="AM485" t="s">
        <v>5691</v>
      </c>
      <c r="AN485" t="s">
        <v>5692</v>
      </c>
      <c r="AO485" t="s">
        <v>68</v>
      </c>
      <c r="AQ485" t="s">
        <v>5693</v>
      </c>
      <c r="AR485" t="s">
        <v>5694</v>
      </c>
      <c r="AS485" t="s">
        <v>5695</v>
      </c>
      <c r="AV485" s="14" t="s">
        <v>72</v>
      </c>
      <c r="AW485" s="14" t="s">
        <v>73</v>
      </c>
      <c r="AX485" s="14" t="s">
        <v>74</v>
      </c>
    </row>
    <row r="486" spans="1:50" ht="15" customHeight="1" x14ac:dyDescent="0.4">
      <c r="A486" s="12">
        <v>3819</v>
      </c>
      <c r="B486" s="21" t="s">
        <v>5696</v>
      </c>
      <c r="C486" s="13" t="s">
        <v>5697</v>
      </c>
      <c r="D486" s="25" t="s">
        <v>5697</v>
      </c>
      <c r="E486" s="13"/>
      <c r="F486" s="41" t="s">
        <v>8106</v>
      </c>
      <c r="G486" s="65" t="s">
        <v>8185</v>
      </c>
      <c r="H486" s="14" t="s">
        <v>49</v>
      </c>
      <c r="I486" s="15">
        <v>44788</v>
      </c>
      <c r="J486" t="s">
        <v>2719</v>
      </c>
      <c r="K486" t="s">
        <v>51</v>
      </c>
      <c r="L486" t="s">
        <v>52</v>
      </c>
      <c r="M486" t="s">
        <v>53</v>
      </c>
      <c r="N486" t="s">
        <v>5591</v>
      </c>
      <c r="O486" t="s">
        <v>5592</v>
      </c>
      <c r="P486" t="s">
        <v>56</v>
      </c>
      <c r="Q486" s="21" t="s">
        <v>5593</v>
      </c>
      <c r="R486" s="21"/>
      <c r="S486" t="s">
        <v>5698</v>
      </c>
      <c r="T486" t="s">
        <v>5699</v>
      </c>
      <c r="W486" t="s">
        <v>1758</v>
      </c>
      <c r="X486" t="s">
        <v>60</v>
      </c>
      <c r="Z486" s="15"/>
      <c r="AB486">
        <v>43.056674000000001</v>
      </c>
      <c r="AC486">
        <v>-78.981437</v>
      </c>
      <c r="AD486" t="s">
        <v>5700</v>
      </c>
      <c r="AG486" t="s">
        <v>1715</v>
      </c>
      <c r="AH486" t="s">
        <v>63</v>
      </c>
      <c r="AI486" t="s">
        <v>5701</v>
      </c>
      <c r="AJ486">
        <v>192608</v>
      </c>
      <c r="AL486" t="s">
        <v>5702</v>
      </c>
      <c r="AM486" t="s">
        <v>5703</v>
      </c>
      <c r="AN486" t="s">
        <v>5704</v>
      </c>
      <c r="AO486" t="s">
        <v>68</v>
      </c>
      <c r="AQ486" t="s">
        <v>5705</v>
      </c>
      <c r="AR486" t="s">
        <v>5706</v>
      </c>
      <c r="AS486" t="s">
        <v>5707</v>
      </c>
      <c r="AV486" s="14" t="s">
        <v>72</v>
      </c>
      <c r="AW486" s="14" t="s">
        <v>73</v>
      </c>
      <c r="AX486" s="14" t="s">
        <v>74</v>
      </c>
    </row>
    <row r="487" spans="1:50" ht="15" customHeight="1" x14ac:dyDescent="0.4">
      <c r="A487" s="12">
        <v>3820</v>
      </c>
      <c r="B487" s="21" t="s">
        <v>5708</v>
      </c>
      <c r="C487" s="13" t="s">
        <v>5709</v>
      </c>
      <c r="D487" s="25" t="s">
        <v>5709</v>
      </c>
      <c r="E487" s="13"/>
      <c r="F487" s="43" t="s">
        <v>2222</v>
      </c>
      <c r="G487" s="65" t="s">
        <v>8185</v>
      </c>
      <c r="H487" s="14" t="s">
        <v>2222</v>
      </c>
      <c r="I487" s="15">
        <v>44788</v>
      </c>
      <c r="J487" t="s">
        <v>2719</v>
      </c>
      <c r="K487" t="s">
        <v>51</v>
      </c>
      <c r="L487" t="s">
        <v>52</v>
      </c>
      <c r="M487" t="s">
        <v>53</v>
      </c>
      <c r="N487" t="s">
        <v>5591</v>
      </c>
      <c r="O487" t="s">
        <v>5592</v>
      </c>
      <c r="P487" t="s">
        <v>56</v>
      </c>
      <c r="Q487" s="21" t="s">
        <v>5593</v>
      </c>
      <c r="R487" s="21"/>
      <c r="S487" t="s">
        <v>5710</v>
      </c>
      <c r="T487" t="s">
        <v>5711</v>
      </c>
      <c r="X487" t="s">
        <v>2225</v>
      </c>
      <c r="Z487" s="15"/>
      <c r="AB487">
        <v>43.056244999999997</v>
      </c>
      <c r="AC487">
        <v>-78.978697999999994</v>
      </c>
      <c r="AD487" t="s">
        <v>5712</v>
      </c>
      <c r="AG487" t="s">
        <v>1715</v>
      </c>
      <c r="AH487" t="s">
        <v>63</v>
      </c>
      <c r="AI487" t="s">
        <v>5713</v>
      </c>
      <c r="AJ487">
        <v>192599</v>
      </c>
      <c r="AL487" t="s">
        <v>5714</v>
      </c>
      <c r="AM487" t="s">
        <v>5715</v>
      </c>
      <c r="AN487" t="s">
        <v>5716</v>
      </c>
      <c r="AO487" t="s">
        <v>68</v>
      </c>
      <c r="AQ487" t="s">
        <v>5717</v>
      </c>
      <c r="AR487" t="s">
        <v>5718</v>
      </c>
      <c r="AS487" t="s">
        <v>5719</v>
      </c>
      <c r="AV487" s="14" t="s">
        <v>72</v>
      </c>
      <c r="AW487" s="14" t="s">
        <v>73</v>
      </c>
      <c r="AX487" s="14" t="s">
        <v>74</v>
      </c>
    </row>
    <row r="488" spans="1:50" ht="15" customHeight="1" x14ac:dyDescent="0.4">
      <c r="A488" s="12">
        <v>3821</v>
      </c>
      <c r="B488" s="21" t="s">
        <v>5720</v>
      </c>
      <c r="C488" s="13" t="s">
        <v>5721</v>
      </c>
      <c r="D488" s="25" t="s">
        <v>5721</v>
      </c>
      <c r="E488" s="13"/>
      <c r="F488" s="41"/>
      <c r="G488" s="65" t="s">
        <v>8185</v>
      </c>
      <c r="H488" s="14" t="s">
        <v>1878</v>
      </c>
      <c r="I488" s="15">
        <v>44788</v>
      </c>
      <c r="J488" t="s">
        <v>2719</v>
      </c>
      <c r="K488" t="s">
        <v>51</v>
      </c>
      <c r="L488" t="s">
        <v>52</v>
      </c>
      <c r="M488" t="s">
        <v>53</v>
      </c>
      <c r="N488" t="s">
        <v>5591</v>
      </c>
      <c r="O488" t="s">
        <v>5592</v>
      </c>
      <c r="P488" t="s">
        <v>56</v>
      </c>
      <c r="Q488" s="21" t="s">
        <v>5593</v>
      </c>
      <c r="R488" s="21"/>
      <c r="S488" t="s">
        <v>5722</v>
      </c>
      <c r="T488" t="s">
        <v>5723</v>
      </c>
      <c r="X488" t="s">
        <v>1881</v>
      </c>
      <c r="Z488" s="15"/>
      <c r="AB488">
        <v>43.055698999999997</v>
      </c>
      <c r="AC488">
        <v>-78.976797000000005</v>
      </c>
      <c r="AD488" t="s">
        <v>5724</v>
      </c>
      <c r="AG488" t="s">
        <v>1715</v>
      </c>
      <c r="AH488" t="s">
        <v>63</v>
      </c>
      <c r="AI488" t="s">
        <v>5725</v>
      </c>
      <c r="AJ488">
        <v>192548</v>
      </c>
      <c r="AL488" t="s">
        <v>5726</v>
      </c>
      <c r="AM488" t="s">
        <v>5727</v>
      </c>
      <c r="AN488" t="s">
        <v>5728</v>
      </c>
      <c r="AO488" t="s">
        <v>68</v>
      </c>
      <c r="AQ488" t="s">
        <v>5729</v>
      </c>
      <c r="AR488" t="s">
        <v>5730</v>
      </c>
      <c r="AS488" t="s">
        <v>5731</v>
      </c>
      <c r="AV488" s="14" t="s">
        <v>72</v>
      </c>
      <c r="AW488" s="14" t="s">
        <v>73</v>
      </c>
      <c r="AX488" s="14" t="s">
        <v>1723</v>
      </c>
    </row>
    <row r="489" spans="1:50" ht="15" customHeight="1" x14ac:dyDescent="0.4">
      <c r="A489" s="12">
        <v>3822</v>
      </c>
      <c r="B489" s="21" t="s">
        <v>5732</v>
      </c>
      <c r="C489" s="13" t="s">
        <v>5733</v>
      </c>
      <c r="D489" s="25" t="s">
        <v>5733</v>
      </c>
      <c r="E489" s="13"/>
      <c r="F489" s="41"/>
      <c r="G489" s="65" t="s">
        <v>8185</v>
      </c>
      <c r="H489" s="14" t="s">
        <v>2222</v>
      </c>
      <c r="I489" s="15">
        <v>44788</v>
      </c>
      <c r="J489" t="s">
        <v>2719</v>
      </c>
      <c r="K489" t="s">
        <v>51</v>
      </c>
      <c r="L489" t="s">
        <v>52</v>
      </c>
      <c r="M489" t="s">
        <v>53</v>
      </c>
      <c r="N489" t="s">
        <v>5591</v>
      </c>
      <c r="O489" t="s">
        <v>5592</v>
      </c>
      <c r="P489" t="s">
        <v>56</v>
      </c>
      <c r="Q489" s="21" t="s">
        <v>5593</v>
      </c>
      <c r="R489" s="21"/>
      <c r="S489" t="s">
        <v>5734</v>
      </c>
      <c r="T489" t="s">
        <v>5735</v>
      </c>
      <c r="W489" t="s">
        <v>1758</v>
      </c>
      <c r="X489" t="s">
        <v>2225</v>
      </c>
      <c r="Z489" s="15"/>
      <c r="AB489">
        <v>43.055625999999997</v>
      </c>
      <c r="AC489">
        <v>-78.974952999999999</v>
      </c>
      <c r="AD489" t="s">
        <v>5700</v>
      </c>
      <c r="AG489" t="s">
        <v>1715</v>
      </c>
      <c r="AH489" t="s">
        <v>63</v>
      </c>
      <c r="AI489" t="s">
        <v>5736</v>
      </c>
      <c r="AJ489">
        <v>192598</v>
      </c>
      <c r="AL489" t="s">
        <v>5737</v>
      </c>
      <c r="AM489" t="s">
        <v>5738</v>
      </c>
      <c r="AN489" t="s">
        <v>5739</v>
      </c>
      <c r="AO489" t="s">
        <v>68</v>
      </c>
      <c r="AQ489" t="s">
        <v>5740</v>
      </c>
      <c r="AR489" t="s">
        <v>5741</v>
      </c>
      <c r="AS489" t="s">
        <v>5742</v>
      </c>
      <c r="AV489" s="14" t="s">
        <v>72</v>
      </c>
      <c r="AW489" s="14" t="s">
        <v>73</v>
      </c>
      <c r="AX489" s="14" t="s">
        <v>74</v>
      </c>
    </row>
    <row r="490" spans="1:50" ht="15" customHeight="1" x14ac:dyDescent="0.4">
      <c r="A490" s="12">
        <v>3823</v>
      </c>
      <c r="B490" s="21" t="s">
        <v>5743</v>
      </c>
      <c r="C490" s="13" t="s">
        <v>5744</v>
      </c>
      <c r="D490" s="25" t="s">
        <v>5744</v>
      </c>
      <c r="E490" s="13"/>
      <c r="F490" s="45" t="s">
        <v>2222</v>
      </c>
      <c r="G490" s="65" t="s">
        <v>8183</v>
      </c>
      <c r="H490" s="14" t="s">
        <v>2222</v>
      </c>
      <c r="I490" s="15">
        <v>44788</v>
      </c>
      <c r="J490" t="s">
        <v>2719</v>
      </c>
      <c r="K490" t="s">
        <v>51</v>
      </c>
      <c r="L490" t="s">
        <v>52</v>
      </c>
      <c r="M490" t="s">
        <v>53</v>
      </c>
      <c r="N490" t="s">
        <v>5591</v>
      </c>
      <c r="O490" t="s">
        <v>5592</v>
      </c>
      <c r="P490" t="s">
        <v>56</v>
      </c>
      <c r="Q490" s="21" t="s">
        <v>5593</v>
      </c>
      <c r="R490" s="21"/>
      <c r="S490" t="s">
        <v>5745</v>
      </c>
      <c r="T490" t="s">
        <v>5746</v>
      </c>
      <c r="W490" t="s">
        <v>1758</v>
      </c>
      <c r="X490" t="s">
        <v>2225</v>
      </c>
      <c r="Z490" s="15"/>
      <c r="AB490">
        <v>43.055681</v>
      </c>
      <c r="AC490">
        <v>-78.974018999999998</v>
      </c>
      <c r="AD490" t="s">
        <v>5724</v>
      </c>
      <c r="AG490" t="s">
        <v>1715</v>
      </c>
      <c r="AH490" t="s">
        <v>63</v>
      </c>
      <c r="AI490" t="s">
        <v>5747</v>
      </c>
      <c r="AJ490">
        <v>192613</v>
      </c>
      <c r="AL490" t="s">
        <v>5748</v>
      </c>
      <c r="AM490" t="s">
        <v>5749</v>
      </c>
      <c r="AN490" t="s">
        <v>5750</v>
      </c>
      <c r="AO490" t="s">
        <v>68</v>
      </c>
      <c r="AQ490" t="s">
        <v>5751</v>
      </c>
      <c r="AR490" t="s">
        <v>5752</v>
      </c>
      <c r="AS490" t="s">
        <v>5753</v>
      </c>
      <c r="AV490" s="14" t="s">
        <v>72</v>
      </c>
      <c r="AW490" s="14" t="s">
        <v>73</v>
      </c>
      <c r="AX490" s="14" t="s">
        <v>74</v>
      </c>
    </row>
    <row r="491" spans="1:50" ht="15" customHeight="1" x14ac:dyDescent="0.4">
      <c r="A491" s="12">
        <v>3853</v>
      </c>
      <c r="B491" s="21" t="s">
        <v>6098</v>
      </c>
      <c r="C491" s="13" t="s">
        <v>6099</v>
      </c>
      <c r="D491" s="25" t="s">
        <v>6099</v>
      </c>
      <c r="E491" s="13"/>
      <c r="F491" s="41"/>
      <c r="G491" s="65" t="s">
        <v>8185</v>
      </c>
      <c r="H491" s="14" t="s">
        <v>6100</v>
      </c>
      <c r="I491" s="15">
        <v>44791</v>
      </c>
      <c r="J491" t="s">
        <v>2719</v>
      </c>
      <c r="K491" t="s">
        <v>51</v>
      </c>
      <c r="L491" t="s">
        <v>52</v>
      </c>
      <c r="M491" t="s">
        <v>53</v>
      </c>
      <c r="N491" t="s">
        <v>5591</v>
      </c>
      <c r="O491" t="s">
        <v>6101</v>
      </c>
      <c r="P491" t="s">
        <v>56</v>
      </c>
      <c r="Q491" s="21" t="s">
        <v>6102</v>
      </c>
      <c r="R491" s="21"/>
      <c r="S491" t="s">
        <v>6103</v>
      </c>
      <c r="T491" t="s">
        <v>6104</v>
      </c>
      <c r="X491" t="s">
        <v>6105</v>
      </c>
      <c r="Z491" s="15"/>
      <c r="AB491">
        <v>43.081232</v>
      </c>
      <c r="AC491">
        <v>-73.301637999999997</v>
      </c>
      <c r="AD491" t="s">
        <v>6106</v>
      </c>
      <c r="AG491" t="s">
        <v>1715</v>
      </c>
      <c r="AH491" t="s">
        <v>63</v>
      </c>
      <c r="AI491" t="s">
        <v>6107</v>
      </c>
      <c r="AJ491">
        <v>193692</v>
      </c>
      <c r="AL491" t="s">
        <v>6108</v>
      </c>
      <c r="AM491" t="s">
        <v>6109</v>
      </c>
      <c r="AN491" t="s">
        <v>6110</v>
      </c>
      <c r="AO491" t="s">
        <v>68</v>
      </c>
      <c r="AQ491" t="s">
        <v>6111</v>
      </c>
      <c r="AR491" t="s">
        <v>6112</v>
      </c>
      <c r="AS491" t="s">
        <v>6113</v>
      </c>
      <c r="AV491" s="14" t="s">
        <v>72</v>
      </c>
      <c r="AW491" s="14" t="s">
        <v>73</v>
      </c>
      <c r="AX491" s="14" t="s">
        <v>1723</v>
      </c>
    </row>
    <row r="492" spans="1:50" ht="15" customHeight="1" x14ac:dyDescent="0.4">
      <c r="A492" s="12">
        <v>3854</v>
      </c>
      <c r="B492" s="21" t="s">
        <v>6114</v>
      </c>
      <c r="C492" s="13" t="s">
        <v>6115</v>
      </c>
      <c r="D492" s="25" t="s">
        <v>6115</v>
      </c>
      <c r="E492" s="13"/>
      <c r="F492" s="41"/>
      <c r="G492" s="65" t="s">
        <v>8185</v>
      </c>
      <c r="H492" s="14" t="s">
        <v>1878</v>
      </c>
      <c r="I492" s="15">
        <v>44791</v>
      </c>
      <c r="J492" t="s">
        <v>2719</v>
      </c>
      <c r="K492" t="s">
        <v>51</v>
      </c>
      <c r="L492" t="s">
        <v>52</v>
      </c>
      <c r="M492" t="s">
        <v>53</v>
      </c>
      <c r="N492" t="s">
        <v>5591</v>
      </c>
      <c r="O492" t="s">
        <v>6101</v>
      </c>
      <c r="P492" t="s">
        <v>56</v>
      </c>
      <c r="Q492" s="21" t="s">
        <v>6102</v>
      </c>
      <c r="R492" s="21"/>
      <c r="S492" t="s">
        <v>6116</v>
      </c>
      <c r="T492" t="s">
        <v>6117</v>
      </c>
      <c r="X492" t="s">
        <v>1881</v>
      </c>
      <c r="Z492" s="15"/>
      <c r="AB492">
        <v>43.081313999999999</v>
      </c>
      <c r="AC492">
        <v>-73.296727000000004</v>
      </c>
      <c r="AD492" t="s">
        <v>6118</v>
      </c>
      <c r="AG492" t="s">
        <v>1715</v>
      </c>
      <c r="AH492" t="s">
        <v>63</v>
      </c>
      <c r="AI492" t="s">
        <v>6119</v>
      </c>
      <c r="AJ492">
        <v>193948</v>
      </c>
      <c r="AL492" t="s">
        <v>6120</v>
      </c>
      <c r="AM492" t="s">
        <v>6121</v>
      </c>
      <c r="AN492" t="s">
        <v>6122</v>
      </c>
      <c r="AO492" t="s">
        <v>68</v>
      </c>
      <c r="AQ492" t="s">
        <v>6123</v>
      </c>
      <c r="AR492" t="s">
        <v>6124</v>
      </c>
      <c r="AS492" t="s">
        <v>6125</v>
      </c>
      <c r="AV492" s="14" t="s">
        <v>72</v>
      </c>
      <c r="AW492" s="14" t="s">
        <v>73</v>
      </c>
      <c r="AX492" s="14" t="s">
        <v>1723</v>
      </c>
    </row>
    <row r="493" spans="1:50" ht="15" customHeight="1" x14ac:dyDescent="0.4">
      <c r="A493" s="12">
        <v>3855</v>
      </c>
      <c r="B493" s="21" t="s">
        <v>6126</v>
      </c>
      <c r="C493" s="13" t="s">
        <v>6127</v>
      </c>
      <c r="D493" s="25" t="s">
        <v>6127</v>
      </c>
      <c r="E493" s="13"/>
      <c r="F493" s="41"/>
      <c r="G493" s="65" t="s">
        <v>8185</v>
      </c>
      <c r="H493" s="14" t="s">
        <v>6100</v>
      </c>
      <c r="I493" s="15">
        <v>44791</v>
      </c>
      <c r="J493" t="s">
        <v>2719</v>
      </c>
      <c r="K493" t="s">
        <v>51</v>
      </c>
      <c r="L493" t="s">
        <v>52</v>
      </c>
      <c r="M493" t="s">
        <v>53</v>
      </c>
      <c r="N493" t="s">
        <v>5591</v>
      </c>
      <c r="O493" t="s">
        <v>6101</v>
      </c>
      <c r="P493" t="s">
        <v>56</v>
      </c>
      <c r="Q493" s="21" t="s">
        <v>6102</v>
      </c>
      <c r="R493" s="21"/>
      <c r="S493" t="s">
        <v>6128</v>
      </c>
      <c r="T493" t="s">
        <v>6129</v>
      </c>
      <c r="X493" t="s">
        <v>6105</v>
      </c>
      <c r="Z493" s="15"/>
      <c r="AB493">
        <v>43.081209000000001</v>
      </c>
      <c r="AC493">
        <v>-73.296002000000001</v>
      </c>
      <c r="AD493" t="s">
        <v>6130</v>
      </c>
      <c r="AG493" t="s">
        <v>1715</v>
      </c>
      <c r="AH493" t="s">
        <v>63</v>
      </c>
      <c r="AI493" t="s">
        <v>6131</v>
      </c>
      <c r="AJ493">
        <v>193693</v>
      </c>
      <c r="AL493" t="s">
        <v>6132</v>
      </c>
      <c r="AM493" t="s">
        <v>6133</v>
      </c>
      <c r="AN493" t="s">
        <v>6134</v>
      </c>
      <c r="AO493" t="s">
        <v>68</v>
      </c>
      <c r="AQ493" t="s">
        <v>6135</v>
      </c>
      <c r="AR493" t="s">
        <v>6136</v>
      </c>
      <c r="AS493" t="s">
        <v>6137</v>
      </c>
      <c r="AV493" s="14" t="s">
        <v>72</v>
      </c>
      <c r="AW493" s="14" t="s">
        <v>73</v>
      </c>
      <c r="AX493" s="14" t="s">
        <v>1723</v>
      </c>
    </row>
    <row r="494" spans="1:50" ht="15" customHeight="1" x14ac:dyDescent="0.4">
      <c r="A494" s="12">
        <v>3856</v>
      </c>
      <c r="B494" s="21" t="s">
        <v>6138</v>
      </c>
      <c r="C494" s="13" t="s">
        <v>6139</v>
      </c>
      <c r="D494" s="25" t="s">
        <v>6139</v>
      </c>
      <c r="E494" s="13"/>
      <c r="F494" s="41"/>
      <c r="G494" s="65" t="s">
        <v>8185</v>
      </c>
      <c r="H494" s="14" t="s">
        <v>6100</v>
      </c>
      <c r="I494" s="15">
        <v>44791</v>
      </c>
      <c r="J494" t="s">
        <v>2719</v>
      </c>
      <c r="K494" t="s">
        <v>51</v>
      </c>
      <c r="L494" t="s">
        <v>52</v>
      </c>
      <c r="M494" t="s">
        <v>53</v>
      </c>
      <c r="N494" t="s">
        <v>5591</v>
      </c>
      <c r="O494" t="s">
        <v>6101</v>
      </c>
      <c r="P494" t="s">
        <v>56</v>
      </c>
      <c r="Q494" s="21" t="s">
        <v>6102</v>
      </c>
      <c r="R494" s="21"/>
      <c r="S494" t="s">
        <v>6140</v>
      </c>
      <c r="T494" t="s">
        <v>6141</v>
      </c>
      <c r="X494" t="s">
        <v>6105</v>
      </c>
      <c r="Z494" s="15"/>
      <c r="AB494">
        <v>43.081346000000003</v>
      </c>
      <c r="AC494">
        <v>-73.294872999999995</v>
      </c>
      <c r="AD494" t="s">
        <v>6142</v>
      </c>
      <c r="AG494" t="s">
        <v>1715</v>
      </c>
      <c r="AH494" t="s">
        <v>63</v>
      </c>
      <c r="AI494" t="s">
        <v>6143</v>
      </c>
      <c r="AJ494">
        <v>193767</v>
      </c>
      <c r="AL494" t="s">
        <v>6144</v>
      </c>
      <c r="AM494" t="s">
        <v>6145</v>
      </c>
      <c r="AN494" t="s">
        <v>6146</v>
      </c>
      <c r="AO494" t="s">
        <v>68</v>
      </c>
      <c r="AQ494" t="s">
        <v>6147</v>
      </c>
      <c r="AR494" t="s">
        <v>6148</v>
      </c>
      <c r="AS494" t="s">
        <v>6149</v>
      </c>
      <c r="AV494" s="14" t="s">
        <v>72</v>
      </c>
      <c r="AW494" s="14" t="s">
        <v>73</v>
      </c>
      <c r="AX494" s="14" t="s">
        <v>1723</v>
      </c>
    </row>
    <row r="495" spans="1:50" ht="15" customHeight="1" x14ac:dyDescent="0.4">
      <c r="A495" s="12">
        <v>3857</v>
      </c>
      <c r="B495" s="21" t="s">
        <v>6150</v>
      </c>
      <c r="C495" s="13" t="s">
        <v>6151</v>
      </c>
      <c r="D495" s="25" t="s">
        <v>6151</v>
      </c>
      <c r="E495" s="13"/>
      <c r="F495" s="41"/>
      <c r="G495" s="65" t="s">
        <v>8185</v>
      </c>
      <c r="H495" s="14" t="s">
        <v>6100</v>
      </c>
      <c r="I495" s="15">
        <v>44791</v>
      </c>
      <c r="J495" t="s">
        <v>2719</v>
      </c>
      <c r="K495" t="s">
        <v>51</v>
      </c>
      <c r="L495" t="s">
        <v>52</v>
      </c>
      <c r="M495" t="s">
        <v>53</v>
      </c>
      <c r="N495" t="s">
        <v>5591</v>
      </c>
      <c r="O495" t="s">
        <v>6101</v>
      </c>
      <c r="P495" t="s">
        <v>56</v>
      </c>
      <c r="Q495" s="21" t="s">
        <v>6102</v>
      </c>
      <c r="R495" s="21"/>
      <c r="S495" t="s">
        <v>6152</v>
      </c>
      <c r="T495" t="s">
        <v>6153</v>
      </c>
      <c r="X495" t="s">
        <v>6105</v>
      </c>
      <c r="Z495" s="15"/>
      <c r="AB495">
        <v>43.081440000000001</v>
      </c>
      <c r="AC495">
        <v>-73.293407999999999</v>
      </c>
      <c r="AD495" t="s">
        <v>6154</v>
      </c>
      <c r="AG495" t="s">
        <v>1715</v>
      </c>
      <c r="AH495" t="s">
        <v>63</v>
      </c>
      <c r="AI495" t="s">
        <v>6155</v>
      </c>
      <c r="AJ495">
        <v>193768</v>
      </c>
      <c r="AL495" t="s">
        <v>6156</v>
      </c>
      <c r="AM495" t="s">
        <v>6157</v>
      </c>
      <c r="AN495" t="s">
        <v>6158</v>
      </c>
      <c r="AO495" t="s">
        <v>68</v>
      </c>
      <c r="AQ495" t="s">
        <v>6159</v>
      </c>
      <c r="AR495" t="s">
        <v>6160</v>
      </c>
      <c r="AS495" t="s">
        <v>6161</v>
      </c>
      <c r="AV495" s="14" t="s">
        <v>72</v>
      </c>
      <c r="AW495" s="14" t="s">
        <v>73</v>
      </c>
      <c r="AX495" s="14" t="s">
        <v>1723</v>
      </c>
    </row>
    <row r="496" spans="1:50" ht="15" customHeight="1" x14ac:dyDescent="0.4">
      <c r="A496" s="12">
        <v>3858</v>
      </c>
      <c r="B496" s="21" t="s">
        <v>6162</v>
      </c>
      <c r="C496" s="13" t="s">
        <v>6163</v>
      </c>
      <c r="D496" s="25" t="s">
        <v>6163</v>
      </c>
      <c r="E496" s="13"/>
      <c r="F496" s="41"/>
      <c r="G496" s="65" t="s">
        <v>8185</v>
      </c>
      <c r="H496" s="14" t="s">
        <v>6100</v>
      </c>
      <c r="I496" s="15">
        <v>44791</v>
      </c>
      <c r="J496" t="s">
        <v>2719</v>
      </c>
      <c r="K496" t="s">
        <v>51</v>
      </c>
      <c r="L496" t="s">
        <v>52</v>
      </c>
      <c r="M496" t="s">
        <v>53</v>
      </c>
      <c r="N496" t="s">
        <v>5591</v>
      </c>
      <c r="O496" t="s">
        <v>6101</v>
      </c>
      <c r="P496" t="s">
        <v>56</v>
      </c>
      <c r="Q496" s="21" t="s">
        <v>6102</v>
      </c>
      <c r="R496" s="21"/>
      <c r="S496" t="s">
        <v>6164</v>
      </c>
      <c r="T496" t="s">
        <v>6165</v>
      </c>
      <c r="X496" t="s">
        <v>6105</v>
      </c>
      <c r="Z496" s="15"/>
      <c r="AB496">
        <v>43.081873999999999</v>
      </c>
      <c r="AC496">
        <v>-73.292845</v>
      </c>
      <c r="AD496" t="s">
        <v>6166</v>
      </c>
      <c r="AG496" t="s">
        <v>1715</v>
      </c>
      <c r="AH496" t="s">
        <v>63</v>
      </c>
      <c r="AI496" t="s">
        <v>6167</v>
      </c>
      <c r="AJ496">
        <v>193694</v>
      </c>
      <c r="AL496" t="s">
        <v>6168</v>
      </c>
      <c r="AM496" t="s">
        <v>6169</v>
      </c>
      <c r="AN496" t="s">
        <v>6170</v>
      </c>
      <c r="AO496" t="s">
        <v>68</v>
      </c>
      <c r="AQ496" t="s">
        <v>6171</v>
      </c>
      <c r="AR496" t="s">
        <v>6172</v>
      </c>
      <c r="AS496" t="s">
        <v>6173</v>
      </c>
      <c r="AV496" s="14" t="s">
        <v>72</v>
      </c>
      <c r="AW496" s="14" t="s">
        <v>73</v>
      </c>
      <c r="AX496" s="14" t="s">
        <v>1723</v>
      </c>
    </row>
    <row r="497" spans="1:50" ht="15" customHeight="1" x14ac:dyDescent="0.4">
      <c r="A497" s="12">
        <v>3868</v>
      </c>
      <c r="B497" s="21" t="s">
        <v>6282</v>
      </c>
      <c r="C497" s="13" t="s">
        <v>6283</v>
      </c>
      <c r="D497" s="25" t="s">
        <v>6283</v>
      </c>
      <c r="E497" s="13"/>
      <c r="F497" s="41"/>
      <c r="G497" s="65" t="s">
        <v>8185</v>
      </c>
      <c r="H497" s="14" t="s">
        <v>1878</v>
      </c>
      <c r="I497" s="15">
        <v>44792</v>
      </c>
      <c r="J497" t="s">
        <v>2719</v>
      </c>
      <c r="K497" t="s">
        <v>51</v>
      </c>
      <c r="L497" t="s">
        <v>52</v>
      </c>
      <c r="M497" t="s">
        <v>53</v>
      </c>
      <c r="N497" t="s">
        <v>5591</v>
      </c>
      <c r="O497" t="s">
        <v>6101</v>
      </c>
      <c r="P497" t="s">
        <v>56</v>
      </c>
      <c r="Q497" s="21" t="s">
        <v>6102</v>
      </c>
      <c r="R497" s="21"/>
      <c r="S497" t="s">
        <v>6284</v>
      </c>
      <c r="T497" t="s">
        <v>6285</v>
      </c>
      <c r="X497" t="s">
        <v>1881</v>
      </c>
      <c r="Z497" s="15"/>
      <c r="AB497">
        <v>43.075901999999999</v>
      </c>
      <c r="AC497">
        <v>-73.295101000000003</v>
      </c>
      <c r="AD497" t="s">
        <v>6286</v>
      </c>
      <c r="AG497" t="s">
        <v>1715</v>
      </c>
      <c r="AH497" t="s">
        <v>63</v>
      </c>
      <c r="AI497" t="s">
        <v>6287</v>
      </c>
      <c r="AJ497">
        <v>194159</v>
      </c>
      <c r="AL497" t="s">
        <v>6288</v>
      </c>
      <c r="AM497" t="s">
        <v>6289</v>
      </c>
      <c r="AN497" t="s">
        <v>6290</v>
      </c>
      <c r="AO497" t="s">
        <v>68</v>
      </c>
      <c r="AQ497" t="s">
        <v>6291</v>
      </c>
      <c r="AR497" t="s">
        <v>6292</v>
      </c>
      <c r="AS497" t="s">
        <v>6293</v>
      </c>
      <c r="AV497" s="14" t="s">
        <v>72</v>
      </c>
      <c r="AW497" s="14" t="s">
        <v>73</v>
      </c>
      <c r="AX497" s="14" t="s">
        <v>1723</v>
      </c>
    </row>
    <row r="498" spans="1:50" ht="15" customHeight="1" x14ac:dyDescent="0.4">
      <c r="A498" s="12">
        <v>3834</v>
      </c>
      <c r="B498" s="21" t="s">
        <v>5873</v>
      </c>
      <c r="C498" s="13" t="s">
        <v>5874</v>
      </c>
      <c r="D498" s="25" t="s">
        <v>5874</v>
      </c>
      <c r="E498" s="13"/>
      <c r="F498" s="41"/>
      <c r="G498" s="65" t="s">
        <v>8185</v>
      </c>
      <c r="H498" s="14" t="s">
        <v>49</v>
      </c>
      <c r="I498" s="15">
        <v>44790</v>
      </c>
      <c r="J498" t="s">
        <v>2719</v>
      </c>
      <c r="K498" t="s">
        <v>51</v>
      </c>
      <c r="L498" t="s">
        <v>52</v>
      </c>
      <c r="M498" t="s">
        <v>53</v>
      </c>
      <c r="N498" t="s">
        <v>5591</v>
      </c>
      <c r="O498" t="s">
        <v>5875</v>
      </c>
      <c r="P498" t="s">
        <v>56</v>
      </c>
      <c r="Q498" s="21" t="s">
        <v>5876</v>
      </c>
      <c r="R498" s="21"/>
      <c r="S498" t="s">
        <v>5877</v>
      </c>
      <c r="T498" t="s">
        <v>5878</v>
      </c>
      <c r="W498" t="s">
        <v>1758</v>
      </c>
      <c r="X498" t="s">
        <v>60</v>
      </c>
      <c r="Z498" s="15"/>
      <c r="AB498">
        <v>44.101258999999999</v>
      </c>
      <c r="AC498">
        <v>-76.074804999999998</v>
      </c>
      <c r="AD498" t="s">
        <v>4280</v>
      </c>
      <c r="AG498" t="s">
        <v>1715</v>
      </c>
      <c r="AH498" t="s">
        <v>63</v>
      </c>
      <c r="AI498" t="s">
        <v>5879</v>
      </c>
      <c r="AJ498">
        <v>192587</v>
      </c>
      <c r="AL498" t="s">
        <v>5880</v>
      </c>
      <c r="AM498" t="s">
        <v>5881</v>
      </c>
      <c r="AN498" t="s">
        <v>5882</v>
      </c>
      <c r="AO498" t="s">
        <v>68</v>
      </c>
      <c r="AQ498" t="s">
        <v>5883</v>
      </c>
      <c r="AR498" t="s">
        <v>5884</v>
      </c>
      <c r="AS498" t="s">
        <v>5885</v>
      </c>
      <c r="AV498" s="14" t="s">
        <v>72</v>
      </c>
      <c r="AW498" s="14" t="s">
        <v>73</v>
      </c>
      <c r="AX498" s="14" t="s">
        <v>74</v>
      </c>
    </row>
    <row r="499" spans="1:50" ht="15" customHeight="1" x14ac:dyDescent="0.4">
      <c r="A499" s="12">
        <v>3835</v>
      </c>
      <c r="B499" s="21" t="s">
        <v>5886</v>
      </c>
      <c r="C499" s="13" t="s">
        <v>5887</v>
      </c>
      <c r="D499" s="25" t="s">
        <v>5887</v>
      </c>
      <c r="E499" s="13"/>
      <c r="F499" s="41"/>
      <c r="G499" s="65" t="s">
        <v>8185</v>
      </c>
      <c r="H499" s="14" t="s">
        <v>49</v>
      </c>
      <c r="I499" s="15">
        <v>44790</v>
      </c>
      <c r="J499" t="s">
        <v>2719</v>
      </c>
      <c r="K499" t="s">
        <v>51</v>
      </c>
      <c r="L499" t="s">
        <v>52</v>
      </c>
      <c r="M499" t="s">
        <v>53</v>
      </c>
      <c r="N499" t="s">
        <v>5591</v>
      </c>
      <c r="O499" t="s">
        <v>5875</v>
      </c>
      <c r="P499" t="s">
        <v>56</v>
      </c>
      <c r="Q499" s="21" t="s">
        <v>5876</v>
      </c>
      <c r="R499" s="21"/>
      <c r="S499" t="s">
        <v>5888</v>
      </c>
      <c r="T499" t="s">
        <v>5889</v>
      </c>
      <c r="W499" t="s">
        <v>1758</v>
      </c>
      <c r="X499" t="s">
        <v>60</v>
      </c>
      <c r="Z499" s="15"/>
      <c r="AB499">
        <v>44.099711999999997</v>
      </c>
      <c r="AC499">
        <v>-76.075817999999998</v>
      </c>
      <c r="AD499" t="s">
        <v>5890</v>
      </c>
      <c r="AF499" s="61"/>
      <c r="AG499" t="s">
        <v>1715</v>
      </c>
      <c r="AH499" t="s">
        <v>63</v>
      </c>
      <c r="AI499" t="s">
        <v>5891</v>
      </c>
      <c r="AJ499">
        <v>192585</v>
      </c>
      <c r="AL499" t="s">
        <v>5892</v>
      </c>
      <c r="AM499" t="s">
        <v>5893</v>
      </c>
      <c r="AN499" t="s">
        <v>5894</v>
      </c>
      <c r="AO499" t="s">
        <v>68</v>
      </c>
      <c r="AQ499" t="s">
        <v>5895</v>
      </c>
      <c r="AR499" t="s">
        <v>5896</v>
      </c>
      <c r="AS499" t="s">
        <v>5897</v>
      </c>
      <c r="AV499" s="14" t="s">
        <v>72</v>
      </c>
      <c r="AW499" s="14" t="s">
        <v>73</v>
      </c>
      <c r="AX499" s="14" t="s">
        <v>74</v>
      </c>
    </row>
    <row r="500" spans="1:50" ht="15" customHeight="1" x14ac:dyDescent="0.4">
      <c r="A500" s="12">
        <v>3836</v>
      </c>
      <c r="B500" s="21" t="s">
        <v>5898</v>
      </c>
      <c r="C500" s="13" t="s">
        <v>5899</v>
      </c>
      <c r="D500" s="25" t="s">
        <v>5899</v>
      </c>
      <c r="E500" s="13"/>
      <c r="F500" s="41"/>
      <c r="G500" s="65" t="s">
        <v>8185</v>
      </c>
      <c r="H500" s="14" t="s">
        <v>49</v>
      </c>
      <c r="I500" s="15">
        <v>44790</v>
      </c>
      <c r="J500" t="s">
        <v>2719</v>
      </c>
      <c r="K500" t="s">
        <v>51</v>
      </c>
      <c r="L500" t="s">
        <v>52</v>
      </c>
      <c r="M500" t="s">
        <v>53</v>
      </c>
      <c r="N500" t="s">
        <v>5591</v>
      </c>
      <c r="O500" t="s">
        <v>5875</v>
      </c>
      <c r="P500" t="s">
        <v>56</v>
      </c>
      <c r="Q500" s="21" t="s">
        <v>5876</v>
      </c>
      <c r="R500" s="21"/>
      <c r="S500" t="s">
        <v>5900</v>
      </c>
      <c r="T500" t="s">
        <v>5901</v>
      </c>
      <c r="X500" t="s">
        <v>60</v>
      </c>
      <c r="Z500" s="15"/>
      <c r="AB500">
        <v>44.098863999999999</v>
      </c>
      <c r="AC500">
        <v>-76.076791</v>
      </c>
      <c r="AD500" t="s">
        <v>5902</v>
      </c>
      <c r="AG500" t="s">
        <v>1715</v>
      </c>
      <c r="AH500" t="s">
        <v>63</v>
      </c>
      <c r="AI500" t="s">
        <v>5903</v>
      </c>
      <c r="AJ500">
        <v>192582</v>
      </c>
      <c r="AL500" t="s">
        <v>5904</v>
      </c>
      <c r="AM500" t="s">
        <v>5905</v>
      </c>
      <c r="AN500" t="s">
        <v>5906</v>
      </c>
      <c r="AO500" t="s">
        <v>68</v>
      </c>
      <c r="AQ500" t="s">
        <v>5907</v>
      </c>
      <c r="AR500" t="s">
        <v>5908</v>
      </c>
      <c r="AS500" t="s">
        <v>5909</v>
      </c>
      <c r="AV500" s="14" t="s">
        <v>72</v>
      </c>
      <c r="AW500" s="14" t="s">
        <v>73</v>
      </c>
      <c r="AX500" s="14" t="s">
        <v>74</v>
      </c>
    </row>
    <row r="501" spans="1:50" ht="15" customHeight="1" x14ac:dyDescent="0.4">
      <c r="A501" s="12">
        <v>3837</v>
      </c>
      <c r="B501" s="21" t="s">
        <v>5910</v>
      </c>
      <c r="C501" s="13" t="s">
        <v>5911</v>
      </c>
      <c r="D501" s="25" t="s">
        <v>5911</v>
      </c>
      <c r="E501" s="13"/>
      <c r="F501" s="43" t="s">
        <v>49</v>
      </c>
      <c r="G501" s="65" t="s">
        <v>8182</v>
      </c>
      <c r="H501" s="14" t="s">
        <v>49</v>
      </c>
      <c r="I501" s="15">
        <v>44790</v>
      </c>
      <c r="J501" t="s">
        <v>2719</v>
      </c>
      <c r="K501" t="s">
        <v>51</v>
      </c>
      <c r="L501" t="s">
        <v>52</v>
      </c>
      <c r="M501" t="s">
        <v>53</v>
      </c>
      <c r="N501" t="s">
        <v>5591</v>
      </c>
      <c r="O501" t="s">
        <v>5875</v>
      </c>
      <c r="P501" t="s">
        <v>56</v>
      </c>
      <c r="Q501" s="21" t="s">
        <v>5876</v>
      </c>
      <c r="R501" s="21"/>
      <c r="S501" t="s">
        <v>5912</v>
      </c>
      <c r="T501" t="s">
        <v>5913</v>
      </c>
      <c r="X501" t="s">
        <v>60</v>
      </c>
      <c r="Z501" s="15"/>
      <c r="AB501">
        <v>44.098672999999998</v>
      </c>
      <c r="AC501">
        <v>-76.078697000000005</v>
      </c>
      <c r="AD501" t="s">
        <v>5914</v>
      </c>
      <c r="AG501" t="s">
        <v>1715</v>
      </c>
      <c r="AH501" t="s">
        <v>63</v>
      </c>
      <c r="AI501" t="s">
        <v>5915</v>
      </c>
      <c r="AJ501">
        <v>194446</v>
      </c>
      <c r="AL501" t="s">
        <v>5916</v>
      </c>
      <c r="AM501" t="s">
        <v>5917</v>
      </c>
      <c r="AN501" t="s">
        <v>5918</v>
      </c>
      <c r="AO501" t="s">
        <v>68</v>
      </c>
      <c r="AQ501" t="s">
        <v>5919</v>
      </c>
      <c r="AR501" t="s">
        <v>5920</v>
      </c>
      <c r="AS501" t="s">
        <v>5921</v>
      </c>
      <c r="AV501" s="14" t="s">
        <v>72</v>
      </c>
      <c r="AW501" s="14" t="s">
        <v>73</v>
      </c>
      <c r="AX501" s="14" t="s">
        <v>74</v>
      </c>
    </row>
    <row r="502" spans="1:50" ht="15" customHeight="1" x14ac:dyDescent="0.4">
      <c r="A502" s="12">
        <v>3838</v>
      </c>
      <c r="B502" s="21" t="s">
        <v>5922</v>
      </c>
      <c r="C502" s="13" t="s">
        <v>5923</v>
      </c>
      <c r="D502" s="25" t="s">
        <v>5923</v>
      </c>
      <c r="E502" s="13"/>
      <c r="F502" s="41"/>
      <c r="G502" s="65" t="s">
        <v>8185</v>
      </c>
      <c r="H502" s="14" t="s">
        <v>1878</v>
      </c>
      <c r="I502" s="15">
        <v>44790</v>
      </c>
      <c r="J502" t="s">
        <v>2719</v>
      </c>
      <c r="K502" t="s">
        <v>51</v>
      </c>
      <c r="L502" t="s">
        <v>52</v>
      </c>
      <c r="M502" t="s">
        <v>53</v>
      </c>
      <c r="N502" t="s">
        <v>5591</v>
      </c>
      <c r="O502" t="s">
        <v>5875</v>
      </c>
      <c r="P502" t="s">
        <v>56</v>
      </c>
      <c r="Q502" s="21" t="s">
        <v>5876</v>
      </c>
      <c r="R502" s="21"/>
      <c r="S502" t="s">
        <v>5900</v>
      </c>
      <c r="T502" t="s">
        <v>5924</v>
      </c>
      <c r="X502" t="s">
        <v>1881</v>
      </c>
      <c r="Z502" s="15"/>
      <c r="AB502">
        <v>44.098024000000002</v>
      </c>
      <c r="AC502">
        <v>-76.079464000000002</v>
      </c>
      <c r="AD502" t="s">
        <v>5925</v>
      </c>
      <c r="AG502" t="s">
        <v>1715</v>
      </c>
      <c r="AH502" t="s">
        <v>63</v>
      </c>
      <c r="AI502" t="s">
        <v>5926</v>
      </c>
      <c r="AJ502">
        <v>192588</v>
      </c>
      <c r="AL502" t="s">
        <v>5927</v>
      </c>
      <c r="AM502" t="s">
        <v>5928</v>
      </c>
      <c r="AN502" t="s">
        <v>5929</v>
      </c>
      <c r="AO502" t="s">
        <v>68</v>
      </c>
      <c r="AQ502" t="s">
        <v>5930</v>
      </c>
      <c r="AR502" t="s">
        <v>5931</v>
      </c>
      <c r="AS502" t="s">
        <v>5932</v>
      </c>
      <c r="AV502" s="14" t="s">
        <v>72</v>
      </c>
      <c r="AW502" s="14" t="s">
        <v>73</v>
      </c>
      <c r="AX502" s="14" t="s">
        <v>1723</v>
      </c>
    </row>
    <row r="503" spans="1:50" ht="15" customHeight="1" x14ac:dyDescent="0.4">
      <c r="A503" s="12">
        <v>3839</v>
      </c>
      <c r="B503" s="21" t="s">
        <v>5933</v>
      </c>
      <c r="C503" s="13" t="s">
        <v>5934</v>
      </c>
      <c r="D503" s="25" t="s">
        <v>5934</v>
      </c>
      <c r="E503" s="13"/>
      <c r="F503" s="41"/>
      <c r="G503" s="65" t="s">
        <v>8153</v>
      </c>
      <c r="H503" s="14" t="s">
        <v>49</v>
      </c>
      <c r="I503" s="15">
        <v>44790</v>
      </c>
      <c r="J503" t="s">
        <v>2719</v>
      </c>
      <c r="K503" t="s">
        <v>51</v>
      </c>
      <c r="L503" t="s">
        <v>52</v>
      </c>
      <c r="M503" t="s">
        <v>53</v>
      </c>
      <c r="N503" t="s">
        <v>5591</v>
      </c>
      <c r="O503" t="s">
        <v>5875</v>
      </c>
      <c r="P503" t="s">
        <v>56</v>
      </c>
      <c r="Q503" s="21" t="s">
        <v>5876</v>
      </c>
      <c r="R503" s="21"/>
      <c r="S503" t="s">
        <v>5935</v>
      </c>
      <c r="T503" t="s">
        <v>5936</v>
      </c>
      <c r="W503" t="s">
        <v>1758</v>
      </c>
      <c r="X503" t="s">
        <v>60</v>
      </c>
      <c r="Z503" s="15"/>
      <c r="AB503">
        <v>44.097946999999998</v>
      </c>
      <c r="AC503">
        <v>-76.079857000000004</v>
      </c>
      <c r="AD503" t="s">
        <v>5902</v>
      </c>
      <c r="AG503" t="s">
        <v>1715</v>
      </c>
      <c r="AH503" t="s">
        <v>63</v>
      </c>
      <c r="AI503" t="s">
        <v>5937</v>
      </c>
      <c r="AJ503">
        <v>194447</v>
      </c>
      <c r="AL503" t="s">
        <v>5938</v>
      </c>
      <c r="AM503" t="s">
        <v>5939</v>
      </c>
      <c r="AN503" t="s">
        <v>5940</v>
      </c>
      <c r="AO503" t="s">
        <v>68</v>
      </c>
      <c r="AQ503" t="s">
        <v>5941</v>
      </c>
      <c r="AR503" t="s">
        <v>5942</v>
      </c>
      <c r="AS503" t="s">
        <v>5943</v>
      </c>
      <c r="AV503" s="14" t="s">
        <v>72</v>
      </c>
      <c r="AW503" s="14" t="s">
        <v>73</v>
      </c>
      <c r="AX503" s="14" t="s">
        <v>74</v>
      </c>
    </row>
    <row r="504" spans="1:50" ht="15" customHeight="1" x14ac:dyDescent="0.4">
      <c r="A504" s="12">
        <v>3840</v>
      </c>
      <c r="B504" s="21" t="s">
        <v>5944</v>
      </c>
      <c r="C504" s="13" t="s">
        <v>5945</v>
      </c>
      <c r="D504" s="25" t="s">
        <v>5945</v>
      </c>
      <c r="E504" s="13"/>
      <c r="F504" s="41" t="s">
        <v>8119</v>
      </c>
      <c r="G504" s="65" t="s">
        <v>8185</v>
      </c>
      <c r="H504" s="14" t="s">
        <v>1878</v>
      </c>
      <c r="I504" s="15">
        <v>44790</v>
      </c>
      <c r="J504" t="s">
        <v>2719</v>
      </c>
      <c r="K504" t="s">
        <v>51</v>
      </c>
      <c r="L504" t="s">
        <v>52</v>
      </c>
      <c r="M504" t="s">
        <v>53</v>
      </c>
      <c r="N504" t="s">
        <v>5591</v>
      </c>
      <c r="O504" t="s">
        <v>5875</v>
      </c>
      <c r="P504" t="s">
        <v>56</v>
      </c>
      <c r="Q504" s="21" t="s">
        <v>5876</v>
      </c>
      <c r="R504" s="21"/>
      <c r="S504" t="s">
        <v>5946</v>
      </c>
      <c r="T504" t="s">
        <v>5947</v>
      </c>
      <c r="W504" t="s">
        <v>1758</v>
      </c>
      <c r="X504" t="s">
        <v>1881</v>
      </c>
      <c r="Z504" s="15"/>
      <c r="AB504">
        <v>44.097900000000003</v>
      </c>
      <c r="AC504">
        <v>-76.080360999999996</v>
      </c>
      <c r="AD504" t="s">
        <v>5948</v>
      </c>
      <c r="AG504" t="s">
        <v>1715</v>
      </c>
      <c r="AH504" t="s">
        <v>63</v>
      </c>
      <c r="AI504" t="s">
        <v>5949</v>
      </c>
      <c r="AJ504">
        <v>192544</v>
      </c>
      <c r="AL504" t="s">
        <v>5950</v>
      </c>
      <c r="AM504" t="s">
        <v>5951</v>
      </c>
      <c r="AN504" t="s">
        <v>5952</v>
      </c>
      <c r="AO504" t="s">
        <v>68</v>
      </c>
      <c r="AQ504" t="s">
        <v>5953</v>
      </c>
      <c r="AR504" t="s">
        <v>5954</v>
      </c>
      <c r="AS504" t="s">
        <v>5955</v>
      </c>
      <c r="AV504" s="14" t="s">
        <v>72</v>
      </c>
      <c r="AW504" s="14" t="s">
        <v>73</v>
      </c>
      <c r="AX504" s="14" t="s">
        <v>1723</v>
      </c>
    </row>
    <row r="505" spans="1:50" ht="15" customHeight="1" x14ac:dyDescent="0.4">
      <c r="A505" s="12">
        <v>3841</v>
      </c>
      <c r="B505" s="21" t="s">
        <v>5956</v>
      </c>
      <c r="C505" s="13" t="s">
        <v>5957</v>
      </c>
      <c r="D505" s="25" t="s">
        <v>5957</v>
      </c>
      <c r="E505" s="13"/>
      <c r="F505" s="45" t="s">
        <v>1878</v>
      </c>
      <c r="G505" s="65" t="s">
        <v>8158</v>
      </c>
      <c r="H505" s="14" t="s">
        <v>1878</v>
      </c>
      <c r="I505" s="15">
        <v>44790</v>
      </c>
      <c r="J505" t="s">
        <v>2719</v>
      </c>
      <c r="K505" t="s">
        <v>51</v>
      </c>
      <c r="L505" t="s">
        <v>52</v>
      </c>
      <c r="M505" t="s">
        <v>53</v>
      </c>
      <c r="N505" t="s">
        <v>5591</v>
      </c>
      <c r="O505" t="s">
        <v>5875</v>
      </c>
      <c r="P505" t="s">
        <v>56</v>
      </c>
      <c r="Q505" s="21" t="s">
        <v>5876</v>
      </c>
      <c r="R505" s="21"/>
      <c r="S505" t="s">
        <v>5888</v>
      </c>
      <c r="T505" t="s">
        <v>5958</v>
      </c>
      <c r="X505" t="s">
        <v>1881</v>
      </c>
      <c r="Z505" s="15"/>
      <c r="AB505">
        <v>44.099964</v>
      </c>
      <c r="AC505">
        <v>-76.075710000000001</v>
      </c>
      <c r="AD505" t="s">
        <v>5959</v>
      </c>
      <c r="AG505" t="s">
        <v>1715</v>
      </c>
      <c r="AH505" t="s">
        <v>63</v>
      </c>
      <c r="AI505" t="s">
        <v>5960</v>
      </c>
      <c r="AJ505">
        <v>192545</v>
      </c>
      <c r="AL505" t="s">
        <v>5961</v>
      </c>
      <c r="AM505" t="s">
        <v>5962</v>
      </c>
      <c r="AN505" t="s">
        <v>5963</v>
      </c>
      <c r="AO505" t="s">
        <v>68</v>
      </c>
      <c r="AQ505" t="s">
        <v>5964</v>
      </c>
      <c r="AR505" t="s">
        <v>5965</v>
      </c>
      <c r="AS505" t="s">
        <v>5966</v>
      </c>
      <c r="AV505" s="14" t="s">
        <v>72</v>
      </c>
      <c r="AW505" s="14" t="s">
        <v>73</v>
      </c>
      <c r="AX505" s="14" t="s">
        <v>1723</v>
      </c>
    </row>
    <row r="506" spans="1:50" ht="15" customHeight="1" x14ac:dyDescent="0.4">
      <c r="A506" s="12">
        <v>3842</v>
      </c>
      <c r="B506" s="21" t="s">
        <v>5967</v>
      </c>
      <c r="C506" s="13" t="s">
        <v>5968</v>
      </c>
      <c r="D506" s="25" t="s">
        <v>5968</v>
      </c>
      <c r="E506" s="13"/>
      <c r="F506" s="41"/>
      <c r="G506" s="65" t="s">
        <v>8185</v>
      </c>
      <c r="H506" s="14" t="s">
        <v>1878</v>
      </c>
      <c r="I506" s="15">
        <v>44790</v>
      </c>
      <c r="J506" t="s">
        <v>2719</v>
      </c>
      <c r="K506" t="s">
        <v>51</v>
      </c>
      <c r="L506" t="s">
        <v>52</v>
      </c>
      <c r="M506" t="s">
        <v>53</v>
      </c>
      <c r="N506" t="s">
        <v>5591</v>
      </c>
      <c r="O506" t="s">
        <v>5875</v>
      </c>
      <c r="P506" t="s">
        <v>56</v>
      </c>
      <c r="Q506" s="21" t="s">
        <v>5876</v>
      </c>
      <c r="R506" s="21"/>
      <c r="S506" t="s">
        <v>5969</v>
      </c>
      <c r="T506" t="s">
        <v>5970</v>
      </c>
      <c r="X506" t="s">
        <v>1881</v>
      </c>
      <c r="Z506" s="15"/>
      <c r="AB506">
        <v>44.100976000000003</v>
      </c>
      <c r="AC506">
        <v>-76.076863000000003</v>
      </c>
      <c r="AD506" t="s">
        <v>5971</v>
      </c>
      <c r="AG506" t="s">
        <v>1715</v>
      </c>
      <c r="AH506" t="s">
        <v>63</v>
      </c>
      <c r="AI506" t="s">
        <v>5972</v>
      </c>
      <c r="AJ506">
        <v>193944</v>
      </c>
      <c r="AL506" t="s">
        <v>5973</v>
      </c>
      <c r="AM506" t="s">
        <v>5974</v>
      </c>
      <c r="AN506" t="s">
        <v>5975</v>
      </c>
      <c r="AO506" t="s">
        <v>68</v>
      </c>
      <c r="AQ506" t="s">
        <v>5976</v>
      </c>
      <c r="AR506" t="s">
        <v>5977</v>
      </c>
      <c r="AS506" t="s">
        <v>5978</v>
      </c>
      <c r="AV506" s="14" t="s">
        <v>72</v>
      </c>
      <c r="AW506" s="14" t="s">
        <v>73</v>
      </c>
      <c r="AX506" s="14" t="s">
        <v>1723</v>
      </c>
    </row>
    <row r="507" spans="1:50" ht="15" customHeight="1" x14ac:dyDescent="0.4">
      <c r="A507" s="12">
        <v>3843</v>
      </c>
      <c r="B507" s="21" t="s">
        <v>5979</v>
      </c>
      <c r="C507" s="13" t="s">
        <v>5980</v>
      </c>
      <c r="D507" s="25" t="s">
        <v>5980</v>
      </c>
      <c r="E507" s="13"/>
      <c r="F507" s="41"/>
      <c r="G507" s="65" t="s">
        <v>8185</v>
      </c>
      <c r="H507" s="14" t="s">
        <v>1878</v>
      </c>
      <c r="I507" s="15">
        <v>44790</v>
      </c>
      <c r="J507" t="s">
        <v>2719</v>
      </c>
      <c r="K507" t="s">
        <v>51</v>
      </c>
      <c r="L507" t="s">
        <v>52</v>
      </c>
      <c r="M507" t="s">
        <v>53</v>
      </c>
      <c r="N507" t="s">
        <v>5591</v>
      </c>
      <c r="O507" t="s">
        <v>5875</v>
      </c>
      <c r="P507" t="s">
        <v>56</v>
      </c>
      <c r="Q507" s="21" t="s">
        <v>5876</v>
      </c>
      <c r="R507" s="21"/>
      <c r="S507" t="s">
        <v>5981</v>
      </c>
      <c r="T507" t="s">
        <v>5982</v>
      </c>
      <c r="X507" t="s">
        <v>1881</v>
      </c>
      <c r="Z507" s="15"/>
      <c r="AB507">
        <v>44.102083</v>
      </c>
      <c r="AC507">
        <v>-76.078216999999995</v>
      </c>
      <c r="AD507" t="s">
        <v>5983</v>
      </c>
      <c r="AG507" t="s">
        <v>1715</v>
      </c>
      <c r="AH507" t="s">
        <v>63</v>
      </c>
      <c r="AI507" t="s">
        <v>5984</v>
      </c>
      <c r="AJ507">
        <v>193945</v>
      </c>
      <c r="AL507" t="s">
        <v>5985</v>
      </c>
      <c r="AM507" t="s">
        <v>5986</v>
      </c>
      <c r="AN507" t="s">
        <v>5987</v>
      </c>
      <c r="AO507" t="s">
        <v>68</v>
      </c>
      <c r="AQ507" t="s">
        <v>5988</v>
      </c>
      <c r="AR507" t="s">
        <v>5989</v>
      </c>
      <c r="AS507" t="s">
        <v>5990</v>
      </c>
      <c r="AV507" s="14" t="s">
        <v>72</v>
      </c>
      <c r="AW507" s="14" t="s">
        <v>73</v>
      </c>
      <c r="AX507" s="14" t="s">
        <v>1723</v>
      </c>
    </row>
    <row r="508" spans="1:50" ht="15" customHeight="1" x14ac:dyDescent="0.4">
      <c r="A508" s="12">
        <v>3824</v>
      </c>
      <c r="B508" s="21" t="s">
        <v>5754</v>
      </c>
      <c r="C508" s="13" t="s">
        <v>5755</v>
      </c>
      <c r="D508" s="25" t="s">
        <v>5755</v>
      </c>
      <c r="E508" s="13"/>
      <c r="F508" s="41"/>
      <c r="G508" s="65" t="s">
        <v>8185</v>
      </c>
      <c r="H508" s="14" t="s">
        <v>1878</v>
      </c>
      <c r="I508" s="15">
        <v>44789</v>
      </c>
      <c r="J508" t="s">
        <v>2719</v>
      </c>
      <c r="K508" t="s">
        <v>51</v>
      </c>
      <c r="L508" t="s">
        <v>52</v>
      </c>
      <c r="M508" t="s">
        <v>53</v>
      </c>
      <c r="N508" t="s">
        <v>5591</v>
      </c>
      <c r="O508" t="s">
        <v>5756</v>
      </c>
      <c r="P508" t="s">
        <v>56</v>
      </c>
      <c r="Q508" s="21" t="s">
        <v>5757</v>
      </c>
      <c r="R508" s="21"/>
      <c r="S508" t="s">
        <v>5758</v>
      </c>
      <c r="T508" t="s">
        <v>5759</v>
      </c>
      <c r="X508" t="s">
        <v>1881</v>
      </c>
      <c r="Z508" s="15"/>
      <c r="AB508">
        <v>42.706592000000001</v>
      </c>
      <c r="AC508">
        <v>-76.900946000000005</v>
      </c>
      <c r="AD508" t="s">
        <v>5760</v>
      </c>
      <c r="AG508" t="s">
        <v>1715</v>
      </c>
      <c r="AH508" t="s">
        <v>63</v>
      </c>
      <c r="AI508" t="s">
        <v>5761</v>
      </c>
      <c r="AJ508">
        <v>193378</v>
      </c>
      <c r="AL508" t="s">
        <v>5762</v>
      </c>
      <c r="AM508" t="s">
        <v>5763</v>
      </c>
      <c r="AN508" t="s">
        <v>5764</v>
      </c>
      <c r="AO508" t="s">
        <v>68</v>
      </c>
      <c r="AQ508" t="s">
        <v>5765</v>
      </c>
      <c r="AR508" t="s">
        <v>5766</v>
      </c>
      <c r="AS508" t="s">
        <v>5767</v>
      </c>
      <c r="AV508" s="14" t="s">
        <v>72</v>
      </c>
      <c r="AW508" s="14" t="s">
        <v>73</v>
      </c>
      <c r="AX508" s="14" t="s">
        <v>1723</v>
      </c>
    </row>
    <row r="509" spans="1:50" ht="15" customHeight="1" x14ac:dyDescent="0.4">
      <c r="A509" s="12">
        <v>3825</v>
      </c>
      <c r="B509" s="21" t="s">
        <v>5768</v>
      </c>
      <c r="C509" s="13" t="s">
        <v>5769</v>
      </c>
      <c r="D509" s="25" t="s">
        <v>5769</v>
      </c>
      <c r="E509" s="13"/>
      <c r="F509" s="41"/>
      <c r="G509" s="65" t="s">
        <v>8185</v>
      </c>
      <c r="H509" s="14" t="s">
        <v>1878</v>
      </c>
      <c r="I509" s="15">
        <v>44789</v>
      </c>
      <c r="J509" t="s">
        <v>2719</v>
      </c>
      <c r="K509" t="s">
        <v>51</v>
      </c>
      <c r="L509" t="s">
        <v>52</v>
      </c>
      <c r="M509" t="s">
        <v>53</v>
      </c>
      <c r="N509" t="s">
        <v>5591</v>
      </c>
      <c r="O509" t="s">
        <v>5756</v>
      </c>
      <c r="P509" t="s">
        <v>56</v>
      </c>
      <c r="Q509" s="21" t="s">
        <v>5757</v>
      </c>
      <c r="R509" s="21"/>
      <c r="S509" t="s">
        <v>5770</v>
      </c>
      <c r="T509" t="s">
        <v>5771</v>
      </c>
      <c r="X509" t="s">
        <v>1881</v>
      </c>
      <c r="Z509" s="15"/>
      <c r="AB509">
        <v>42.700906000000003</v>
      </c>
      <c r="AC509">
        <v>-76.897109</v>
      </c>
      <c r="AD509" t="s">
        <v>3596</v>
      </c>
      <c r="AG509" t="s">
        <v>1715</v>
      </c>
      <c r="AH509" t="s">
        <v>63</v>
      </c>
      <c r="AI509" t="s">
        <v>5772</v>
      </c>
      <c r="AJ509">
        <v>193377</v>
      </c>
      <c r="AL509" t="s">
        <v>5773</v>
      </c>
      <c r="AM509" t="s">
        <v>5774</v>
      </c>
      <c r="AN509" t="s">
        <v>5775</v>
      </c>
      <c r="AO509" t="s">
        <v>68</v>
      </c>
      <c r="AQ509" t="s">
        <v>5776</v>
      </c>
      <c r="AR509" t="s">
        <v>5777</v>
      </c>
      <c r="AS509" t="s">
        <v>5778</v>
      </c>
      <c r="AV509" s="14" t="s">
        <v>72</v>
      </c>
      <c r="AW509" s="14" t="s">
        <v>73</v>
      </c>
      <c r="AX509" s="14" t="s">
        <v>1723</v>
      </c>
    </row>
    <row r="510" spans="1:50" ht="15" customHeight="1" x14ac:dyDescent="0.4">
      <c r="A510" s="12">
        <v>3826</v>
      </c>
      <c r="B510" s="21" t="s">
        <v>5779</v>
      </c>
      <c r="C510" s="13" t="s">
        <v>5780</v>
      </c>
      <c r="D510" s="25" t="s">
        <v>5780</v>
      </c>
      <c r="E510" s="13"/>
      <c r="F510" s="41"/>
      <c r="G510" s="65" t="s">
        <v>8185</v>
      </c>
      <c r="H510" s="14" t="s">
        <v>1878</v>
      </c>
      <c r="I510" s="15">
        <v>44789</v>
      </c>
      <c r="J510" t="s">
        <v>2719</v>
      </c>
      <c r="K510" t="s">
        <v>51</v>
      </c>
      <c r="L510" t="s">
        <v>52</v>
      </c>
      <c r="M510" t="s">
        <v>53</v>
      </c>
      <c r="N510" t="s">
        <v>5591</v>
      </c>
      <c r="O510" t="s">
        <v>5756</v>
      </c>
      <c r="P510" t="s">
        <v>56</v>
      </c>
      <c r="Q510" s="21" t="s">
        <v>5757</v>
      </c>
      <c r="R510" s="21"/>
      <c r="S510" t="s">
        <v>5781</v>
      </c>
      <c r="T510" t="s">
        <v>5782</v>
      </c>
      <c r="X510" t="s">
        <v>1881</v>
      </c>
      <c r="Z510" s="15"/>
      <c r="AB510">
        <v>42.700262000000002</v>
      </c>
      <c r="AC510">
        <v>-76.896737000000002</v>
      </c>
      <c r="AD510" t="s">
        <v>3550</v>
      </c>
      <c r="AG510" t="s">
        <v>1715</v>
      </c>
      <c r="AH510" t="s">
        <v>63</v>
      </c>
      <c r="AI510" t="s">
        <v>5783</v>
      </c>
      <c r="AJ510">
        <v>193376</v>
      </c>
      <c r="AL510" t="s">
        <v>5784</v>
      </c>
      <c r="AM510" t="s">
        <v>5785</v>
      </c>
      <c r="AN510" t="s">
        <v>5786</v>
      </c>
      <c r="AO510" t="s">
        <v>68</v>
      </c>
      <c r="AQ510" t="s">
        <v>5787</v>
      </c>
      <c r="AR510" t="s">
        <v>5788</v>
      </c>
      <c r="AS510" t="s">
        <v>5789</v>
      </c>
      <c r="AV510" s="14" t="s">
        <v>72</v>
      </c>
      <c r="AW510" s="14" t="s">
        <v>73</v>
      </c>
      <c r="AX510" s="14" t="s">
        <v>1723</v>
      </c>
    </row>
    <row r="511" spans="1:50" ht="15" customHeight="1" x14ac:dyDescent="0.4">
      <c r="A511" s="12">
        <v>3827</v>
      </c>
      <c r="B511" s="21" t="s">
        <v>5790</v>
      </c>
      <c r="C511" s="13" t="s">
        <v>5791</v>
      </c>
      <c r="D511" s="25" t="s">
        <v>5791</v>
      </c>
      <c r="E511" s="13"/>
      <c r="F511" s="41"/>
      <c r="G511" s="65" t="s">
        <v>8185</v>
      </c>
      <c r="H511" s="14" t="s">
        <v>1878</v>
      </c>
      <c r="I511" s="15">
        <v>44789</v>
      </c>
      <c r="J511" t="s">
        <v>2719</v>
      </c>
      <c r="K511" t="s">
        <v>51</v>
      </c>
      <c r="L511" t="s">
        <v>52</v>
      </c>
      <c r="M511" t="s">
        <v>53</v>
      </c>
      <c r="N511" t="s">
        <v>5591</v>
      </c>
      <c r="O511" t="s">
        <v>5756</v>
      </c>
      <c r="P511" t="s">
        <v>56</v>
      </c>
      <c r="Q511" s="21" t="s">
        <v>5757</v>
      </c>
      <c r="R511" s="21"/>
      <c r="S511" t="s">
        <v>5792</v>
      </c>
      <c r="T511" t="s">
        <v>5793</v>
      </c>
      <c r="W511" t="s">
        <v>1758</v>
      </c>
      <c r="X511" t="s">
        <v>1881</v>
      </c>
      <c r="Z511" s="15"/>
      <c r="AB511">
        <v>42.699741000000003</v>
      </c>
      <c r="AC511">
        <v>-76.895966000000001</v>
      </c>
      <c r="AD511" t="s">
        <v>5794</v>
      </c>
      <c r="AG511" t="s">
        <v>1715</v>
      </c>
      <c r="AH511" t="s">
        <v>63</v>
      </c>
      <c r="AI511" t="s">
        <v>5795</v>
      </c>
      <c r="AJ511">
        <v>193942</v>
      </c>
      <c r="AL511" t="s">
        <v>5796</v>
      </c>
      <c r="AM511" t="s">
        <v>5797</v>
      </c>
      <c r="AN511" t="s">
        <v>5798</v>
      </c>
      <c r="AO511" t="s">
        <v>68</v>
      </c>
      <c r="AQ511" t="s">
        <v>5799</v>
      </c>
      <c r="AR511" t="s">
        <v>5800</v>
      </c>
      <c r="AS511" t="s">
        <v>5801</v>
      </c>
      <c r="AV511" s="14" t="s">
        <v>72</v>
      </c>
      <c r="AW511" s="14" t="s">
        <v>73</v>
      </c>
      <c r="AX511" s="14" t="s">
        <v>1723</v>
      </c>
    </row>
    <row r="512" spans="1:50" ht="15" customHeight="1" x14ac:dyDescent="0.4">
      <c r="A512" s="12">
        <v>3828</v>
      </c>
      <c r="B512" s="21" t="s">
        <v>5802</v>
      </c>
      <c r="C512" s="13" t="s">
        <v>5803</v>
      </c>
      <c r="D512" s="25" t="s">
        <v>5803</v>
      </c>
      <c r="E512" s="13"/>
      <c r="F512" s="41"/>
      <c r="G512" s="65" t="s">
        <v>8185</v>
      </c>
      <c r="H512" s="14" t="s">
        <v>1878</v>
      </c>
      <c r="I512" s="15">
        <v>44789</v>
      </c>
      <c r="J512" t="s">
        <v>2719</v>
      </c>
      <c r="K512" t="s">
        <v>51</v>
      </c>
      <c r="L512" t="s">
        <v>52</v>
      </c>
      <c r="M512" t="s">
        <v>53</v>
      </c>
      <c r="N512" t="s">
        <v>5591</v>
      </c>
      <c r="O512" t="s">
        <v>5756</v>
      </c>
      <c r="P512" t="s">
        <v>56</v>
      </c>
      <c r="Q512" s="21" t="s">
        <v>5757</v>
      </c>
      <c r="R512" s="21"/>
      <c r="S512" t="s">
        <v>5804</v>
      </c>
      <c r="T512" t="s">
        <v>5805</v>
      </c>
      <c r="W512" t="s">
        <v>1758</v>
      </c>
      <c r="X512" t="s">
        <v>1881</v>
      </c>
      <c r="Z512" s="15"/>
      <c r="AB512">
        <v>42.698391999999998</v>
      </c>
      <c r="AC512">
        <v>-76.895201</v>
      </c>
      <c r="AD512" t="s">
        <v>5806</v>
      </c>
      <c r="AG512" t="s">
        <v>1715</v>
      </c>
      <c r="AH512" t="s">
        <v>63</v>
      </c>
      <c r="AI512" t="s">
        <v>5807</v>
      </c>
      <c r="AJ512">
        <v>193943</v>
      </c>
      <c r="AL512" t="s">
        <v>5808</v>
      </c>
      <c r="AM512" t="s">
        <v>5809</v>
      </c>
      <c r="AN512" t="s">
        <v>5810</v>
      </c>
      <c r="AO512" t="s">
        <v>68</v>
      </c>
      <c r="AQ512" t="s">
        <v>5811</v>
      </c>
      <c r="AR512" t="s">
        <v>5812</v>
      </c>
      <c r="AS512" t="s">
        <v>5813</v>
      </c>
      <c r="AV512" s="14" t="s">
        <v>72</v>
      </c>
      <c r="AW512" s="14" t="s">
        <v>73</v>
      </c>
      <c r="AX512" s="14" t="s">
        <v>1723</v>
      </c>
    </row>
    <row r="513" spans="1:50" ht="15" customHeight="1" x14ac:dyDescent="0.4">
      <c r="A513" s="12">
        <v>3829</v>
      </c>
      <c r="B513" s="21" t="s">
        <v>5814</v>
      </c>
      <c r="C513" s="13" t="s">
        <v>5815</v>
      </c>
      <c r="D513" s="25" t="s">
        <v>5815</v>
      </c>
      <c r="E513" s="13"/>
      <c r="F513" s="41"/>
      <c r="G513" s="65" t="s">
        <v>8185</v>
      </c>
      <c r="H513" s="14" t="s">
        <v>49</v>
      </c>
      <c r="I513" s="15">
        <v>44789</v>
      </c>
      <c r="J513" t="s">
        <v>2719</v>
      </c>
      <c r="K513" t="s">
        <v>51</v>
      </c>
      <c r="L513" t="s">
        <v>52</v>
      </c>
      <c r="M513" t="s">
        <v>53</v>
      </c>
      <c r="N513" t="s">
        <v>5591</v>
      </c>
      <c r="O513" t="s">
        <v>5756</v>
      </c>
      <c r="P513" t="s">
        <v>56</v>
      </c>
      <c r="Q513" s="21" t="s">
        <v>5757</v>
      </c>
      <c r="R513" s="21"/>
      <c r="S513" t="s">
        <v>5816</v>
      </c>
      <c r="T513" t="s">
        <v>5817</v>
      </c>
      <c r="W513" t="s">
        <v>1758</v>
      </c>
      <c r="X513" t="s">
        <v>60</v>
      </c>
      <c r="Z513" s="15"/>
      <c r="AB513">
        <v>42.740504999999999</v>
      </c>
      <c r="AC513">
        <v>-76.905844999999999</v>
      </c>
      <c r="AD513" t="s">
        <v>5818</v>
      </c>
      <c r="AG513" t="s">
        <v>1715</v>
      </c>
      <c r="AH513" t="s">
        <v>63</v>
      </c>
      <c r="AI513" t="s">
        <v>5819</v>
      </c>
      <c r="AJ513">
        <v>194443</v>
      </c>
      <c r="AL513" t="s">
        <v>5820</v>
      </c>
      <c r="AM513" t="s">
        <v>5821</v>
      </c>
      <c r="AN513" t="s">
        <v>5822</v>
      </c>
      <c r="AO513" t="s">
        <v>68</v>
      </c>
      <c r="AQ513" t="s">
        <v>5823</v>
      </c>
      <c r="AR513" t="s">
        <v>5824</v>
      </c>
      <c r="AS513" t="s">
        <v>5825</v>
      </c>
      <c r="AV513" s="14" t="s">
        <v>72</v>
      </c>
      <c r="AW513" s="14" t="s">
        <v>73</v>
      </c>
      <c r="AX513" s="14" t="s">
        <v>74</v>
      </c>
    </row>
    <row r="514" spans="1:50" ht="15" customHeight="1" x14ac:dyDescent="0.4">
      <c r="A514" s="12">
        <v>3830</v>
      </c>
      <c r="B514" s="21" t="s">
        <v>5826</v>
      </c>
      <c r="C514" s="13" t="s">
        <v>5827</v>
      </c>
      <c r="D514" s="25" t="s">
        <v>5827</v>
      </c>
      <c r="E514" s="13"/>
      <c r="F514" s="45" t="s">
        <v>49</v>
      </c>
      <c r="G514" s="65" t="s">
        <v>8163</v>
      </c>
      <c r="H514" s="14" t="s">
        <v>49</v>
      </c>
      <c r="I514" s="15">
        <v>44789</v>
      </c>
      <c r="J514" t="s">
        <v>2719</v>
      </c>
      <c r="K514" t="s">
        <v>51</v>
      </c>
      <c r="L514" t="s">
        <v>52</v>
      </c>
      <c r="M514" t="s">
        <v>53</v>
      </c>
      <c r="N514" t="s">
        <v>5591</v>
      </c>
      <c r="O514" t="s">
        <v>5756</v>
      </c>
      <c r="P514" t="s">
        <v>56</v>
      </c>
      <c r="Q514" s="21" t="s">
        <v>5757</v>
      </c>
      <c r="R514" s="21"/>
      <c r="S514" t="s">
        <v>5828</v>
      </c>
      <c r="T514" t="s">
        <v>5829</v>
      </c>
      <c r="W514" t="s">
        <v>2440</v>
      </c>
      <c r="X514" t="s">
        <v>60</v>
      </c>
      <c r="Z514" s="15"/>
      <c r="AB514">
        <v>42.740713</v>
      </c>
      <c r="AC514">
        <v>-76.904984999999996</v>
      </c>
      <c r="AD514" t="s">
        <v>5818</v>
      </c>
      <c r="AG514" t="s">
        <v>1715</v>
      </c>
      <c r="AH514" t="s">
        <v>63</v>
      </c>
      <c r="AI514" t="s">
        <v>5830</v>
      </c>
      <c r="AJ514">
        <v>193369</v>
      </c>
      <c r="AL514" t="s">
        <v>5831</v>
      </c>
      <c r="AM514" t="s">
        <v>5832</v>
      </c>
      <c r="AN514" t="s">
        <v>5833</v>
      </c>
      <c r="AO514" t="s">
        <v>68</v>
      </c>
      <c r="AQ514" t="s">
        <v>5834</v>
      </c>
      <c r="AR514" t="s">
        <v>5835</v>
      </c>
      <c r="AS514" t="s">
        <v>5836</v>
      </c>
      <c r="AV514" s="14" t="s">
        <v>72</v>
      </c>
      <c r="AW514" s="14" t="s">
        <v>73</v>
      </c>
      <c r="AX514" s="14" t="s">
        <v>74</v>
      </c>
    </row>
    <row r="515" spans="1:50" ht="15" customHeight="1" x14ac:dyDescent="0.4">
      <c r="A515" s="12">
        <v>3831</v>
      </c>
      <c r="B515" s="21" t="s">
        <v>5837</v>
      </c>
      <c r="C515" s="13" t="s">
        <v>5838</v>
      </c>
      <c r="D515" s="25" t="s">
        <v>5838</v>
      </c>
      <c r="E515" s="13"/>
      <c r="F515" s="41" t="s">
        <v>2222</v>
      </c>
      <c r="G515" s="65" t="s">
        <v>8158</v>
      </c>
      <c r="H515" s="14" t="s">
        <v>49</v>
      </c>
      <c r="I515" s="15">
        <v>44789</v>
      </c>
      <c r="J515" t="s">
        <v>2719</v>
      </c>
      <c r="K515" t="s">
        <v>51</v>
      </c>
      <c r="L515" t="s">
        <v>52</v>
      </c>
      <c r="M515" t="s">
        <v>53</v>
      </c>
      <c r="N515" t="s">
        <v>5591</v>
      </c>
      <c r="O515" t="s">
        <v>5756</v>
      </c>
      <c r="P515" t="s">
        <v>56</v>
      </c>
      <c r="Q515" s="21" t="s">
        <v>5757</v>
      </c>
      <c r="R515" s="21"/>
      <c r="S515" t="s">
        <v>5839</v>
      </c>
      <c r="T515" t="s">
        <v>5840</v>
      </c>
      <c r="W515" t="s">
        <v>5841</v>
      </c>
      <c r="X515" t="s">
        <v>60</v>
      </c>
      <c r="Z515" s="15"/>
      <c r="AB515">
        <v>42.741551000000001</v>
      </c>
      <c r="AC515">
        <v>-76.901053000000005</v>
      </c>
      <c r="AD515" t="s">
        <v>5842</v>
      </c>
      <c r="AG515" t="s">
        <v>1715</v>
      </c>
      <c r="AH515" t="s">
        <v>63</v>
      </c>
      <c r="AI515" t="s">
        <v>5843</v>
      </c>
      <c r="AJ515">
        <v>192609</v>
      </c>
      <c r="AL515" t="s">
        <v>5844</v>
      </c>
      <c r="AM515" t="s">
        <v>5845</v>
      </c>
      <c r="AN515" t="s">
        <v>5846</v>
      </c>
      <c r="AO515" t="s">
        <v>68</v>
      </c>
      <c r="AQ515" t="s">
        <v>5847</v>
      </c>
      <c r="AR515" t="s">
        <v>5848</v>
      </c>
      <c r="AS515" t="s">
        <v>5849</v>
      </c>
      <c r="AV515" s="14" t="s">
        <v>72</v>
      </c>
      <c r="AW515" s="14" t="s">
        <v>73</v>
      </c>
      <c r="AX515" s="14" t="s">
        <v>74</v>
      </c>
    </row>
    <row r="516" spans="1:50" ht="15" customHeight="1" x14ac:dyDescent="0.4">
      <c r="A516" s="12">
        <v>3832</v>
      </c>
      <c r="B516" s="21" t="s">
        <v>5850</v>
      </c>
      <c r="C516" s="13" t="s">
        <v>5851</v>
      </c>
      <c r="D516" s="25" t="s">
        <v>5851</v>
      </c>
      <c r="E516" s="13"/>
      <c r="F516" s="41"/>
      <c r="G516" s="65" t="s">
        <v>8185</v>
      </c>
      <c r="H516" s="14" t="s">
        <v>49</v>
      </c>
      <c r="I516" s="15">
        <v>44789</v>
      </c>
      <c r="J516" t="s">
        <v>2719</v>
      </c>
      <c r="K516" t="s">
        <v>51</v>
      </c>
      <c r="L516" t="s">
        <v>52</v>
      </c>
      <c r="M516" t="s">
        <v>53</v>
      </c>
      <c r="N516" t="s">
        <v>5591</v>
      </c>
      <c r="O516" t="s">
        <v>5756</v>
      </c>
      <c r="P516" t="s">
        <v>56</v>
      </c>
      <c r="Q516" s="21" t="s">
        <v>5757</v>
      </c>
      <c r="R516" s="21"/>
      <c r="S516" t="s">
        <v>5852</v>
      </c>
      <c r="T516" t="s">
        <v>5853</v>
      </c>
      <c r="X516" t="s">
        <v>60</v>
      </c>
      <c r="Z516" s="15"/>
      <c r="AB516">
        <v>42.734695000000002</v>
      </c>
      <c r="AC516">
        <v>-76.903081</v>
      </c>
      <c r="AD516" t="s">
        <v>5854</v>
      </c>
      <c r="AG516" t="s">
        <v>1715</v>
      </c>
      <c r="AH516" t="s">
        <v>63</v>
      </c>
      <c r="AI516" t="s">
        <v>5855</v>
      </c>
      <c r="AJ516">
        <v>194444</v>
      </c>
      <c r="AL516" t="s">
        <v>5856</v>
      </c>
      <c r="AM516" t="s">
        <v>5857</v>
      </c>
      <c r="AN516" t="s">
        <v>5858</v>
      </c>
      <c r="AO516" t="s">
        <v>68</v>
      </c>
      <c r="AQ516" t="s">
        <v>5859</v>
      </c>
      <c r="AR516" t="s">
        <v>5860</v>
      </c>
      <c r="AS516" t="s">
        <v>5861</v>
      </c>
      <c r="AV516" s="14" t="s">
        <v>72</v>
      </c>
      <c r="AW516" s="14" t="s">
        <v>73</v>
      </c>
      <c r="AX516" s="14" t="s">
        <v>74</v>
      </c>
    </row>
    <row r="517" spans="1:50" ht="15" customHeight="1" x14ac:dyDescent="0.4">
      <c r="A517" s="12">
        <v>3833</v>
      </c>
      <c r="B517" s="21" t="s">
        <v>5862</v>
      </c>
      <c r="C517" s="13" t="s">
        <v>5863</v>
      </c>
      <c r="D517" s="25" t="s">
        <v>5863</v>
      </c>
      <c r="E517" s="13"/>
      <c r="F517" s="41"/>
      <c r="G517" s="65" t="s">
        <v>8185</v>
      </c>
      <c r="H517" s="14" t="s">
        <v>49</v>
      </c>
      <c r="I517" s="15">
        <v>44789</v>
      </c>
      <c r="J517" t="s">
        <v>2719</v>
      </c>
      <c r="K517" t="s">
        <v>51</v>
      </c>
      <c r="L517" t="s">
        <v>52</v>
      </c>
      <c r="M517" t="s">
        <v>53</v>
      </c>
      <c r="N517" t="s">
        <v>5591</v>
      </c>
      <c r="O517" t="s">
        <v>5756</v>
      </c>
      <c r="P517" t="s">
        <v>56</v>
      </c>
      <c r="Q517" s="21" t="s">
        <v>5757</v>
      </c>
      <c r="R517" s="21"/>
      <c r="S517" t="s">
        <v>5864</v>
      </c>
      <c r="T517" t="s">
        <v>5865</v>
      </c>
      <c r="X517" t="s">
        <v>60</v>
      </c>
      <c r="Z517" s="15"/>
      <c r="AB517">
        <v>42.733991000000003</v>
      </c>
      <c r="AC517">
        <v>-76.902518000000001</v>
      </c>
      <c r="AD517" t="s">
        <v>5854</v>
      </c>
      <c r="AG517" t="s">
        <v>1715</v>
      </c>
      <c r="AH517" t="s">
        <v>63</v>
      </c>
      <c r="AI517" t="s">
        <v>5866</v>
      </c>
      <c r="AJ517">
        <v>194445</v>
      </c>
      <c r="AL517" t="s">
        <v>5867</v>
      </c>
      <c r="AM517" t="s">
        <v>5868</v>
      </c>
      <c r="AN517" t="s">
        <v>5869</v>
      </c>
      <c r="AO517" t="s">
        <v>68</v>
      </c>
      <c r="AQ517" t="s">
        <v>5870</v>
      </c>
      <c r="AR517" t="s">
        <v>5871</v>
      </c>
      <c r="AS517" t="s">
        <v>5872</v>
      </c>
      <c r="AV517" s="14" t="s">
        <v>72</v>
      </c>
      <c r="AW517" s="14" t="s">
        <v>73</v>
      </c>
      <c r="AX517" s="14" t="s">
        <v>74</v>
      </c>
    </row>
    <row r="518" spans="1:50" ht="15" customHeight="1" x14ac:dyDescent="0.4">
      <c r="A518" s="12">
        <v>3733</v>
      </c>
      <c r="B518" s="21" t="s">
        <v>4687</v>
      </c>
      <c r="C518" s="13" t="s">
        <v>4688</v>
      </c>
      <c r="D518" s="25" t="s">
        <v>4688</v>
      </c>
      <c r="E518" s="13"/>
      <c r="F518" s="41"/>
      <c r="G518" s="65" t="s">
        <v>8185</v>
      </c>
      <c r="H518" s="14" t="s">
        <v>2222</v>
      </c>
      <c r="I518" s="15">
        <v>44768</v>
      </c>
      <c r="J518" t="s">
        <v>2719</v>
      </c>
      <c r="K518" t="s">
        <v>51</v>
      </c>
      <c r="L518" t="s">
        <v>52</v>
      </c>
      <c r="M518" t="s">
        <v>53</v>
      </c>
      <c r="N518" t="s">
        <v>1226</v>
      </c>
      <c r="O518" t="s">
        <v>4689</v>
      </c>
      <c r="P518" t="s">
        <v>56</v>
      </c>
      <c r="Q518" s="21" t="s">
        <v>4690</v>
      </c>
      <c r="R518" s="21"/>
      <c r="S518" t="s">
        <v>4691</v>
      </c>
      <c r="T518" t="s">
        <v>4692</v>
      </c>
      <c r="X518" t="s">
        <v>2225</v>
      </c>
      <c r="Z518" s="15"/>
      <c r="AB518">
        <v>41.553216999999997</v>
      </c>
      <c r="AC518">
        <v>-84.361215000000001</v>
      </c>
      <c r="AD518" t="s">
        <v>4693</v>
      </c>
      <c r="AG518" t="s">
        <v>1715</v>
      </c>
      <c r="AH518" t="s">
        <v>63</v>
      </c>
      <c r="AI518" t="s">
        <v>4694</v>
      </c>
      <c r="AJ518">
        <v>192603</v>
      </c>
      <c r="AL518" t="s">
        <v>4695</v>
      </c>
      <c r="AM518" t="s">
        <v>4696</v>
      </c>
      <c r="AN518" t="s">
        <v>4697</v>
      </c>
      <c r="AO518" t="s">
        <v>68</v>
      </c>
      <c r="AQ518" t="s">
        <v>4698</v>
      </c>
      <c r="AR518" t="s">
        <v>4699</v>
      </c>
      <c r="AS518" t="s">
        <v>4700</v>
      </c>
      <c r="AV518" s="14" t="s">
        <v>72</v>
      </c>
      <c r="AW518" s="14" t="s">
        <v>73</v>
      </c>
      <c r="AX518" s="14" t="s">
        <v>74</v>
      </c>
    </row>
    <row r="519" spans="1:50" ht="15" customHeight="1" x14ac:dyDescent="0.4">
      <c r="A519" s="12">
        <v>3734</v>
      </c>
      <c r="B519" s="21" t="s">
        <v>4701</v>
      </c>
      <c r="C519" s="13" t="s">
        <v>4702</v>
      </c>
      <c r="D519" s="25" t="s">
        <v>4702</v>
      </c>
      <c r="E519" s="13"/>
      <c r="F519" s="41"/>
      <c r="G519" s="65" t="s">
        <v>8185</v>
      </c>
      <c r="H519" s="14" t="s">
        <v>2222</v>
      </c>
      <c r="I519" s="15">
        <v>44768</v>
      </c>
      <c r="J519" t="s">
        <v>2719</v>
      </c>
      <c r="K519" t="s">
        <v>51</v>
      </c>
      <c r="L519" t="s">
        <v>52</v>
      </c>
      <c r="M519" t="s">
        <v>53</v>
      </c>
      <c r="N519" t="s">
        <v>1226</v>
      </c>
      <c r="O519" t="s">
        <v>4689</v>
      </c>
      <c r="P519" t="s">
        <v>56</v>
      </c>
      <c r="Q519" s="21" t="s">
        <v>4690</v>
      </c>
      <c r="R519" s="21"/>
      <c r="S519" t="s">
        <v>4703</v>
      </c>
      <c r="T519" t="s">
        <v>4704</v>
      </c>
      <c r="X519" t="s">
        <v>2225</v>
      </c>
      <c r="Z519" s="15"/>
      <c r="AB519">
        <v>41.553038000000001</v>
      </c>
      <c r="AC519">
        <v>-84.361064999999996</v>
      </c>
      <c r="AD519" t="s">
        <v>4705</v>
      </c>
      <c r="AG519" t="s">
        <v>1715</v>
      </c>
      <c r="AH519" t="s">
        <v>63</v>
      </c>
      <c r="AI519" t="s">
        <v>4706</v>
      </c>
      <c r="AJ519">
        <v>192604</v>
      </c>
      <c r="AL519" t="s">
        <v>4707</v>
      </c>
      <c r="AM519" t="s">
        <v>4708</v>
      </c>
      <c r="AN519" t="s">
        <v>4709</v>
      </c>
      <c r="AO519" t="s">
        <v>68</v>
      </c>
      <c r="AQ519" t="s">
        <v>4710</v>
      </c>
      <c r="AR519" t="s">
        <v>4711</v>
      </c>
      <c r="AS519" t="s">
        <v>4712</v>
      </c>
      <c r="AV519" s="14" t="s">
        <v>72</v>
      </c>
      <c r="AW519" s="14" t="s">
        <v>73</v>
      </c>
      <c r="AX519" s="14" t="s">
        <v>74</v>
      </c>
    </row>
    <row r="520" spans="1:50" ht="15" customHeight="1" x14ac:dyDescent="0.4">
      <c r="A520" s="12">
        <v>3735</v>
      </c>
      <c r="B520" s="21" t="s">
        <v>4713</v>
      </c>
      <c r="C520" s="13" t="s">
        <v>4714</v>
      </c>
      <c r="D520" s="25" t="s">
        <v>4714</v>
      </c>
      <c r="E520" s="13"/>
      <c r="F520" s="41"/>
      <c r="G520" s="65" t="s">
        <v>8185</v>
      </c>
      <c r="H520" s="14" t="s">
        <v>1829</v>
      </c>
      <c r="I520" s="15">
        <v>44768</v>
      </c>
      <c r="J520" t="s">
        <v>2719</v>
      </c>
      <c r="K520" t="s">
        <v>51</v>
      </c>
      <c r="L520" t="s">
        <v>52</v>
      </c>
      <c r="M520" t="s">
        <v>53</v>
      </c>
      <c r="N520" t="s">
        <v>1226</v>
      </c>
      <c r="O520" t="s">
        <v>4689</v>
      </c>
      <c r="P520" t="s">
        <v>56</v>
      </c>
      <c r="Q520" s="21" t="s">
        <v>4690</v>
      </c>
      <c r="R520" s="21"/>
      <c r="S520" t="s">
        <v>4715</v>
      </c>
      <c r="T520" t="s">
        <v>4716</v>
      </c>
      <c r="X520" t="s">
        <v>1832</v>
      </c>
      <c r="Z520" s="15"/>
      <c r="AB520">
        <v>41.551110000000001</v>
      </c>
      <c r="AC520">
        <v>-84.358405000000005</v>
      </c>
      <c r="AD520" t="s">
        <v>4717</v>
      </c>
      <c r="AG520" t="s">
        <v>1715</v>
      </c>
      <c r="AH520" t="s">
        <v>63</v>
      </c>
      <c r="AI520" t="s">
        <v>4718</v>
      </c>
      <c r="AJ520">
        <v>194530</v>
      </c>
      <c r="AL520" t="s">
        <v>4719</v>
      </c>
      <c r="AM520" t="s">
        <v>4720</v>
      </c>
      <c r="AN520" t="s">
        <v>4721</v>
      </c>
      <c r="AO520" t="s">
        <v>68</v>
      </c>
      <c r="AQ520" t="s">
        <v>4722</v>
      </c>
      <c r="AR520" t="s">
        <v>4723</v>
      </c>
      <c r="AS520" t="s">
        <v>4724</v>
      </c>
      <c r="AV520" s="14" t="s">
        <v>72</v>
      </c>
      <c r="AW520" s="14" t="s">
        <v>73</v>
      </c>
      <c r="AX520" s="14" t="s">
        <v>74</v>
      </c>
    </row>
    <row r="521" spans="1:50" ht="15" customHeight="1" x14ac:dyDescent="0.4">
      <c r="A521" s="12">
        <v>3736</v>
      </c>
      <c r="B521" s="21" t="s">
        <v>4725</v>
      </c>
      <c r="C521" s="13" t="s">
        <v>4726</v>
      </c>
      <c r="D521" s="25" t="s">
        <v>4726</v>
      </c>
      <c r="E521" s="13"/>
      <c r="F521" s="41"/>
      <c r="G521" s="65" t="s">
        <v>8185</v>
      </c>
      <c r="H521" s="14" t="s">
        <v>49</v>
      </c>
      <c r="I521" s="15">
        <v>44768</v>
      </c>
      <c r="J521" t="s">
        <v>2719</v>
      </c>
      <c r="K521" t="s">
        <v>51</v>
      </c>
      <c r="L521" t="s">
        <v>52</v>
      </c>
      <c r="M521" t="s">
        <v>53</v>
      </c>
      <c r="N521" t="s">
        <v>1226</v>
      </c>
      <c r="O521" t="s">
        <v>4689</v>
      </c>
      <c r="P521" t="s">
        <v>56</v>
      </c>
      <c r="Q521" s="21" t="s">
        <v>4690</v>
      </c>
      <c r="R521" s="21"/>
      <c r="S521" t="s">
        <v>4727</v>
      </c>
      <c r="T521" t="s">
        <v>4728</v>
      </c>
      <c r="X521" t="s">
        <v>60</v>
      </c>
      <c r="Z521" s="15"/>
      <c r="AB521">
        <v>41.550873000000003</v>
      </c>
      <c r="AC521">
        <v>-84.356967999999995</v>
      </c>
      <c r="AD521" t="s">
        <v>4729</v>
      </c>
      <c r="AG521" t="s">
        <v>1715</v>
      </c>
      <c r="AH521" t="s">
        <v>63</v>
      </c>
      <c r="AI521" t="s">
        <v>4730</v>
      </c>
      <c r="AJ521">
        <v>194467</v>
      </c>
      <c r="AL521" t="s">
        <v>4731</v>
      </c>
      <c r="AM521" t="s">
        <v>4732</v>
      </c>
      <c r="AN521" t="s">
        <v>4733</v>
      </c>
      <c r="AO521" t="s">
        <v>68</v>
      </c>
      <c r="AQ521" t="s">
        <v>4734</v>
      </c>
      <c r="AR521" t="s">
        <v>4735</v>
      </c>
      <c r="AS521" t="s">
        <v>4736</v>
      </c>
      <c r="AV521" s="14" t="s">
        <v>72</v>
      </c>
      <c r="AW521" s="14" t="s">
        <v>73</v>
      </c>
      <c r="AX521" s="14" t="s">
        <v>74</v>
      </c>
    </row>
    <row r="522" spans="1:50" ht="15" customHeight="1" x14ac:dyDescent="0.4">
      <c r="A522" s="12">
        <v>3737</v>
      </c>
      <c r="B522" s="21" t="s">
        <v>4737</v>
      </c>
      <c r="C522" s="13" t="s">
        <v>4738</v>
      </c>
      <c r="D522" s="25" t="s">
        <v>4738</v>
      </c>
      <c r="E522" s="13"/>
      <c r="F522" s="41"/>
      <c r="G522" s="65" t="s">
        <v>8185</v>
      </c>
      <c r="H522" s="14" t="s">
        <v>1829</v>
      </c>
      <c r="I522" s="15">
        <v>44768</v>
      </c>
      <c r="J522" t="s">
        <v>2719</v>
      </c>
      <c r="K522" t="s">
        <v>51</v>
      </c>
      <c r="L522" t="s">
        <v>52</v>
      </c>
      <c r="M522" t="s">
        <v>53</v>
      </c>
      <c r="N522" t="s">
        <v>1226</v>
      </c>
      <c r="O522" t="s">
        <v>4689</v>
      </c>
      <c r="P522" t="s">
        <v>56</v>
      </c>
      <c r="Q522" s="21" t="s">
        <v>4690</v>
      </c>
      <c r="R522" s="21"/>
      <c r="S522" t="s">
        <v>4739</v>
      </c>
      <c r="T522" t="s">
        <v>4740</v>
      </c>
      <c r="X522" t="s">
        <v>1832</v>
      </c>
      <c r="Z522" s="15"/>
      <c r="AB522">
        <v>41.550806000000001</v>
      </c>
      <c r="AC522">
        <v>-84.356953000000004</v>
      </c>
      <c r="AD522" t="s">
        <v>4741</v>
      </c>
      <c r="AG522" t="s">
        <v>1715</v>
      </c>
      <c r="AH522" t="s">
        <v>63</v>
      </c>
      <c r="AI522" t="s">
        <v>4742</v>
      </c>
      <c r="AJ522">
        <v>194531</v>
      </c>
      <c r="AL522" t="s">
        <v>4743</v>
      </c>
      <c r="AM522" t="s">
        <v>4744</v>
      </c>
      <c r="AN522" t="s">
        <v>4745</v>
      </c>
      <c r="AO522" t="s">
        <v>68</v>
      </c>
      <c r="AQ522" t="s">
        <v>4746</v>
      </c>
      <c r="AR522" t="s">
        <v>4747</v>
      </c>
      <c r="AS522" t="s">
        <v>4748</v>
      </c>
      <c r="AV522" s="14" t="s">
        <v>72</v>
      </c>
      <c r="AW522" s="14" t="s">
        <v>73</v>
      </c>
      <c r="AX522" s="14" t="s">
        <v>74</v>
      </c>
    </row>
    <row r="523" spans="1:50" ht="15" customHeight="1" x14ac:dyDescent="0.4">
      <c r="A523" s="12">
        <v>3738</v>
      </c>
      <c r="B523" s="21" t="s">
        <v>4749</v>
      </c>
      <c r="C523" s="13" t="s">
        <v>4750</v>
      </c>
      <c r="D523" s="25" t="s">
        <v>4750</v>
      </c>
      <c r="E523" s="13"/>
      <c r="F523" s="41"/>
      <c r="G523" s="65" t="s">
        <v>8185</v>
      </c>
      <c r="H523" s="14" t="s">
        <v>49</v>
      </c>
      <c r="I523" s="15">
        <v>44768</v>
      </c>
      <c r="J523" t="s">
        <v>2719</v>
      </c>
      <c r="K523" t="s">
        <v>51</v>
      </c>
      <c r="L523" t="s">
        <v>52</v>
      </c>
      <c r="M523" t="s">
        <v>53</v>
      </c>
      <c r="N523" t="s">
        <v>1226</v>
      </c>
      <c r="O523" t="s">
        <v>4689</v>
      </c>
      <c r="P523" t="s">
        <v>56</v>
      </c>
      <c r="Q523" s="21" t="s">
        <v>4690</v>
      </c>
      <c r="R523" s="21"/>
      <c r="S523" t="s">
        <v>4751</v>
      </c>
      <c r="T523" t="s">
        <v>4752</v>
      </c>
      <c r="X523" t="s">
        <v>60</v>
      </c>
      <c r="Z523" s="15"/>
      <c r="AB523">
        <v>41.551419000000003</v>
      </c>
      <c r="AC523">
        <v>-84.355616999999995</v>
      </c>
      <c r="AD523" t="s">
        <v>4753</v>
      </c>
      <c r="AG523" t="s">
        <v>1715</v>
      </c>
      <c r="AH523" t="s">
        <v>63</v>
      </c>
      <c r="AI523" t="s">
        <v>4754</v>
      </c>
      <c r="AJ523">
        <v>192668</v>
      </c>
      <c r="AL523" t="s">
        <v>4755</v>
      </c>
      <c r="AM523" t="s">
        <v>4756</v>
      </c>
      <c r="AN523" t="s">
        <v>4757</v>
      </c>
      <c r="AO523" t="s">
        <v>68</v>
      </c>
      <c r="AQ523" t="s">
        <v>4758</v>
      </c>
      <c r="AR523" t="s">
        <v>4759</v>
      </c>
      <c r="AS523" t="s">
        <v>4760</v>
      </c>
      <c r="AV523" s="14" t="s">
        <v>72</v>
      </c>
      <c r="AW523" s="14" t="s">
        <v>73</v>
      </c>
      <c r="AX523" s="14" t="s">
        <v>74</v>
      </c>
    </row>
    <row r="524" spans="1:50" ht="15" customHeight="1" x14ac:dyDescent="0.4">
      <c r="A524" s="12">
        <v>3739</v>
      </c>
      <c r="B524" s="21" t="s">
        <v>4761</v>
      </c>
      <c r="C524" s="13" t="s">
        <v>4762</v>
      </c>
      <c r="D524" s="25" t="s">
        <v>4762</v>
      </c>
      <c r="E524" s="13"/>
      <c r="F524" s="41"/>
      <c r="G524" s="65" t="s">
        <v>8185</v>
      </c>
      <c r="H524" s="14" t="s">
        <v>1878</v>
      </c>
      <c r="I524" s="15">
        <v>44768</v>
      </c>
      <c r="J524" t="s">
        <v>2719</v>
      </c>
      <c r="K524" t="s">
        <v>51</v>
      </c>
      <c r="L524" t="s">
        <v>52</v>
      </c>
      <c r="M524" t="s">
        <v>53</v>
      </c>
      <c r="N524" t="s">
        <v>1226</v>
      </c>
      <c r="O524" t="s">
        <v>4689</v>
      </c>
      <c r="P524" t="s">
        <v>56</v>
      </c>
      <c r="Q524" s="21" t="s">
        <v>4690</v>
      </c>
      <c r="R524" s="21"/>
      <c r="S524" t="s">
        <v>4739</v>
      </c>
      <c r="T524" t="s">
        <v>4763</v>
      </c>
      <c r="X524" t="s">
        <v>1881</v>
      </c>
      <c r="Z524" s="15"/>
      <c r="AB524">
        <v>41.551786999999997</v>
      </c>
      <c r="AC524">
        <v>-84.355144999999993</v>
      </c>
      <c r="AD524" t="s">
        <v>2337</v>
      </c>
      <c r="AG524" t="s">
        <v>1715</v>
      </c>
      <c r="AH524" t="s">
        <v>63</v>
      </c>
      <c r="AI524" t="s">
        <v>4764</v>
      </c>
      <c r="AJ524">
        <v>194216</v>
      </c>
      <c r="AL524" t="s">
        <v>4765</v>
      </c>
      <c r="AM524" t="s">
        <v>4766</v>
      </c>
      <c r="AN524" t="s">
        <v>4767</v>
      </c>
      <c r="AO524" t="s">
        <v>68</v>
      </c>
      <c r="AQ524" t="s">
        <v>4768</v>
      </c>
      <c r="AR524" t="s">
        <v>4769</v>
      </c>
      <c r="AS524" t="s">
        <v>4770</v>
      </c>
      <c r="AV524" s="14" t="s">
        <v>72</v>
      </c>
      <c r="AW524" s="14" t="s">
        <v>73</v>
      </c>
      <c r="AX524" s="14" t="s">
        <v>1723</v>
      </c>
    </row>
    <row r="525" spans="1:50" ht="15" customHeight="1" x14ac:dyDescent="0.4">
      <c r="A525" s="12">
        <v>3740</v>
      </c>
      <c r="B525" s="21" t="s">
        <v>4771</v>
      </c>
      <c r="C525" s="13" t="s">
        <v>4772</v>
      </c>
      <c r="D525" s="25" t="s">
        <v>4772</v>
      </c>
      <c r="E525" s="13"/>
      <c r="F525" s="41"/>
      <c r="G525" s="65" t="s">
        <v>8185</v>
      </c>
      <c r="H525" s="14" t="s">
        <v>49</v>
      </c>
      <c r="I525" s="15">
        <v>44768</v>
      </c>
      <c r="J525" t="s">
        <v>2719</v>
      </c>
      <c r="K525" t="s">
        <v>51</v>
      </c>
      <c r="L525" t="s">
        <v>52</v>
      </c>
      <c r="M525" t="s">
        <v>53</v>
      </c>
      <c r="N525" t="s">
        <v>1226</v>
      </c>
      <c r="O525" t="s">
        <v>4689</v>
      </c>
      <c r="P525" t="s">
        <v>56</v>
      </c>
      <c r="Q525" s="21" t="s">
        <v>4690</v>
      </c>
      <c r="R525" s="21"/>
      <c r="S525" t="s">
        <v>4773</v>
      </c>
      <c r="T525" t="s">
        <v>4774</v>
      </c>
      <c r="X525" t="s">
        <v>60</v>
      </c>
      <c r="Z525" s="15"/>
      <c r="AB525">
        <v>41.551718999999999</v>
      </c>
      <c r="AC525">
        <v>-84.354975999999994</v>
      </c>
      <c r="AD525" t="s">
        <v>4729</v>
      </c>
      <c r="AG525" t="s">
        <v>1715</v>
      </c>
      <c r="AH525" t="s">
        <v>63</v>
      </c>
      <c r="AI525" t="s">
        <v>4775</v>
      </c>
      <c r="AJ525">
        <v>194462</v>
      </c>
      <c r="AL525" t="s">
        <v>4776</v>
      </c>
      <c r="AM525" t="s">
        <v>4777</v>
      </c>
      <c r="AN525" t="s">
        <v>4778</v>
      </c>
      <c r="AO525" t="s">
        <v>68</v>
      </c>
      <c r="AQ525" t="s">
        <v>4779</v>
      </c>
      <c r="AR525" t="s">
        <v>4780</v>
      </c>
      <c r="AS525" t="s">
        <v>4781</v>
      </c>
      <c r="AV525" s="14" t="s">
        <v>72</v>
      </c>
      <c r="AW525" s="14" t="s">
        <v>73</v>
      </c>
      <c r="AX525" s="14" t="s">
        <v>74</v>
      </c>
    </row>
    <row r="526" spans="1:50" ht="15" customHeight="1" x14ac:dyDescent="0.4">
      <c r="A526" s="12">
        <v>3741</v>
      </c>
      <c r="B526" s="21" t="s">
        <v>4782</v>
      </c>
      <c r="C526" s="13" t="s">
        <v>4783</v>
      </c>
      <c r="D526" s="25" t="s">
        <v>4783</v>
      </c>
      <c r="E526" s="13"/>
      <c r="F526" s="41"/>
      <c r="G526" s="65" t="s">
        <v>8185</v>
      </c>
      <c r="H526" s="14" t="s">
        <v>1878</v>
      </c>
      <c r="I526" s="15">
        <v>44768</v>
      </c>
      <c r="J526" t="s">
        <v>2719</v>
      </c>
      <c r="K526" t="s">
        <v>51</v>
      </c>
      <c r="L526" t="s">
        <v>52</v>
      </c>
      <c r="M526" t="s">
        <v>53</v>
      </c>
      <c r="N526" t="s">
        <v>1226</v>
      </c>
      <c r="O526" t="s">
        <v>4689</v>
      </c>
      <c r="P526" t="s">
        <v>56</v>
      </c>
      <c r="Q526" s="21" t="s">
        <v>4690</v>
      </c>
      <c r="R526" s="21"/>
      <c r="S526" t="s">
        <v>4784</v>
      </c>
      <c r="T526" t="s">
        <v>4785</v>
      </c>
      <c r="X526" t="s">
        <v>1881</v>
      </c>
      <c r="Z526" s="15"/>
      <c r="AB526">
        <v>41.551887000000001</v>
      </c>
      <c r="AC526">
        <v>-84.354708000000002</v>
      </c>
      <c r="AD526" t="s">
        <v>4786</v>
      </c>
      <c r="AG526" t="s">
        <v>1715</v>
      </c>
      <c r="AH526" t="s">
        <v>63</v>
      </c>
      <c r="AI526" t="s">
        <v>4787</v>
      </c>
      <c r="AJ526">
        <v>194217</v>
      </c>
      <c r="AL526" t="s">
        <v>4788</v>
      </c>
      <c r="AM526" t="s">
        <v>4789</v>
      </c>
      <c r="AN526" t="s">
        <v>4790</v>
      </c>
      <c r="AO526" t="s">
        <v>68</v>
      </c>
      <c r="AQ526" t="s">
        <v>4791</v>
      </c>
      <c r="AR526" t="s">
        <v>4792</v>
      </c>
      <c r="AS526" t="s">
        <v>4793</v>
      </c>
      <c r="AV526" s="14" t="s">
        <v>72</v>
      </c>
      <c r="AW526" s="14" t="s">
        <v>73</v>
      </c>
      <c r="AX526" s="14" t="s">
        <v>1723</v>
      </c>
    </row>
    <row r="527" spans="1:50" ht="15" customHeight="1" x14ac:dyDescent="0.4">
      <c r="A527" s="12">
        <v>3742</v>
      </c>
      <c r="B527" s="21" t="s">
        <v>4794</v>
      </c>
      <c r="C527" s="13" t="s">
        <v>4795</v>
      </c>
      <c r="D527" s="25" t="s">
        <v>4795</v>
      </c>
      <c r="E527" s="13"/>
      <c r="F527" s="41"/>
      <c r="G527" s="65" t="s">
        <v>8185</v>
      </c>
      <c r="H527" s="14" t="s">
        <v>49</v>
      </c>
      <c r="I527" s="15">
        <v>44768</v>
      </c>
      <c r="J527" t="s">
        <v>2719</v>
      </c>
      <c r="K527" t="s">
        <v>51</v>
      </c>
      <c r="L527" t="s">
        <v>52</v>
      </c>
      <c r="M527" t="s">
        <v>53</v>
      </c>
      <c r="N527" t="s">
        <v>1226</v>
      </c>
      <c r="O527" t="s">
        <v>4689</v>
      </c>
      <c r="P527" t="s">
        <v>56</v>
      </c>
      <c r="Q527" s="21" t="s">
        <v>4690</v>
      </c>
      <c r="R527" s="21"/>
      <c r="S527" t="s">
        <v>4784</v>
      </c>
      <c r="T527" t="s">
        <v>4796</v>
      </c>
      <c r="X527" t="s">
        <v>60</v>
      </c>
      <c r="Z527" s="15"/>
      <c r="AB527">
        <v>41.551873999999998</v>
      </c>
      <c r="AC527">
        <v>-84.354208</v>
      </c>
      <c r="AD527" t="s">
        <v>4797</v>
      </c>
      <c r="AG527" t="s">
        <v>1715</v>
      </c>
      <c r="AH527" t="s">
        <v>63</v>
      </c>
      <c r="AI527" t="s">
        <v>4798</v>
      </c>
      <c r="AJ527">
        <v>194461</v>
      </c>
      <c r="AL527" t="s">
        <v>4799</v>
      </c>
      <c r="AM527" t="s">
        <v>4800</v>
      </c>
      <c r="AN527" t="s">
        <v>4801</v>
      </c>
      <c r="AO527" t="s">
        <v>68</v>
      </c>
      <c r="AQ527" t="s">
        <v>4802</v>
      </c>
      <c r="AR527" t="s">
        <v>4803</v>
      </c>
      <c r="AS527" t="s">
        <v>4804</v>
      </c>
      <c r="AV527" s="14" t="s">
        <v>72</v>
      </c>
      <c r="AW527" s="14" t="s">
        <v>73</v>
      </c>
      <c r="AX527" s="14" t="s">
        <v>74</v>
      </c>
    </row>
    <row r="528" spans="1:50" ht="15" customHeight="1" x14ac:dyDescent="0.4">
      <c r="A528" s="12">
        <v>3743</v>
      </c>
      <c r="B528" s="21" t="s">
        <v>4805</v>
      </c>
      <c r="C528" s="13" t="s">
        <v>4806</v>
      </c>
      <c r="D528" s="25" t="s">
        <v>4806</v>
      </c>
      <c r="E528" s="13"/>
      <c r="F528" s="41"/>
      <c r="G528" s="65" t="s">
        <v>8185</v>
      </c>
      <c r="H528" s="14" t="s">
        <v>49</v>
      </c>
      <c r="I528" s="15">
        <v>44768</v>
      </c>
      <c r="J528" t="s">
        <v>2719</v>
      </c>
      <c r="K528" t="s">
        <v>51</v>
      </c>
      <c r="L528" t="s">
        <v>52</v>
      </c>
      <c r="M528" t="s">
        <v>53</v>
      </c>
      <c r="N528" t="s">
        <v>1226</v>
      </c>
      <c r="O528" t="s">
        <v>4689</v>
      </c>
      <c r="P528" t="s">
        <v>56</v>
      </c>
      <c r="Q528" s="21" t="s">
        <v>4690</v>
      </c>
      <c r="R528" s="21"/>
      <c r="S528" t="s">
        <v>4739</v>
      </c>
      <c r="T528" t="s">
        <v>4807</v>
      </c>
      <c r="X528" t="s">
        <v>60</v>
      </c>
      <c r="Z528" s="15"/>
      <c r="AB528">
        <v>41.552622</v>
      </c>
      <c r="AC528">
        <v>-84.353673000000001</v>
      </c>
      <c r="AD528" t="s">
        <v>4808</v>
      </c>
      <c r="AG528" t="s">
        <v>1715</v>
      </c>
      <c r="AH528" t="s">
        <v>63</v>
      </c>
      <c r="AI528" t="s">
        <v>4809</v>
      </c>
      <c r="AJ528">
        <v>192667</v>
      </c>
      <c r="AL528" t="s">
        <v>4810</v>
      </c>
      <c r="AM528" t="s">
        <v>4811</v>
      </c>
      <c r="AN528" t="s">
        <v>4812</v>
      </c>
      <c r="AO528" t="s">
        <v>68</v>
      </c>
      <c r="AQ528" t="s">
        <v>4813</v>
      </c>
      <c r="AR528" t="s">
        <v>4814</v>
      </c>
      <c r="AS528" t="s">
        <v>4815</v>
      </c>
      <c r="AV528" s="14" t="s">
        <v>72</v>
      </c>
      <c r="AW528" s="14" t="s">
        <v>73</v>
      </c>
      <c r="AX528" s="14" t="s">
        <v>74</v>
      </c>
    </row>
    <row r="529" spans="1:50" ht="15" customHeight="1" x14ac:dyDescent="0.4">
      <c r="A529" s="12">
        <v>3744</v>
      </c>
      <c r="B529" s="21" t="s">
        <v>4816</v>
      </c>
      <c r="C529" s="13" t="s">
        <v>4817</v>
      </c>
      <c r="D529" s="25" t="s">
        <v>4817</v>
      </c>
      <c r="E529" s="13"/>
      <c r="F529" s="41"/>
      <c r="G529" s="65" t="s">
        <v>8185</v>
      </c>
      <c r="H529" s="14" t="s">
        <v>1829</v>
      </c>
      <c r="I529" s="15">
        <v>44768</v>
      </c>
      <c r="J529" t="s">
        <v>2719</v>
      </c>
      <c r="K529" t="s">
        <v>51</v>
      </c>
      <c r="L529" t="s">
        <v>52</v>
      </c>
      <c r="M529" t="s">
        <v>53</v>
      </c>
      <c r="N529" t="s">
        <v>1226</v>
      </c>
      <c r="O529" t="s">
        <v>4689</v>
      </c>
      <c r="P529" t="s">
        <v>56</v>
      </c>
      <c r="Q529" s="21" t="s">
        <v>4690</v>
      </c>
      <c r="R529" s="21"/>
      <c r="S529" t="s">
        <v>4818</v>
      </c>
      <c r="T529" t="s">
        <v>4819</v>
      </c>
      <c r="X529" t="s">
        <v>1832</v>
      </c>
      <c r="Z529" s="15"/>
      <c r="AB529">
        <v>41.553659000000003</v>
      </c>
      <c r="AC529">
        <v>-84.353269999999995</v>
      </c>
      <c r="AD529" t="s">
        <v>4820</v>
      </c>
      <c r="AG529" t="s">
        <v>1715</v>
      </c>
      <c r="AH529" t="s">
        <v>63</v>
      </c>
      <c r="AI529" t="s">
        <v>4821</v>
      </c>
      <c r="AJ529">
        <v>194532</v>
      </c>
      <c r="AL529" t="s">
        <v>4822</v>
      </c>
      <c r="AM529" t="s">
        <v>4823</v>
      </c>
      <c r="AN529" t="s">
        <v>4824</v>
      </c>
      <c r="AO529" t="s">
        <v>68</v>
      </c>
      <c r="AP529" t="s">
        <v>4825</v>
      </c>
      <c r="AQ529" t="s">
        <v>4826</v>
      </c>
      <c r="AR529" t="s">
        <v>4827</v>
      </c>
      <c r="AS529" t="s">
        <v>4828</v>
      </c>
      <c r="AT529" s="31" t="s">
        <v>4829</v>
      </c>
      <c r="AV529" s="14" t="s">
        <v>72</v>
      </c>
      <c r="AW529" s="14" t="s">
        <v>73</v>
      </c>
      <c r="AX529" s="14" t="s">
        <v>74</v>
      </c>
    </row>
    <row r="530" spans="1:50" ht="15" customHeight="1" x14ac:dyDescent="0.4">
      <c r="A530" s="12">
        <v>3745</v>
      </c>
      <c r="B530" s="21" t="s">
        <v>4830</v>
      </c>
      <c r="C530" s="13" t="s">
        <v>4831</v>
      </c>
      <c r="D530" s="25" t="s">
        <v>4831</v>
      </c>
      <c r="E530" s="13"/>
      <c r="F530" s="41"/>
      <c r="G530" s="65" t="s">
        <v>8185</v>
      </c>
      <c r="H530" s="14" t="s">
        <v>1878</v>
      </c>
      <c r="I530" s="15">
        <v>44768</v>
      </c>
      <c r="J530" t="s">
        <v>2719</v>
      </c>
      <c r="K530" t="s">
        <v>51</v>
      </c>
      <c r="L530" t="s">
        <v>52</v>
      </c>
      <c r="M530" t="s">
        <v>53</v>
      </c>
      <c r="N530" t="s">
        <v>1226</v>
      </c>
      <c r="O530" t="s">
        <v>4689</v>
      </c>
      <c r="P530" t="s">
        <v>56</v>
      </c>
      <c r="Q530" s="21" t="s">
        <v>4690</v>
      </c>
      <c r="R530" s="21"/>
      <c r="S530" t="s">
        <v>4784</v>
      </c>
      <c r="T530" t="s">
        <v>4832</v>
      </c>
      <c r="X530" t="s">
        <v>1881</v>
      </c>
      <c r="Z530" s="15"/>
      <c r="AB530">
        <v>41.554231999999999</v>
      </c>
      <c r="AC530">
        <v>-84.356245000000001</v>
      </c>
      <c r="AD530" t="s">
        <v>2273</v>
      </c>
      <c r="AG530" t="s">
        <v>1715</v>
      </c>
      <c r="AH530" t="s">
        <v>63</v>
      </c>
      <c r="AI530" t="s">
        <v>4833</v>
      </c>
      <c r="AJ530">
        <v>194218</v>
      </c>
      <c r="AL530" t="s">
        <v>4834</v>
      </c>
      <c r="AM530" t="s">
        <v>4835</v>
      </c>
      <c r="AN530" t="s">
        <v>4836</v>
      </c>
      <c r="AO530" t="s">
        <v>68</v>
      </c>
      <c r="AQ530" t="s">
        <v>4837</v>
      </c>
      <c r="AR530" t="s">
        <v>4838</v>
      </c>
      <c r="AS530" t="s">
        <v>4839</v>
      </c>
      <c r="AV530" s="14" t="s">
        <v>72</v>
      </c>
      <c r="AW530" s="14" t="s">
        <v>73</v>
      </c>
      <c r="AX530" s="14" t="s">
        <v>1723</v>
      </c>
    </row>
    <row r="531" spans="1:50" ht="15" customHeight="1" x14ac:dyDescent="0.4">
      <c r="A531" s="12">
        <v>3746</v>
      </c>
      <c r="B531" s="21" t="s">
        <v>4840</v>
      </c>
      <c r="C531" s="13" t="s">
        <v>4841</v>
      </c>
      <c r="D531" s="25" t="s">
        <v>4841</v>
      </c>
      <c r="E531" s="13"/>
      <c r="F531" s="41"/>
      <c r="G531" s="65" t="s">
        <v>8178</v>
      </c>
      <c r="H531" s="14" t="s">
        <v>1829</v>
      </c>
      <c r="I531" s="15">
        <v>44768</v>
      </c>
      <c r="J531" t="s">
        <v>2719</v>
      </c>
      <c r="K531" t="s">
        <v>51</v>
      </c>
      <c r="L531" t="s">
        <v>52</v>
      </c>
      <c r="M531" t="s">
        <v>53</v>
      </c>
      <c r="N531" t="s">
        <v>1226</v>
      </c>
      <c r="O531" t="s">
        <v>4689</v>
      </c>
      <c r="P531" t="s">
        <v>56</v>
      </c>
      <c r="Q531" s="21" t="s">
        <v>4690</v>
      </c>
      <c r="R531" s="21"/>
      <c r="S531" t="s">
        <v>4739</v>
      </c>
      <c r="T531" t="s">
        <v>4842</v>
      </c>
      <c r="X531" t="s">
        <v>1832</v>
      </c>
      <c r="Z531" s="15"/>
      <c r="AB531">
        <v>41.551442999999999</v>
      </c>
      <c r="AC531">
        <v>-84.357894000000002</v>
      </c>
      <c r="AD531" t="s">
        <v>478</v>
      </c>
      <c r="AG531" t="s">
        <v>1715</v>
      </c>
      <c r="AH531" t="s">
        <v>63</v>
      </c>
      <c r="AI531" t="s">
        <v>4843</v>
      </c>
      <c r="AJ531">
        <v>194533</v>
      </c>
      <c r="AL531" t="s">
        <v>4844</v>
      </c>
      <c r="AM531" t="s">
        <v>4845</v>
      </c>
      <c r="AN531" t="s">
        <v>4846</v>
      </c>
      <c r="AO531" t="s">
        <v>68</v>
      </c>
      <c r="AQ531" t="s">
        <v>4847</v>
      </c>
      <c r="AR531" t="s">
        <v>4848</v>
      </c>
      <c r="AS531" t="s">
        <v>4849</v>
      </c>
      <c r="AV531" s="14" t="s">
        <v>72</v>
      </c>
      <c r="AW531" s="14" t="s">
        <v>73</v>
      </c>
      <c r="AX531" s="14" t="s">
        <v>74</v>
      </c>
    </row>
    <row r="532" spans="1:50" ht="15" customHeight="1" x14ac:dyDescent="0.4">
      <c r="A532" s="12">
        <v>3747</v>
      </c>
      <c r="B532" s="21" t="s">
        <v>4850</v>
      </c>
      <c r="C532" s="13" t="s">
        <v>4851</v>
      </c>
      <c r="D532" s="25" t="s">
        <v>4851</v>
      </c>
      <c r="E532" s="13"/>
      <c r="F532" s="41"/>
      <c r="G532" s="65" t="s">
        <v>8185</v>
      </c>
      <c r="H532" s="14" t="s">
        <v>1878</v>
      </c>
      <c r="I532" s="15">
        <v>44768</v>
      </c>
      <c r="J532" t="s">
        <v>2719</v>
      </c>
      <c r="K532" t="s">
        <v>51</v>
      </c>
      <c r="L532" t="s">
        <v>52</v>
      </c>
      <c r="M532" t="s">
        <v>53</v>
      </c>
      <c r="N532" t="s">
        <v>1226</v>
      </c>
      <c r="O532" t="s">
        <v>4689</v>
      </c>
      <c r="P532" t="s">
        <v>56</v>
      </c>
      <c r="Q532" s="21" t="s">
        <v>4690</v>
      </c>
      <c r="R532" s="21"/>
      <c r="S532" t="s">
        <v>4852</v>
      </c>
      <c r="T532" t="s">
        <v>4853</v>
      </c>
      <c r="X532" t="s">
        <v>1881</v>
      </c>
      <c r="Z532" s="15"/>
      <c r="AB532">
        <v>41.553426000000002</v>
      </c>
      <c r="AC532">
        <v>-84.358202000000006</v>
      </c>
      <c r="AD532" t="s">
        <v>4854</v>
      </c>
      <c r="AG532" t="s">
        <v>1715</v>
      </c>
      <c r="AH532" t="s">
        <v>63</v>
      </c>
      <c r="AI532" t="s">
        <v>4855</v>
      </c>
      <c r="AJ532">
        <v>194219</v>
      </c>
      <c r="AL532" t="s">
        <v>4856</v>
      </c>
      <c r="AM532" t="s">
        <v>4857</v>
      </c>
      <c r="AN532" t="s">
        <v>4858</v>
      </c>
      <c r="AO532" t="s">
        <v>68</v>
      </c>
      <c r="AQ532" t="s">
        <v>4859</v>
      </c>
      <c r="AR532" t="s">
        <v>4860</v>
      </c>
      <c r="AS532" t="s">
        <v>4861</v>
      </c>
      <c r="AV532" s="14" t="s">
        <v>72</v>
      </c>
      <c r="AW532" s="14" t="s">
        <v>73</v>
      </c>
      <c r="AX532" s="14" t="s">
        <v>1723</v>
      </c>
    </row>
    <row r="533" spans="1:50" ht="15" customHeight="1" x14ac:dyDescent="0.4">
      <c r="A533" s="12">
        <v>3997</v>
      </c>
      <c r="B533" s="21" t="s">
        <v>7779</v>
      </c>
      <c r="C533" s="13" t="s">
        <v>7780</v>
      </c>
      <c r="D533" s="25" t="s">
        <v>7780</v>
      </c>
      <c r="E533" s="13"/>
      <c r="F533" s="41"/>
      <c r="G533" s="65" t="s">
        <v>8185</v>
      </c>
      <c r="H533" s="14" t="s">
        <v>1829</v>
      </c>
      <c r="I533" s="15">
        <v>44822</v>
      </c>
      <c r="J533" t="s">
        <v>2719</v>
      </c>
      <c r="K533" t="s">
        <v>51</v>
      </c>
      <c r="L533" t="s">
        <v>52</v>
      </c>
      <c r="M533" t="s">
        <v>53</v>
      </c>
      <c r="N533" t="s">
        <v>1226</v>
      </c>
      <c r="O533" t="s">
        <v>7781</v>
      </c>
      <c r="P533" t="s">
        <v>56</v>
      </c>
      <c r="Q533" s="21" t="s">
        <v>7782</v>
      </c>
      <c r="R533" s="21"/>
      <c r="S533" t="s">
        <v>7783</v>
      </c>
      <c r="T533" t="s">
        <v>7784</v>
      </c>
      <c r="W533" t="s">
        <v>1758</v>
      </c>
      <c r="X533" t="s">
        <v>1832</v>
      </c>
      <c r="Z533" s="15"/>
      <c r="AB533">
        <v>39.345528000000002</v>
      </c>
      <c r="AC533">
        <v>-82.034701999999996</v>
      </c>
      <c r="AD533" t="s">
        <v>7179</v>
      </c>
      <c r="AG533" t="s">
        <v>1715</v>
      </c>
      <c r="AH533" t="s">
        <v>63</v>
      </c>
      <c r="AI533" t="s">
        <v>7785</v>
      </c>
      <c r="AJ533">
        <v>194527</v>
      </c>
      <c r="AL533" t="s">
        <v>7786</v>
      </c>
      <c r="AM533" t="s">
        <v>7787</v>
      </c>
      <c r="AN533" t="s">
        <v>7788</v>
      </c>
      <c r="AO533" t="s">
        <v>68</v>
      </c>
      <c r="AQ533" t="s">
        <v>7789</v>
      </c>
      <c r="AR533" t="s">
        <v>7790</v>
      </c>
      <c r="AS533" t="s">
        <v>7791</v>
      </c>
      <c r="AV533" s="14" t="s">
        <v>72</v>
      </c>
      <c r="AW533" s="14" t="s">
        <v>73</v>
      </c>
      <c r="AX533" s="14" t="s">
        <v>74</v>
      </c>
    </row>
    <row r="534" spans="1:50" ht="15" customHeight="1" x14ac:dyDescent="0.4">
      <c r="A534" s="12">
        <v>3998</v>
      </c>
      <c r="B534" s="21" t="s">
        <v>7792</v>
      </c>
      <c r="C534" s="13" t="s">
        <v>7793</v>
      </c>
      <c r="D534" s="25" t="s">
        <v>7793</v>
      </c>
      <c r="E534" s="13"/>
      <c r="F534" s="41"/>
      <c r="G534" s="65" t="s">
        <v>8178</v>
      </c>
      <c r="H534" s="14" t="s">
        <v>1829</v>
      </c>
      <c r="I534" s="15">
        <v>44822</v>
      </c>
      <c r="J534" t="s">
        <v>2719</v>
      </c>
      <c r="K534" t="s">
        <v>51</v>
      </c>
      <c r="L534" t="s">
        <v>52</v>
      </c>
      <c r="M534" t="s">
        <v>53</v>
      </c>
      <c r="N534" t="s">
        <v>1226</v>
      </c>
      <c r="O534" t="s">
        <v>7781</v>
      </c>
      <c r="P534" t="s">
        <v>56</v>
      </c>
      <c r="Q534" s="21" t="s">
        <v>7782</v>
      </c>
      <c r="R534" s="21"/>
      <c r="S534" t="s">
        <v>7794</v>
      </c>
      <c r="T534" t="s">
        <v>7795</v>
      </c>
      <c r="X534" t="s">
        <v>1832</v>
      </c>
      <c r="Z534" s="15"/>
      <c r="AB534">
        <v>39.346829</v>
      </c>
      <c r="AC534">
        <v>-82.036901999999998</v>
      </c>
      <c r="AD534" t="s">
        <v>7700</v>
      </c>
      <c r="AG534" t="s">
        <v>1715</v>
      </c>
      <c r="AH534" t="s">
        <v>63</v>
      </c>
      <c r="AI534" t="s">
        <v>7796</v>
      </c>
      <c r="AJ534">
        <v>194528</v>
      </c>
      <c r="AL534" t="s">
        <v>7797</v>
      </c>
      <c r="AM534" t="s">
        <v>7798</v>
      </c>
      <c r="AN534" t="s">
        <v>7799</v>
      </c>
      <c r="AO534" t="s">
        <v>68</v>
      </c>
      <c r="AQ534" t="s">
        <v>7800</v>
      </c>
      <c r="AR534" t="s">
        <v>7801</v>
      </c>
      <c r="AS534" t="s">
        <v>7802</v>
      </c>
      <c r="AV534" s="14" t="s">
        <v>72</v>
      </c>
      <c r="AW534" s="14" t="s">
        <v>73</v>
      </c>
      <c r="AX534" s="14" t="s">
        <v>74</v>
      </c>
    </row>
    <row r="535" spans="1:50" ht="15" customHeight="1" x14ac:dyDescent="0.4">
      <c r="A535" s="12">
        <v>3999</v>
      </c>
      <c r="B535" s="21" t="s">
        <v>7803</v>
      </c>
      <c r="C535" s="13" t="s">
        <v>7804</v>
      </c>
      <c r="D535" s="25" t="s">
        <v>7804</v>
      </c>
      <c r="E535" s="13"/>
      <c r="F535" s="41"/>
      <c r="G535" s="65" t="s">
        <v>8185</v>
      </c>
      <c r="H535" s="14" t="s">
        <v>1878</v>
      </c>
      <c r="I535" s="15">
        <v>44822</v>
      </c>
      <c r="J535" t="s">
        <v>2719</v>
      </c>
      <c r="K535" t="s">
        <v>51</v>
      </c>
      <c r="L535" t="s">
        <v>52</v>
      </c>
      <c r="M535" t="s">
        <v>53</v>
      </c>
      <c r="N535" t="s">
        <v>1226</v>
      </c>
      <c r="O535" t="s">
        <v>7781</v>
      </c>
      <c r="P535" t="s">
        <v>56</v>
      </c>
      <c r="Q535" s="21" t="s">
        <v>7782</v>
      </c>
      <c r="R535" s="21"/>
      <c r="S535" t="s">
        <v>7794</v>
      </c>
      <c r="T535" t="s">
        <v>7805</v>
      </c>
      <c r="X535" t="s">
        <v>1881</v>
      </c>
      <c r="Z535" s="15"/>
      <c r="AB535">
        <v>39.346950999999997</v>
      </c>
      <c r="AC535">
        <v>-82.037267</v>
      </c>
      <c r="AD535" t="s">
        <v>7179</v>
      </c>
      <c r="AG535" t="s">
        <v>1715</v>
      </c>
      <c r="AH535" t="s">
        <v>63</v>
      </c>
      <c r="AI535" t="s">
        <v>7806</v>
      </c>
      <c r="AJ535">
        <v>194144</v>
      </c>
      <c r="AL535" t="s">
        <v>7807</v>
      </c>
      <c r="AM535" t="s">
        <v>7808</v>
      </c>
      <c r="AN535" t="s">
        <v>7809</v>
      </c>
      <c r="AO535" t="s">
        <v>68</v>
      </c>
      <c r="AQ535" t="s">
        <v>7810</v>
      </c>
      <c r="AR535" t="s">
        <v>7811</v>
      </c>
      <c r="AS535" t="s">
        <v>7812</v>
      </c>
      <c r="AV535" s="14" t="s">
        <v>72</v>
      </c>
      <c r="AW535" s="14" t="s">
        <v>73</v>
      </c>
      <c r="AX535" s="14" t="s">
        <v>1723</v>
      </c>
    </row>
    <row r="536" spans="1:50" ht="15" customHeight="1" x14ac:dyDescent="0.4">
      <c r="A536" s="12">
        <v>4000</v>
      </c>
      <c r="B536" s="21" t="s">
        <v>7813</v>
      </c>
      <c r="C536" s="13" t="s">
        <v>7814</v>
      </c>
      <c r="D536" s="25" t="s">
        <v>7814</v>
      </c>
      <c r="E536" s="13"/>
      <c r="F536" s="41"/>
      <c r="G536" s="65" t="s">
        <v>8185</v>
      </c>
      <c r="H536" s="14" t="s">
        <v>1878</v>
      </c>
      <c r="I536" s="15">
        <v>44822</v>
      </c>
      <c r="J536" t="s">
        <v>2719</v>
      </c>
      <c r="K536" t="s">
        <v>51</v>
      </c>
      <c r="L536" t="s">
        <v>52</v>
      </c>
      <c r="M536" t="s">
        <v>53</v>
      </c>
      <c r="N536" t="s">
        <v>1226</v>
      </c>
      <c r="O536" t="s">
        <v>7781</v>
      </c>
      <c r="P536" t="s">
        <v>56</v>
      </c>
      <c r="Q536" s="21" t="s">
        <v>7782</v>
      </c>
      <c r="R536" s="21"/>
      <c r="S536" t="s">
        <v>7815</v>
      </c>
      <c r="T536" t="s">
        <v>7816</v>
      </c>
      <c r="X536" t="s">
        <v>1881</v>
      </c>
      <c r="Z536" s="15"/>
      <c r="AB536">
        <v>39.348610000000001</v>
      </c>
      <c r="AC536">
        <v>-82.039720000000003</v>
      </c>
      <c r="AD536" t="s">
        <v>7278</v>
      </c>
      <c r="AG536" t="s">
        <v>1715</v>
      </c>
      <c r="AH536" t="s">
        <v>63</v>
      </c>
      <c r="AI536" t="s">
        <v>7817</v>
      </c>
      <c r="AJ536">
        <v>194143</v>
      </c>
      <c r="AL536" t="s">
        <v>7818</v>
      </c>
      <c r="AM536" t="s">
        <v>7819</v>
      </c>
      <c r="AN536" t="s">
        <v>7820</v>
      </c>
      <c r="AO536" t="s">
        <v>68</v>
      </c>
      <c r="AQ536" t="s">
        <v>7821</v>
      </c>
      <c r="AR536" t="s">
        <v>7822</v>
      </c>
      <c r="AS536" t="s">
        <v>7823</v>
      </c>
      <c r="AV536" s="14" t="s">
        <v>72</v>
      </c>
      <c r="AW536" s="14" t="s">
        <v>73</v>
      </c>
      <c r="AX536" s="14" t="s">
        <v>1723</v>
      </c>
    </row>
    <row r="537" spans="1:50" ht="15" customHeight="1" x14ac:dyDescent="0.4">
      <c r="A537" s="12">
        <v>4001</v>
      </c>
      <c r="B537" s="21" t="s">
        <v>7824</v>
      </c>
      <c r="C537" s="13" t="s">
        <v>7825</v>
      </c>
      <c r="D537" s="25" t="s">
        <v>7825</v>
      </c>
      <c r="E537" s="13"/>
      <c r="F537" s="41"/>
      <c r="G537" s="65" t="s">
        <v>8185</v>
      </c>
      <c r="H537" s="14" t="s">
        <v>6100</v>
      </c>
      <c r="I537" s="15">
        <v>44822</v>
      </c>
      <c r="J537" t="s">
        <v>2719</v>
      </c>
      <c r="K537" t="s">
        <v>51</v>
      </c>
      <c r="L537" t="s">
        <v>52</v>
      </c>
      <c r="M537" t="s">
        <v>53</v>
      </c>
      <c r="N537" t="s">
        <v>1226</v>
      </c>
      <c r="O537" t="s">
        <v>7781</v>
      </c>
      <c r="P537" t="s">
        <v>56</v>
      </c>
      <c r="Q537" s="21" t="s">
        <v>7782</v>
      </c>
      <c r="R537" s="21"/>
      <c r="S537" t="s">
        <v>7826</v>
      </c>
      <c r="T537" t="s">
        <v>7827</v>
      </c>
      <c r="W537" t="s">
        <v>2440</v>
      </c>
      <c r="X537" t="s">
        <v>6105</v>
      </c>
      <c r="Z537" s="15"/>
      <c r="AB537">
        <v>39.349271999999999</v>
      </c>
      <c r="AC537">
        <v>-82.047353999999999</v>
      </c>
      <c r="AD537" t="s">
        <v>7828</v>
      </c>
      <c r="AG537" t="s">
        <v>1715</v>
      </c>
      <c r="AH537" t="s">
        <v>63</v>
      </c>
      <c r="AI537" t="s">
        <v>7829</v>
      </c>
      <c r="AJ537">
        <v>193769</v>
      </c>
      <c r="AL537" t="s">
        <v>7830</v>
      </c>
      <c r="AM537" t="s">
        <v>7831</v>
      </c>
      <c r="AN537" t="s">
        <v>7832</v>
      </c>
      <c r="AO537" t="s">
        <v>68</v>
      </c>
      <c r="AQ537" t="s">
        <v>7833</v>
      </c>
      <c r="AR537" t="s">
        <v>7834</v>
      </c>
      <c r="AS537" t="s">
        <v>7835</v>
      </c>
      <c r="AV537" s="14" t="s">
        <v>72</v>
      </c>
      <c r="AW537" s="14" t="s">
        <v>73</v>
      </c>
      <c r="AX537" s="14" t="s">
        <v>1723</v>
      </c>
    </row>
    <row r="538" spans="1:50" ht="15" customHeight="1" x14ac:dyDescent="0.4">
      <c r="A538" s="12">
        <v>4002</v>
      </c>
      <c r="B538" s="21" t="s">
        <v>7836</v>
      </c>
      <c r="C538" s="13" t="s">
        <v>7837</v>
      </c>
      <c r="D538" s="25" t="s">
        <v>7837</v>
      </c>
      <c r="E538" s="13"/>
      <c r="F538" s="41"/>
      <c r="G538" s="65" t="s">
        <v>8185</v>
      </c>
      <c r="H538" s="14" t="s">
        <v>6100</v>
      </c>
      <c r="I538" s="15">
        <v>44822</v>
      </c>
      <c r="J538" t="s">
        <v>2719</v>
      </c>
      <c r="K538" t="s">
        <v>51</v>
      </c>
      <c r="L538" t="s">
        <v>52</v>
      </c>
      <c r="M538" t="s">
        <v>53</v>
      </c>
      <c r="N538" t="s">
        <v>1226</v>
      </c>
      <c r="O538" t="s">
        <v>7781</v>
      </c>
      <c r="P538" t="s">
        <v>56</v>
      </c>
      <c r="Q538" s="21" t="s">
        <v>7782</v>
      </c>
      <c r="R538" s="21"/>
      <c r="S538" t="s">
        <v>7838</v>
      </c>
      <c r="T538" t="s">
        <v>7839</v>
      </c>
      <c r="W538" t="s">
        <v>2440</v>
      </c>
      <c r="X538" t="s">
        <v>6105</v>
      </c>
      <c r="Z538" s="15"/>
      <c r="AB538">
        <v>39.349482000000002</v>
      </c>
      <c r="AC538">
        <v>-82.046768</v>
      </c>
      <c r="AD538" t="s">
        <v>4975</v>
      </c>
      <c r="AG538" t="s">
        <v>1715</v>
      </c>
      <c r="AH538" t="s">
        <v>63</v>
      </c>
      <c r="AI538" t="s">
        <v>7840</v>
      </c>
      <c r="AJ538">
        <v>193770</v>
      </c>
      <c r="AL538" t="s">
        <v>7841</v>
      </c>
      <c r="AM538" t="s">
        <v>7842</v>
      </c>
      <c r="AN538" s="23" t="s">
        <v>7843</v>
      </c>
      <c r="AO538" t="s">
        <v>68</v>
      </c>
      <c r="AQ538" t="s">
        <v>7844</v>
      </c>
      <c r="AR538" t="s">
        <v>7845</v>
      </c>
      <c r="AS538" t="s">
        <v>7846</v>
      </c>
      <c r="AV538" s="14" t="s">
        <v>72</v>
      </c>
      <c r="AW538" s="14" t="s">
        <v>73</v>
      </c>
      <c r="AX538" s="14" t="s">
        <v>1723</v>
      </c>
    </row>
    <row r="539" spans="1:50" ht="15" customHeight="1" x14ac:dyDescent="0.4">
      <c r="A539" s="12">
        <v>4003</v>
      </c>
      <c r="B539" s="21" t="s">
        <v>7847</v>
      </c>
      <c r="C539" s="13" t="s">
        <v>7848</v>
      </c>
      <c r="D539" s="25" t="s">
        <v>7848</v>
      </c>
      <c r="E539" s="13"/>
      <c r="F539" s="41"/>
      <c r="G539" s="65" t="s">
        <v>8185</v>
      </c>
      <c r="H539" s="14" t="s">
        <v>6100</v>
      </c>
      <c r="I539" s="15">
        <v>44822</v>
      </c>
      <c r="J539" t="s">
        <v>2719</v>
      </c>
      <c r="K539" t="s">
        <v>51</v>
      </c>
      <c r="L539" t="s">
        <v>52</v>
      </c>
      <c r="M539" t="s">
        <v>53</v>
      </c>
      <c r="N539" t="s">
        <v>1226</v>
      </c>
      <c r="O539" t="s">
        <v>7781</v>
      </c>
      <c r="P539" t="s">
        <v>56</v>
      </c>
      <c r="Q539" s="21" t="s">
        <v>7782</v>
      </c>
      <c r="R539" s="21"/>
      <c r="S539" t="s">
        <v>7849</v>
      </c>
      <c r="T539" t="s">
        <v>7850</v>
      </c>
      <c r="X539" t="s">
        <v>6105</v>
      </c>
      <c r="Z539" s="15"/>
      <c r="AB539">
        <v>39.336371</v>
      </c>
      <c r="AC539">
        <v>-82.015625</v>
      </c>
      <c r="AD539" t="s">
        <v>7851</v>
      </c>
      <c r="AG539" t="s">
        <v>1715</v>
      </c>
      <c r="AH539" t="s">
        <v>63</v>
      </c>
      <c r="AI539" t="s">
        <v>7852</v>
      </c>
      <c r="AJ539">
        <v>193771</v>
      </c>
      <c r="AL539" t="s">
        <v>7853</v>
      </c>
      <c r="AM539" t="s">
        <v>7854</v>
      </c>
      <c r="AN539" t="s">
        <v>7855</v>
      </c>
      <c r="AO539" t="s">
        <v>68</v>
      </c>
      <c r="AQ539" t="s">
        <v>7856</v>
      </c>
      <c r="AR539" t="s">
        <v>7857</v>
      </c>
      <c r="AS539" t="s">
        <v>7858</v>
      </c>
      <c r="AV539" s="14" t="s">
        <v>72</v>
      </c>
      <c r="AW539" s="14" t="s">
        <v>73</v>
      </c>
      <c r="AX539" s="14" t="s">
        <v>1723</v>
      </c>
    </row>
    <row r="540" spans="1:50" ht="15" customHeight="1" x14ac:dyDescent="0.4">
      <c r="A540" s="12">
        <v>2460</v>
      </c>
      <c r="B540" t="s">
        <v>1223</v>
      </c>
      <c r="D540" t="s">
        <v>1224</v>
      </c>
      <c r="E540" s="13"/>
      <c r="F540" s="41"/>
      <c r="G540" s="65" t="s">
        <v>8185</v>
      </c>
      <c r="H540" s="14" t="s">
        <v>49</v>
      </c>
      <c r="I540" s="15">
        <v>42983</v>
      </c>
      <c r="J540" t="s">
        <v>1225</v>
      </c>
      <c r="K540" t="s">
        <v>51</v>
      </c>
      <c r="L540" s="15" t="s">
        <v>52</v>
      </c>
      <c r="M540" t="s">
        <v>53</v>
      </c>
      <c r="N540" t="s">
        <v>1226</v>
      </c>
      <c r="O540" t="s">
        <v>1227</v>
      </c>
      <c r="P540" t="s">
        <v>56</v>
      </c>
      <c r="Q540" s="16" t="s">
        <v>1228</v>
      </c>
      <c r="R540" s="21"/>
      <c r="S540" t="s">
        <v>1229</v>
      </c>
      <c r="T540" t="s">
        <v>1230</v>
      </c>
      <c r="X540" t="s">
        <v>78</v>
      </c>
      <c r="Y540" t="s">
        <v>79</v>
      </c>
      <c r="Z540" s="15">
        <v>45597</v>
      </c>
      <c r="AA540" t="s">
        <v>48</v>
      </c>
      <c r="AB540">
        <v>40.043599999999998</v>
      </c>
      <c r="AC540">
        <v>-83.479870000000005</v>
      </c>
      <c r="AD540" t="s">
        <v>1231</v>
      </c>
      <c r="AG540" t="s">
        <v>62</v>
      </c>
      <c r="AH540" t="s">
        <v>63</v>
      </c>
      <c r="AI540" t="s">
        <v>1232</v>
      </c>
      <c r="AJ540">
        <v>186111</v>
      </c>
      <c r="AL540" t="s">
        <v>1233</v>
      </c>
      <c r="AM540" t="s">
        <v>1234</v>
      </c>
      <c r="AN540" t="s">
        <v>1235</v>
      </c>
      <c r="AO540" t="s">
        <v>68</v>
      </c>
      <c r="AQ540" t="s">
        <v>1236</v>
      </c>
      <c r="AR540" t="s">
        <v>1237</v>
      </c>
      <c r="AS540" t="s">
        <v>1238</v>
      </c>
      <c r="AT540" s="31" t="s">
        <v>1239</v>
      </c>
      <c r="AU540" s="31" t="s">
        <v>85</v>
      </c>
      <c r="AV540" s="14" t="s">
        <v>72</v>
      </c>
      <c r="AW540" s="14" t="s">
        <v>73</v>
      </c>
      <c r="AX540" s="14" t="s">
        <v>74</v>
      </c>
    </row>
    <row r="541" spans="1:50" ht="15" customHeight="1" x14ac:dyDescent="0.4">
      <c r="A541" s="12">
        <v>2461</v>
      </c>
      <c r="B541" t="s">
        <v>1240</v>
      </c>
      <c r="D541" t="s">
        <v>1241</v>
      </c>
      <c r="E541" s="13"/>
      <c r="F541" s="41"/>
      <c r="G541" s="65" t="s">
        <v>8185</v>
      </c>
      <c r="H541" s="14" t="s">
        <v>49</v>
      </c>
      <c r="I541" s="15">
        <v>42983</v>
      </c>
      <c r="J541" t="s">
        <v>1225</v>
      </c>
      <c r="K541" t="s">
        <v>51</v>
      </c>
      <c r="L541" s="15" t="s">
        <v>52</v>
      </c>
      <c r="M541" t="s">
        <v>53</v>
      </c>
      <c r="N541" t="s">
        <v>1226</v>
      </c>
      <c r="O541" t="s">
        <v>1227</v>
      </c>
      <c r="P541" t="s">
        <v>56</v>
      </c>
      <c r="Q541" s="16" t="s">
        <v>1228</v>
      </c>
      <c r="R541" s="21"/>
      <c r="S541" t="s">
        <v>1229</v>
      </c>
      <c r="T541" t="s">
        <v>1230</v>
      </c>
      <c r="X541" t="s">
        <v>60</v>
      </c>
      <c r="Z541" s="15"/>
      <c r="AB541">
        <v>40.043970000000002</v>
      </c>
      <c r="AC541">
        <v>-83.480379999999997</v>
      </c>
      <c r="AD541" t="s">
        <v>1242</v>
      </c>
      <c r="AG541" t="s">
        <v>62</v>
      </c>
      <c r="AH541" t="s">
        <v>63</v>
      </c>
      <c r="AI541" t="s">
        <v>1243</v>
      </c>
      <c r="AJ541" t="s">
        <v>1244</v>
      </c>
      <c r="AL541" t="s">
        <v>1245</v>
      </c>
      <c r="AM541" t="s">
        <v>1246</v>
      </c>
      <c r="AN541" t="s">
        <v>1247</v>
      </c>
      <c r="AO541" t="s">
        <v>68</v>
      </c>
      <c r="AQ541" t="s">
        <v>1248</v>
      </c>
      <c r="AR541" t="s">
        <v>1249</v>
      </c>
      <c r="AS541" t="s">
        <v>1250</v>
      </c>
      <c r="AV541" s="14" t="s">
        <v>72</v>
      </c>
      <c r="AW541" s="14" t="s">
        <v>73</v>
      </c>
      <c r="AX541" s="14" t="s">
        <v>74</v>
      </c>
    </row>
    <row r="542" spans="1:50" ht="15" customHeight="1" x14ac:dyDescent="0.4">
      <c r="A542" s="12">
        <v>2462</v>
      </c>
      <c r="B542" t="s">
        <v>1251</v>
      </c>
      <c r="D542" t="s">
        <v>1252</v>
      </c>
      <c r="E542" s="13"/>
      <c r="F542" s="41"/>
      <c r="G542" s="65" t="s">
        <v>8185</v>
      </c>
      <c r="H542" s="14" t="s">
        <v>49</v>
      </c>
      <c r="I542" s="15">
        <v>42983</v>
      </c>
      <c r="J542" t="s">
        <v>1225</v>
      </c>
      <c r="K542" t="s">
        <v>51</v>
      </c>
      <c r="L542" s="15" t="s">
        <v>52</v>
      </c>
      <c r="M542" t="s">
        <v>53</v>
      </c>
      <c r="N542" t="s">
        <v>1226</v>
      </c>
      <c r="O542" t="s">
        <v>1227</v>
      </c>
      <c r="P542" t="s">
        <v>56</v>
      </c>
      <c r="Q542" s="16" t="s">
        <v>1228</v>
      </c>
      <c r="R542" s="21"/>
      <c r="S542" t="s">
        <v>1229</v>
      </c>
      <c r="T542" t="s">
        <v>1230</v>
      </c>
      <c r="X542" t="s">
        <v>60</v>
      </c>
      <c r="Z542" s="15"/>
      <c r="AB542">
        <v>40.044330000000002</v>
      </c>
      <c r="AC542">
        <v>-83.480639999999994</v>
      </c>
      <c r="AD542" t="s">
        <v>1253</v>
      </c>
      <c r="AG542" t="s">
        <v>62</v>
      </c>
      <c r="AH542" t="s">
        <v>63</v>
      </c>
      <c r="AI542" t="s">
        <v>1254</v>
      </c>
      <c r="AJ542" t="s">
        <v>1255</v>
      </c>
      <c r="AL542" t="s">
        <v>1256</v>
      </c>
      <c r="AM542" t="s">
        <v>1257</v>
      </c>
      <c r="AN542" t="s">
        <v>1258</v>
      </c>
      <c r="AO542" t="s">
        <v>68</v>
      </c>
      <c r="AQ542" t="s">
        <v>1259</v>
      </c>
      <c r="AR542" t="s">
        <v>1260</v>
      </c>
      <c r="AS542" t="s">
        <v>1261</v>
      </c>
      <c r="AV542" s="14" t="s">
        <v>72</v>
      </c>
      <c r="AW542" s="14" t="s">
        <v>73</v>
      </c>
      <c r="AX542" s="14" t="s">
        <v>74</v>
      </c>
    </row>
    <row r="543" spans="1:50" ht="15" customHeight="1" x14ac:dyDescent="0.4">
      <c r="A543" s="12">
        <v>2463</v>
      </c>
      <c r="B543" t="s">
        <v>1262</v>
      </c>
      <c r="D543" t="s">
        <v>1263</v>
      </c>
      <c r="E543" s="13"/>
      <c r="F543" s="41"/>
      <c r="G543" s="65" t="s">
        <v>8185</v>
      </c>
      <c r="H543" s="14" t="s">
        <v>49</v>
      </c>
      <c r="I543" s="15">
        <v>42983</v>
      </c>
      <c r="J543" t="s">
        <v>1225</v>
      </c>
      <c r="K543" t="s">
        <v>51</v>
      </c>
      <c r="L543" s="15" t="s">
        <v>52</v>
      </c>
      <c r="M543" t="s">
        <v>53</v>
      </c>
      <c r="N543" t="s">
        <v>1226</v>
      </c>
      <c r="O543" t="s">
        <v>1227</v>
      </c>
      <c r="P543" t="s">
        <v>56</v>
      </c>
      <c r="Q543" s="16" t="s">
        <v>1228</v>
      </c>
      <c r="R543" s="21"/>
      <c r="S543" t="s">
        <v>1229</v>
      </c>
      <c r="T543" t="s">
        <v>1230</v>
      </c>
      <c r="X543" t="s">
        <v>78</v>
      </c>
      <c r="Y543" t="s">
        <v>562</v>
      </c>
      <c r="Z543" s="15">
        <v>45597</v>
      </c>
      <c r="AA543" t="s">
        <v>48</v>
      </c>
      <c r="AB543">
        <v>40.045209999999997</v>
      </c>
      <c r="AC543">
        <v>-83.479240000000004</v>
      </c>
      <c r="AD543" t="s">
        <v>1264</v>
      </c>
      <c r="AG543" t="s">
        <v>62</v>
      </c>
      <c r="AH543" t="s">
        <v>63</v>
      </c>
      <c r="AI543" t="s">
        <v>1265</v>
      </c>
      <c r="AJ543">
        <v>186411</v>
      </c>
      <c r="AL543" t="s">
        <v>1266</v>
      </c>
      <c r="AM543" t="s">
        <v>1267</v>
      </c>
      <c r="AN543" t="s">
        <v>1268</v>
      </c>
      <c r="AO543" t="s">
        <v>68</v>
      </c>
      <c r="AQ543" t="s">
        <v>1269</v>
      </c>
      <c r="AR543" t="s">
        <v>1270</v>
      </c>
      <c r="AS543" t="s">
        <v>1271</v>
      </c>
      <c r="AT543" s="31" t="s">
        <v>1272</v>
      </c>
      <c r="AU543" s="31" t="s">
        <v>85</v>
      </c>
      <c r="AV543" s="14" t="s">
        <v>72</v>
      </c>
      <c r="AW543" s="14" t="s">
        <v>73</v>
      </c>
      <c r="AX543" s="14" t="s">
        <v>74</v>
      </c>
    </row>
    <row r="544" spans="1:50" ht="15" customHeight="1" x14ac:dyDescent="0.4">
      <c r="A544" s="12">
        <v>2464</v>
      </c>
      <c r="B544" t="s">
        <v>1273</v>
      </c>
      <c r="D544" t="s">
        <v>1274</v>
      </c>
      <c r="E544" s="13"/>
      <c r="F544" s="41"/>
      <c r="G544" s="65" t="s">
        <v>8185</v>
      </c>
      <c r="H544" s="14" t="s">
        <v>49</v>
      </c>
      <c r="I544" s="15">
        <v>42983</v>
      </c>
      <c r="J544" t="s">
        <v>1225</v>
      </c>
      <c r="K544" t="s">
        <v>51</v>
      </c>
      <c r="L544" s="15" t="s">
        <v>52</v>
      </c>
      <c r="M544" t="s">
        <v>53</v>
      </c>
      <c r="N544" t="s">
        <v>1226</v>
      </c>
      <c r="O544" t="s">
        <v>1227</v>
      </c>
      <c r="P544" t="s">
        <v>56</v>
      </c>
      <c r="Q544" s="16" t="s">
        <v>1228</v>
      </c>
      <c r="R544" s="21"/>
      <c r="S544" t="s">
        <v>1229</v>
      </c>
      <c r="T544" t="s">
        <v>1230</v>
      </c>
      <c r="X544" t="s">
        <v>60</v>
      </c>
      <c r="Z544" s="15"/>
      <c r="AB544">
        <v>40.045679999999997</v>
      </c>
      <c r="AC544">
        <v>-83.479349999999997</v>
      </c>
      <c r="AD544" t="s">
        <v>1275</v>
      </c>
      <c r="AG544" t="s">
        <v>62</v>
      </c>
      <c r="AH544" t="s">
        <v>63</v>
      </c>
      <c r="AI544" t="s">
        <v>1276</v>
      </c>
      <c r="AJ544" t="s">
        <v>1277</v>
      </c>
      <c r="AL544" t="s">
        <v>1278</v>
      </c>
      <c r="AM544" t="s">
        <v>1279</v>
      </c>
      <c r="AN544" t="s">
        <v>1280</v>
      </c>
      <c r="AO544" t="s">
        <v>68</v>
      </c>
      <c r="AQ544" t="s">
        <v>1281</v>
      </c>
      <c r="AR544" t="s">
        <v>1282</v>
      </c>
      <c r="AS544" t="s">
        <v>1283</v>
      </c>
      <c r="AV544" s="14" t="s">
        <v>72</v>
      </c>
      <c r="AW544" s="14" t="s">
        <v>73</v>
      </c>
      <c r="AX544" s="14" t="s">
        <v>74</v>
      </c>
    </row>
    <row r="545" spans="1:50" ht="15" customHeight="1" x14ac:dyDescent="0.4">
      <c r="A545" s="12">
        <v>2465</v>
      </c>
      <c r="B545" t="s">
        <v>1284</v>
      </c>
      <c r="D545" t="s">
        <v>1285</v>
      </c>
      <c r="E545" s="13"/>
      <c r="F545" s="41" t="s">
        <v>1752</v>
      </c>
      <c r="G545" s="65" t="s">
        <v>8185</v>
      </c>
      <c r="H545" s="14" t="s">
        <v>49</v>
      </c>
      <c r="I545" s="15">
        <v>42983</v>
      </c>
      <c r="J545" t="s">
        <v>1225</v>
      </c>
      <c r="K545" t="s">
        <v>51</v>
      </c>
      <c r="L545" s="15" t="s">
        <v>52</v>
      </c>
      <c r="M545" t="s">
        <v>53</v>
      </c>
      <c r="N545" t="s">
        <v>1226</v>
      </c>
      <c r="O545" t="s">
        <v>1227</v>
      </c>
      <c r="P545" t="s">
        <v>56</v>
      </c>
      <c r="Q545" s="16" t="s">
        <v>1228</v>
      </c>
      <c r="R545" s="21"/>
      <c r="S545" t="s">
        <v>1229</v>
      </c>
      <c r="T545" t="s">
        <v>1230</v>
      </c>
      <c r="X545" t="s">
        <v>60</v>
      </c>
      <c r="Z545" s="15"/>
      <c r="AB545">
        <v>40.046039999999998</v>
      </c>
      <c r="AC545">
        <v>-83.478849999999994</v>
      </c>
      <c r="AD545" t="s">
        <v>1286</v>
      </c>
      <c r="AG545" t="s">
        <v>62</v>
      </c>
      <c r="AH545" t="s">
        <v>63</v>
      </c>
      <c r="AI545" t="s">
        <v>1287</v>
      </c>
      <c r="AJ545" t="s">
        <v>1288</v>
      </c>
      <c r="AL545" t="s">
        <v>1289</v>
      </c>
      <c r="AM545" t="s">
        <v>1290</v>
      </c>
      <c r="AN545" t="s">
        <v>1291</v>
      </c>
      <c r="AO545" t="s">
        <v>68</v>
      </c>
      <c r="AQ545" t="s">
        <v>1292</v>
      </c>
      <c r="AR545" t="s">
        <v>1293</v>
      </c>
      <c r="AS545" t="s">
        <v>1294</v>
      </c>
      <c r="AV545" s="14" t="s">
        <v>72</v>
      </c>
      <c r="AW545" s="14" t="s">
        <v>73</v>
      </c>
      <c r="AX545" s="14" t="s">
        <v>74</v>
      </c>
    </row>
    <row r="546" spans="1:50" ht="15" customHeight="1" x14ac:dyDescent="0.4">
      <c r="A546" s="12">
        <v>2466</v>
      </c>
      <c r="B546" t="s">
        <v>1295</v>
      </c>
      <c r="D546" t="s">
        <v>1296</v>
      </c>
      <c r="E546" s="13"/>
      <c r="F546" s="41"/>
      <c r="G546" s="65" t="s">
        <v>8185</v>
      </c>
      <c r="H546" s="14" t="s">
        <v>49</v>
      </c>
      <c r="I546" s="15">
        <v>42983</v>
      </c>
      <c r="J546" t="s">
        <v>1225</v>
      </c>
      <c r="K546" t="s">
        <v>51</v>
      </c>
      <c r="L546" s="15" t="s">
        <v>52</v>
      </c>
      <c r="M546" t="s">
        <v>53</v>
      </c>
      <c r="N546" t="s">
        <v>1226</v>
      </c>
      <c r="O546" t="s">
        <v>1227</v>
      </c>
      <c r="P546" t="s">
        <v>56</v>
      </c>
      <c r="Q546" s="16" t="s">
        <v>1228</v>
      </c>
      <c r="R546" s="21"/>
      <c r="S546" t="s">
        <v>1229</v>
      </c>
      <c r="T546" t="s">
        <v>1230</v>
      </c>
      <c r="X546" t="s">
        <v>60</v>
      </c>
      <c r="Z546" s="15"/>
      <c r="AB546">
        <v>40.044989999999999</v>
      </c>
      <c r="AC546">
        <v>-83.477350000000001</v>
      </c>
      <c r="AD546" t="s">
        <v>1297</v>
      </c>
      <c r="AG546" t="s">
        <v>62</v>
      </c>
      <c r="AH546" t="s">
        <v>63</v>
      </c>
      <c r="AI546" t="s">
        <v>1298</v>
      </c>
      <c r="AJ546" t="s">
        <v>1299</v>
      </c>
      <c r="AL546" t="s">
        <v>1300</v>
      </c>
      <c r="AM546" t="s">
        <v>1301</v>
      </c>
      <c r="AN546" t="s">
        <v>1302</v>
      </c>
      <c r="AO546" t="s">
        <v>68</v>
      </c>
      <c r="AQ546" t="s">
        <v>1303</v>
      </c>
      <c r="AR546" t="s">
        <v>1304</v>
      </c>
      <c r="AS546" t="s">
        <v>1305</v>
      </c>
      <c r="AV546" s="14" t="s">
        <v>72</v>
      </c>
      <c r="AW546" s="14" t="s">
        <v>73</v>
      </c>
      <c r="AX546" s="14" t="s">
        <v>74</v>
      </c>
    </row>
    <row r="547" spans="1:50" ht="15" customHeight="1" x14ac:dyDescent="0.4">
      <c r="A547" s="12">
        <v>2467</v>
      </c>
      <c r="B547" t="s">
        <v>1306</v>
      </c>
      <c r="D547" t="s">
        <v>1307</v>
      </c>
      <c r="E547" s="13"/>
      <c r="F547" s="41"/>
      <c r="G547" s="65" t="s">
        <v>8185</v>
      </c>
      <c r="H547" s="14" t="s">
        <v>49</v>
      </c>
      <c r="I547" s="15">
        <v>42983</v>
      </c>
      <c r="J547" t="s">
        <v>1225</v>
      </c>
      <c r="K547" t="s">
        <v>51</v>
      </c>
      <c r="L547" s="15" t="s">
        <v>52</v>
      </c>
      <c r="M547" t="s">
        <v>53</v>
      </c>
      <c r="N547" t="s">
        <v>1226</v>
      </c>
      <c r="O547" t="s">
        <v>1227</v>
      </c>
      <c r="P547" t="s">
        <v>56</v>
      </c>
      <c r="Q547" s="16" t="s">
        <v>1228</v>
      </c>
      <c r="R547" s="21"/>
      <c r="S547" t="s">
        <v>1229</v>
      </c>
      <c r="T547" t="s">
        <v>1230</v>
      </c>
      <c r="X547" t="s">
        <v>78</v>
      </c>
      <c r="Y547" t="s">
        <v>79</v>
      </c>
      <c r="Z547" s="15">
        <v>45597</v>
      </c>
      <c r="AA547" t="s">
        <v>48</v>
      </c>
      <c r="AB547">
        <v>40.044359999999998</v>
      </c>
      <c r="AC547">
        <v>-83.478909999999999</v>
      </c>
      <c r="AD547" t="s">
        <v>1308</v>
      </c>
      <c r="AG547" t="s">
        <v>62</v>
      </c>
      <c r="AH547" t="s">
        <v>63</v>
      </c>
      <c r="AI547" t="s">
        <v>1309</v>
      </c>
      <c r="AJ547">
        <v>186413</v>
      </c>
      <c r="AL547" t="s">
        <v>1310</v>
      </c>
      <c r="AM547" t="s">
        <v>1311</v>
      </c>
      <c r="AN547" t="s">
        <v>1312</v>
      </c>
      <c r="AO547" t="s">
        <v>68</v>
      </c>
      <c r="AQ547" t="s">
        <v>1313</v>
      </c>
      <c r="AR547" t="s">
        <v>1314</v>
      </c>
      <c r="AS547" t="s">
        <v>1315</v>
      </c>
      <c r="AT547" s="31" t="s">
        <v>1316</v>
      </c>
      <c r="AU547" s="31" t="s">
        <v>85</v>
      </c>
      <c r="AV547" s="14" t="s">
        <v>72</v>
      </c>
      <c r="AW547" s="14" t="s">
        <v>73</v>
      </c>
      <c r="AX547" s="14" t="s">
        <v>74</v>
      </c>
    </row>
    <row r="548" spans="1:50" ht="15" customHeight="1" x14ac:dyDescent="0.4">
      <c r="A548" s="12">
        <v>2468</v>
      </c>
      <c r="B548" t="s">
        <v>1317</v>
      </c>
      <c r="D548" t="s">
        <v>1318</v>
      </c>
      <c r="E548" s="13"/>
      <c r="F548" s="41"/>
      <c r="G548" s="65" t="s">
        <v>8185</v>
      </c>
      <c r="H548" s="14" t="s">
        <v>49</v>
      </c>
      <c r="I548" s="15">
        <v>42983</v>
      </c>
      <c r="J548" t="s">
        <v>1225</v>
      </c>
      <c r="K548" t="s">
        <v>51</v>
      </c>
      <c r="L548" s="15" t="s">
        <v>52</v>
      </c>
      <c r="M548" t="s">
        <v>53</v>
      </c>
      <c r="N548" t="s">
        <v>1226</v>
      </c>
      <c r="O548" t="s">
        <v>1227</v>
      </c>
      <c r="P548" t="s">
        <v>56</v>
      </c>
      <c r="Q548" s="16" t="s">
        <v>1228</v>
      </c>
      <c r="R548" s="21"/>
      <c r="S548" t="s">
        <v>1229</v>
      </c>
      <c r="T548" t="s">
        <v>1230</v>
      </c>
      <c r="X548" t="s">
        <v>60</v>
      </c>
      <c r="Z548" s="15"/>
      <c r="AB548">
        <v>40.044130000000003</v>
      </c>
      <c r="AC548">
        <v>-83.478830000000002</v>
      </c>
      <c r="AD548" t="s">
        <v>1242</v>
      </c>
      <c r="AG548" t="s">
        <v>62</v>
      </c>
      <c r="AH548" t="s">
        <v>63</v>
      </c>
      <c r="AI548" t="s">
        <v>1319</v>
      </c>
      <c r="AJ548" t="s">
        <v>1320</v>
      </c>
      <c r="AL548" t="s">
        <v>1321</v>
      </c>
      <c r="AM548" t="s">
        <v>1322</v>
      </c>
      <c r="AN548" t="s">
        <v>1323</v>
      </c>
      <c r="AO548" t="s">
        <v>68</v>
      </c>
      <c r="AQ548" t="s">
        <v>1324</v>
      </c>
      <c r="AR548" t="s">
        <v>1325</v>
      </c>
      <c r="AS548" t="s">
        <v>1326</v>
      </c>
      <c r="AV548" s="14" t="s">
        <v>72</v>
      </c>
      <c r="AW548" s="14" t="s">
        <v>73</v>
      </c>
      <c r="AX548" s="14" t="s">
        <v>74</v>
      </c>
    </row>
    <row r="549" spans="1:50" ht="15" customHeight="1" x14ac:dyDescent="0.4">
      <c r="A549" s="12">
        <v>2469</v>
      </c>
      <c r="B549" t="s">
        <v>1327</v>
      </c>
      <c r="D549" t="s">
        <v>1328</v>
      </c>
      <c r="E549" s="13"/>
      <c r="F549" s="41"/>
      <c r="G549" s="65" t="s">
        <v>8185</v>
      </c>
      <c r="H549" s="14" t="s">
        <v>49</v>
      </c>
      <c r="I549" s="15">
        <v>42983</v>
      </c>
      <c r="J549" t="s">
        <v>1225</v>
      </c>
      <c r="K549" t="s">
        <v>51</v>
      </c>
      <c r="L549" s="15" t="s">
        <v>52</v>
      </c>
      <c r="M549" t="s">
        <v>53</v>
      </c>
      <c r="N549" t="s">
        <v>1226</v>
      </c>
      <c r="O549" t="s">
        <v>1227</v>
      </c>
      <c r="P549" t="s">
        <v>56</v>
      </c>
      <c r="Q549" s="16" t="s">
        <v>1228</v>
      </c>
      <c r="R549" s="21"/>
      <c r="S549" t="s">
        <v>1229</v>
      </c>
      <c r="T549" t="s">
        <v>1230</v>
      </c>
      <c r="X549" t="s">
        <v>60</v>
      </c>
      <c r="Z549" s="15"/>
      <c r="AB549">
        <v>40.043669999999999</v>
      </c>
      <c r="AC549">
        <v>-83.479560000000006</v>
      </c>
      <c r="AD549" t="s">
        <v>1329</v>
      </c>
      <c r="AG549" t="s">
        <v>62</v>
      </c>
      <c r="AH549" t="s">
        <v>63</v>
      </c>
      <c r="AI549" t="s">
        <v>1330</v>
      </c>
      <c r="AJ549" t="s">
        <v>1331</v>
      </c>
      <c r="AL549" t="s">
        <v>1332</v>
      </c>
      <c r="AM549" t="s">
        <v>1333</v>
      </c>
      <c r="AN549" t="s">
        <v>1334</v>
      </c>
      <c r="AO549" t="s">
        <v>68</v>
      </c>
      <c r="AQ549" t="s">
        <v>1335</v>
      </c>
      <c r="AR549" t="s">
        <v>1336</v>
      </c>
      <c r="AS549" t="s">
        <v>1337</v>
      </c>
      <c r="AV549" s="14" t="s">
        <v>72</v>
      </c>
      <c r="AW549" s="14" t="s">
        <v>73</v>
      </c>
      <c r="AX549" s="14" t="s">
        <v>74</v>
      </c>
    </row>
    <row r="550" spans="1:50" ht="15" customHeight="1" x14ac:dyDescent="0.4">
      <c r="A550" s="12">
        <v>2470</v>
      </c>
      <c r="B550" t="s">
        <v>1338</v>
      </c>
      <c r="D550" t="s">
        <v>1339</v>
      </c>
      <c r="E550" s="13"/>
      <c r="F550" s="41"/>
      <c r="G550" s="65" t="s">
        <v>8185</v>
      </c>
      <c r="H550" s="14" t="s">
        <v>49</v>
      </c>
      <c r="I550" s="15">
        <v>42983</v>
      </c>
      <c r="J550" t="s">
        <v>1225</v>
      </c>
      <c r="K550" t="s">
        <v>51</v>
      </c>
      <c r="L550" s="15" t="s">
        <v>52</v>
      </c>
      <c r="M550" t="s">
        <v>53</v>
      </c>
      <c r="N550" t="s">
        <v>1226</v>
      </c>
      <c r="O550" t="s">
        <v>1340</v>
      </c>
      <c r="P550" t="s">
        <v>56</v>
      </c>
      <c r="Q550" s="16" t="s">
        <v>1341</v>
      </c>
      <c r="R550" s="21"/>
      <c r="S550" t="s">
        <v>1229</v>
      </c>
      <c r="X550" t="s">
        <v>60</v>
      </c>
      <c r="Z550" s="15"/>
      <c r="AB550">
        <v>40.730969999999999</v>
      </c>
      <c r="AC550">
        <v>-83.092569999999995</v>
      </c>
      <c r="AD550" t="s">
        <v>1342</v>
      </c>
      <c r="AG550" t="s">
        <v>62</v>
      </c>
      <c r="AH550" t="s">
        <v>63</v>
      </c>
      <c r="AI550" t="s">
        <v>1343</v>
      </c>
      <c r="AJ550" t="s">
        <v>1344</v>
      </c>
      <c r="AL550" t="s">
        <v>1345</v>
      </c>
      <c r="AM550" t="s">
        <v>1346</v>
      </c>
      <c r="AN550" t="s">
        <v>1347</v>
      </c>
      <c r="AO550" t="s">
        <v>68</v>
      </c>
      <c r="AQ550" t="s">
        <v>1348</v>
      </c>
      <c r="AR550" t="s">
        <v>1349</v>
      </c>
      <c r="AS550" t="s">
        <v>1350</v>
      </c>
      <c r="AV550" s="14" t="s">
        <v>72</v>
      </c>
      <c r="AW550" s="14" t="s">
        <v>73</v>
      </c>
      <c r="AX550" s="14" t="s">
        <v>74</v>
      </c>
    </row>
    <row r="551" spans="1:50" ht="15" customHeight="1" x14ac:dyDescent="0.4">
      <c r="A551" s="12">
        <v>2471</v>
      </c>
      <c r="B551" t="s">
        <v>1351</v>
      </c>
      <c r="D551" t="s">
        <v>1352</v>
      </c>
      <c r="E551" s="13"/>
      <c r="F551" s="41"/>
      <c r="G551" s="65" t="s">
        <v>8185</v>
      </c>
      <c r="H551" s="14" t="s">
        <v>49</v>
      </c>
      <c r="I551" s="15">
        <v>42983</v>
      </c>
      <c r="J551" t="s">
        <v>1225</v>
      </c>
      <c r="K551" t="s">
        <v>51</v>
      </c>
      <c r="L551" s="15" t="s">
        <v>52</v>
      </c>
      <c r="M551" t="s">
        <v>53</v>
      </c>
      <c r="N551" t="s">
        <v>1226</v>
      </c>
      <c r="O551" t="s">
        <v>1340</v>
      </c>
      <c r="P551" t="s">
        <v>56</v>
      </c>
      <c r="Q551" s="16" t="s">
        <v>1341</v>
      </c>
      <c r="R551" s="21"/>
      <c r="S551" t="s">
        <v>1229</v>
      </c>
      <c r="X551" t="s">
        <v>78</v>
      </c>
      <c r="Y551" t="s">
        <v>79</v>
      </c>
      <c r="Z551" s="15">
        <v>45597</v>
      </c>
      <c r="AA551" t="s">
        <v>48</v>
      </c>
      <c r="AB551">
        <v>40.73122</v>
      </c>
      <c r="AC551">
        <v>-83.093279999999993</v>
      </c>
      <c r="AD551" t="s">
        <v>1353</v>
      </c>
      <c r="AG551" t="s">
        <v>62</v>
      </c>
      <c r="AH551" t="s">
        <v>63</v>
      </c>
      <c r="AI551" t="s">
        <v>1354</v>
      </c>
      <c r="AJ551">
        <v>186415</v>
      </c>
      <c r="AL551" t="s">
        <v>1355</v>
      </c>
      <c r="AM551" t="s">
        <v>1356</v>
      </c>
      <c r="AN551" t="s">
        <v>1357</v>
      </c>
      <c r="AO551" t="s">
        <v>68</v>
      </c>
      <c r="AQ551" t="s">
        <v>1358</v>
      </c>
      <c r="AR551" t="s">
        <v>1359</v>
      </c>
      <c r="AS551" t="s">
        <v>1360</v>
      </c>
      <c r="AT551" s="31" t="s">
        <v>1361</v>
      </c>
      <c r="AU551" s="31" t="s">
        <v>85</v>
      </c>
      <c r="AV551" s="14" t="s">
        <v>72</v>
      </c>
      <c r="AW551" s="14" t="s">
        <v>73</v>
      </c>
      <c r="AX551" s="14" t="s">
        <v>74</v>
      </c>
    </row>
    <row r="552" spans="1:50" ht="15" customHeight="1" x14ac:dyDescent="0.4">
      <c r="A552" s="12">
        <v>2472</v>
      </c>
      <c r="B552" t="s">
        <v>1362</v>
      </c>
      <c r="D552" t="s">
        <v>1363</v>
      </c>
      <c r="E552" s="13"/>
      <c r="F552" s="41"/>
      <c r="G552" s="65" t="s">
        <v>8185</v>
      </c>
      <c r="H552" s="14" t="s">
        <v>49</v>
      </c>
      <c r="I552" s="15">
        <v>42983</v>
      </c>
      <c r="J552" t="s">
        <v>1225</v>
      </c>
      <c r="K552" t="s">
        <v>51</v>
      </c>
      <c r="L552" s="15" t="s">
        <v>52</v>
      </c>
      <c r="M552" t="s">
        <v>53</v>
      </c>
      <c r="N552" t="s">
        <v>1226</v>
      </c>
      <c r="O552" t="s">
        <v>1340</v>
      </c>
      <c r="P552" t="s">
        <v>56</v>
      </c>
      <c r="Q552" s="16" t="s">
        <v>1341</v>
      </c>
      <c r="R552" s="21"/>
      <c r="S552" t="s">
        <v>1229</v>
      </c>
      <c r="X552" t="s">
        <v>60</v>
      </c>
      <c r="Z552" s="15"/>
      <c r="AB552">
        <v>40.731430000000003</v>
      </c>
      <c r="AC552">
        <v>-83.093999999999994</v>
      </c>
      <c r="AD552" t="s">
        <v>1364</v>
      </c>
      <c r="AG552" t="s">
        <v>62</v>
      </c>
      <c r="AH552" t="s">
        <v>63</v>
      </c>
      <c r="AI552" t="s">
        <v>1365</v>
      </c>
      <c r="AJ552" t="s">
        <v>1366</v>
      </c>
      <c r="AL552" t="s">
        <v>1367</v>
      </c>
      <c r="AM552" t="s">
        <v>1368</v>
      </c>
      <c r="AN552" t="s">
        <v>1369</v>
      </c>
      <c r="AO552" t="s">
        <v>68</v>
      </c>
      <c r="AQ552" t="s">
        <v>1370</v>
      </c>
      <c r="AR552" t="s">
        <v>1371</v>
      </c>
      <c r="AS552" t="s">
        <v>1372</v>
      </c>
      <c r="AV552" s="14" t="s">
        <v>72</v>
      </c>
      <c r="AW552" s="14" t="s">
        <v>73</v>
      </c>
      <c r="AX552" s="14" t="s">
        <v>74</v>
      </c>
    </row>
    <row r="553" spans="1:50" ht="15" customHeight="1" x14ac:dyDescent="0.4">
      <c r="A553" s="12">
        <v>2473</v>
      </c>
      <c r="B553" t="s">
        <v>1373</v>
      </c>
      <c r="D553" t="s">
        <v>1374</v>
      </c>
      <c r="E553" s="13"/>
      <c r="F553" s="41"/>
      <c r="G553" s="65" t="s">
        <v>8185</v>
      </c>
      <c r="H553" s="14" t="s">
        <v>49</v>
      </c>
      <c r="I553" s="15">
        <v>42983</v>
      </c>
      <c r="J553" t="s">
        <v>1225</v>
      </c>
      <c r="K553" t="s">
        <v>51</v>
      </c>
      <c r="L553" s="15" t="s">
        <v>52</v>
      </c>
      <c r="M553" t="s">
        <v>53</v>
      </c>
      <c r="N553" t="s">
        <v>1226</v>
      </c>
      <c r="O553" t="s">
        <v>1340</v>
      </c>
      <c r="P553" t="s">
        <v>56</v>
      </c>
      <c r="Q553" s="16" t="s">
        <v>1341</v>
      </c>
      <c r="R553" s="21"/>
      <c r="S553" t="s">
        <v>1229</v>
      </c>
      <c r="X553" t="s">
        <v>60</v>
      </c>
      <c r="Z553" s="15"/>
      <c r="AB553">
        <v>40.731549999999999</v>
      </c>
      <c r="AC553">
        <v>-83.094539999999995</v>
      </c>
      <c r="AD553" t="s">
        <v>1364</v>
      </c>
      <c r="AG553" t="s">
        <v>62</v>
      </c>
      <c r="AH553" t="s">
        <v>63</v>
      </c>
      <c r="AI553" t="s">
        <v>1375</v>
      </c>
      <c r="AJ553" t="s">
        <v>1376</v>
      </c>
      <c r="AL553" t="s">
        <v>1377</v>
      </c>
      <c r="AM553" t="s">
        <v>1378</v>
      </c>
      <c r="AN553" t="s">
        <v>1379</v>
      </c>
      <c r="AO553" t="s">
        <v>68</v>
      </c>
      <c r="AQ553" t="s">
        <v>1380</v>
      </c>
      <c r="AR553" t="s">
        <v>1381</v>
      </c>
      <c r="AS553" t="s">
        <v>1382</v>
      </c>
      <c r="AV553" s="14" t="s">
        <v>72</v>
      </c>
      <c r="AW553" s="14" t="s">
        <v>73</v>
      </c>
      <c r="AX553" s="14" t="s">
        <v>74</v>
      </c>
    </row>
    <row r="554" spans="1:50" ht="15" customHeight="1" x14ac:dyDescent="0.4">
      <c r="A554" s="12">
        <v>2474</v>
      </c>
      <c r="B554" t="s">
        <v>1383</v>
      </c>
      <c r="D554" t="s">
        <v>1384</v>
      </c>
      <c r="E554" s="13"/>
      <c r="F554" s="41"/>
      <c r="G554" s="65" t="s">
        <v>8185</v>
      </c>
      <c r="H554" s="14" t="s">
        <v>49</v>
      </c>
      <c r="I554" s="15">
        <v>42983</v>
      </c>
      <c r="J554" t="s">
        <v>1225</v>
      </c>
      <c r="K554" t="s">
        <v>51</v>
      </c>
      <c r="L554" s="15" t="s">
        <v>52</v>
      </c>
      <c r="M554" t="s">
        <v>53</v>
      </c>
      <c r="N554" t="s">
        <v>1226</v>
      </c>
      <c r="O554" t="s">
        <v>1340</v>
      </c>
      <c r="P554" t="s">
        <v>56</v>
      </c>
      <c r="Q554" s="16" t="s">
        <v>1341</v>
      </c>
      <c r="R554" s="21"/>
      <c r="S554" t="s">
        <v>1229</v>
      </c>
      <c r="X554" t="s">
        <v>180</v>
      </c>
      <c r="Y554" t="s">
        <v>79</v>
      </c>
      <c r="Z554" s="15">
        <v>45597</v>
      </c>
      <c r="AA554" t="s">
        <v>48</v>
      </c>
      <c r="AB554">
        <v>40.730359999999997</v>
      </c>
      <c r="AC554">
        <v>-83.094719999999995</v>
      </c>
      <c r="AD554" t="s">
        <v>1342</v>
      </c>
      <c r="AG554" t="s">
        <v>62</v>
      </c>
      <c r="AH554" t="s">
        <v>63</v>
      </c>
      <c r="AI554" t="s">
        <v>1385</v>
      </c>
      <c r="AJ554">
        <v>186416</v>
      </c>
      <c r="AL554" t="s">
        <v>1386</v>
      </c>
      <c r="AM554" t="s">
        <v>1387</v>
      </c>
      <c r="AN554" t="s">
        <v>1388</v>
      </c>
      <c r="AO554" t="s">
        <v>68</v>
      </c>
      <c r="AQ554" t="s">
        <v>1389</v>
      </c>
      <c r="AR554" t="s">
        <v>1390</v>
      </c>
      <c r="AS554" t="s">
        <v>1391</v>
      </c>
      <c r="AT554" s="31" t="s">
        <v>1392</v>
      </c>
      <c r="AU554" s="31" t="s">
        <v>85</v>
      </c>
      <c r="AV554" s="14" t="s">
        <v>72</v>
      </c>
      <c r="AW554" s="14" t="s">
        <v>73</v>
      </c>
      <c r="AX554" s="14" t="s">
        <v>74</v>
      </c>
    </row>
    <row r="555" spans="1:50" ht="15" customHeight="1" x14ac:dyDescent="0.4">
      <c r="A555" s="12">
        <v>2475</v>
      </c>
      <c r="B555" t="s">
        <v>1393</v>
      </c>
      <c r="D555" t="s">
        <v>1394</v>
      </c>
      <c r="E555" s="13"/>
      <c r="F555" s="41"/>
      <c r="G555" s="65" t="s">
        <v>8185</v>
      </c>
      <c r="H555" s="14" t="s">
        <v>49</v>
      </c>
      <c r="I555" s="15">
        <v>42983</v>
      </c>
      <c r="J555" t="s">
        <v>1225</v>
      </c>
      <c r="K555" t="s">
        <v>51</v>
      </c>
      <c r="L555" s="15" t="s">
        <v>52</v>
      </c>
      <c r="M555" t="s">
        <v>53</v>
      </c>
      <c r="N555" t="s">
        <v>1226</v>
      </c>
      <c r="O555" t="s">
        <v>1340</v>
      </c>
      <c r="P555" t="s">
        <v>56</v>
      </c>
      <c r="Q555" s="16" t="s">
        <v>1341</v>
      </c>
      <c r="R555" s="21"/>
      <c r="S555" t="s">
        <v>1229</v>
      </c>
      <c r="X555" t="s">
        <v>60</v>
      </c>
      <c r="Z555" s="15"/>
      <c r="AB555">
        <v>40.729460000000003</v>
      </c>
      <c r="AC555">
        <v>-83.097110000000001</v>
      </c>
      <c r="AD555" t="s">
        <v>1395</v>
      </c>
      <c r="AG555" t="s">
        <v>62</v>
      </c>
      <c r="AH555" t="s">
        <v>63</v>
      </c>
      <c r="AI555" t="s">
        <v>1396</v>
      </c>
      <c r="AJ555" t="s">
        <v>1397</v>
      </c>
      <c r="AL555" t="s">
        <v>1398</v>
      </c>
      <c r="AM555" t="s">
        <v>1399</v>
      </c>
      <c r="AN555" t="s">
        <v>1400</v>
      </c>
      <c r="AO555" t="s">
        <v>68</v>
      </c>
      <c r="AQ555" t="s">
        <v>1401</v>
      </c>
      <c r="AR555" t="s">
        <v>1402</v>
      </c>
      <c r="AS555" t="s">
        <v>1403</v>
      </c>
      <c r="AV555" s="14" t="s">
        <v>72</v>
      </c>
      <c r="AW555" s="14" t="s">
        <v>73</v>
      </c>
      <c r="AX555" s="14" t="s">
        <v>74</v>
      </c>
    </row>
    <row r="556" spans="1:50" ht="15" customHeight="1" x14ac:dyDescent="0.4">
      <c r="A556" s="12">
        <v>2476</v>
      </c>
      <c r="B556" t="s">
        <v>1404</v>
      </c>
      <c r="D556" t="s">
        <v>1405</v>
      </c>
      <c r="E556" s="13"/>
      <c r="F556" s="41"/>
      <c r="G556" s="65" t="s">
        <v>8185</v>
      </c>
      <c r="H556" s="14" t="s">
        <v>49</v>
      </c>
      <c r="I556" s="15">
        <v>42983</v>
      </c>
      <c r="J556" t="s">
        <v>1225</v>
      </c>
      <c r="K556" t="s">
        <v>51</v>
      </c>
      <c r="L556" s="15" t="s">
        <v>52</v>
      </c>
      <c r="M556" t="s">
        <v>53</v>
      </c>
      <c r="N556" t="s">
        <v>1226</v>
      </c>
      <c r="O556" t="s">
        <v>1340</v>
      </c>
      <c r="P556" t="s">
        <v>56</v>
      </c>
      <c r="Q556" s="16" t="s">
        <v>1341</v>
      </c>
      <c r="R556" s="21"/>
      <c r="S556" t="s">
        <v>1229</v>
      </c>
      <c r="X556" t="s">
        <v>60</v>
      </c>
      <c r="Z556" s="15"/>
      <c r="AB556">
        <v>40.728340000000003</v>
      </c>
      <c r="AC556">
        <v>-83.096249999999998</v>
      </c>
      <c r="AD556" t="s">
        <v>1406</v>
      </c>
      <c r="AG556" t="s">
        <v>62</v>
      </c>
      <c r="AH556" t="s">
        <v>63</v>
      </c>
      <c r="AI556" t="s">
        <v>1407</v>
      </c>
      <c r="AJ556" t="s">
        <v>1408</v>
      </c>
      <c r="AL556" t="s">
        <v>1409</v>
      </c>
      <c r="AM556" t="s">
        <v>1410</v>
      </c>
      <c r="AN556" t="s">
        <v>1411</v>
      </c>
      <c r="AO556" t="s">
        <v>68</v>
      </c>
      <c r="AQ556" t="s">
        <v>1412</v>
      </c>
      <c r="AR556" t="s">
        <v>1413</v>
      </c>
      <c r="AS556" t="s">
        <v>1414</v>
      </c>
      <c r="AV556" s="14" t="s">
        <v>72</v>
      </c>
      <c r="AW556" s="14" t="s">
        <v>73</v>
      </c>
      <c r="AX556" s="14" t="s">
        <v>74</v>
      </c>
    </row>
    <row r="557" spans="1:50" ht="15" customHeight="1" x14ac:dyDescent="0.4">
      <c r="A557" s="12">
        <v>2477</v>
      </c>
      <c r="B557" t="s">
        <v>1415</v>
      </c>
      <c r="D557" t="s">
        <v>1416</v>
      </c>
      <c r="E557" s="13"/>
      <c r="F557" s="41"/>
      <c r="G557" s="65" t="s">
        <v>8185</v>
      </c>
      <c r="H557" s="14" t="s">
        <v>49</v>
      </c>
      <c r="I557" s="15">
        <v>42983</v>
      </c>
      <c r="J557" t="s">
        <v>1225</v>
      </c>
      <c r="K557" t="s">
        <v>51</v>
      </c>
      <c r="L557" s="15" t="s">
        <v>52</v>
      </c>
      <c r="M557" t="s">
        <v>53</v>
      </c>
      <c r="N557" t="s">
        <v>1226</v>
      </c>
      <c r="O557" t="s">
        <v>1340</v>
      </c>
      <c r="P557" t="s">
        <v>56</v>
      </c>
      <c r="Q557" s="16" t="s">
        <v>1341</v>
      </c>
      <c r="R557" s="21"/>
      <c r="S557" t="s">
        <v>1229</v>
      </c>
      <c r="X557" t="s">
        <v>60</v>
      </c>
      <c r="Z557" s="15"/>
      <c r="AB557">
        <v>40.728349999999999</v>
      </c>
      <c r="AC557">
        <v>-83.095359999999999</v>
      </c>
      <c r="AD557" t="s">
        <v>1417</v>
      </c>
      <c r="AF557" s="61"/>
      <c r="AG557" t="s">
        <v>62</v>
      </c>
      <c r="AH557" t="s">
        <v>63</v>
      </c>
      <c r="AI557" t="s">
        <v>1418</v>
      </c>
      <c r="AJ557" t="s">
        <v>1419</v>
      </c>
      <c r="AL557" t="s">
        <v>1420</v>
      </c>
      <c r="AM557" t="s">
        <v>1421</v>
      </c>
      <c r="AN557" t="s">
        <v>1422</v>
      </c>
      <c r="AO557" t="s">
        <v>68</v>
      </c>
      <c r="AQ557" t="s">
        <v>1423</v>
      </c>
      <c r="AR557" t="s">
        <v>1424</v>
      </c>
      <c r="AS557" t="s">
        <v>1425</v>
      </c>
      <c r="AV557" s="14" t="s">
        <v>72</v>
      </c>
      <c r="AW557" s="14" t="s">
        <v>73</v>
      </c>
      <c r="AX557" s="14" t="s">
        <v>74</v>
      </c>
    </row>
    <row r="558" spans="1:50" ht="15" customHeight="1" x14ac:dyDescent="0.4">
      <c r="A558" s="12">
        <v>2478</v>
      </c>
      <c r="B558" t="s">
        <v>1426</v>
      </c>
      <c r="D558" t="s">
        <v>1427</v>
      </c>
      <c r="E558" s="13"/>
      <c r="F558" s="41"/>
      <c r="G558" s="65" t="s">
        <v>8185</v>
      </c>
      <c r="H558" s="14" t="s">
        <v>49</v>
      </c>
      <c r="I558" s="15">
        <v>42983</v>
      </c>
      <c r="J558" t="s">
        <v>1225</v>
      </c>
      <c r="K558" t="s">
        <v>51</v>
      </c>
      <c r="L558" s="15" t="s">
        <v>52</v>
      </c>
      <c r="M558" t="s">
        <v>53</v>
      </c>
      <c r="N558" t="s">
        <v>1226</v>
      </c>
      <c r="O558" t="s">
        <v>1340</v>
      </c>
      <c r="P558" t="s">
        <v>56</v>
      </c>
      <c r="Q558" s="16" t="s">
        <v>1341</v>
      </c>
      <c r="R558" s="21"/>
      <c r="S558" t="s">
        <v>1229</v>
      </c>
      <c r="X558" t="s">
        <v>180</v>
      </c>
      <c r="Y558" t="s">
        <v>79</v>
      </c>
      <c r="Z558" s="15">
        <v>45597</v>
      </c>
      <c r="AA558" t="s">
        <v>48</v>
      </c>
      <c r="AB558">
        <v>40.728189999999998</v>
      </c>
      <c r="AC558">
        <v>-83.092939999999999</v>
      </c>
      <c r="AD558" t="s">
        <v>1428</v>
      </c>
      <c r="AG558" t="s">
        <v>62</v>
      </c>
      <c r="AH558" t="s">
        <v>63</v>
      </c>
      <c r="AI558" t="s">
        <v>1429</v>
      </c>
      <c r="AJ558">
        <v>185962</v>
      </c>
      <c r="AL558" t="s">
        <v>1430</v>
      </c>
      <c r="AM558" t="s">
        <v>1431</v>
      </c>
      <c r="AN558" t="s">
        <v>1432</v>
      </c>
      <c r="AO558" t="s">
        <v>68</v>
      </c>
      <c r="AQ558" t="s">
        <v>1433</v>
      </c>
      <c r="AR558" t="s">
        <v>1434</v>
      </c>
      <c r="AS558" t="s">
        <v>1435</v>
      </c>
      <c r="AT558" s="31" t="s">
        <v>1436</v>
      </c>
      <c r="AU558" s="31" t="s">
        <v>85</v>
      </c>
      <c r="AV558" s="14" t="s">
        <v>72</v>
      </c>
      <c r="AW558" s="14" t="s">
        <v>73</v>
      </c>
      <c r="AX558" s="14" t="s">
        <v>74</v>
      </c>
    </row>
    <row r="559" spans="1:50" ht="15" customHeight="1" x14ac:dyDescent="0.4">
      <c r="A559" s="12">
        <v>2479</v>
      </c>
      <c r="B559" t="s">
        <v>1437</v>
      </c>
      <c r="D559" t="s">
        <v>1438</v>
      </c>
      <c r="E559" s="13"/>
      <c r="F559" s="41"/>
      <c r="G559" s="65" t="s">
        <v>8185</v>
      </c>
      <c r="H559" s="14" t="s">
        <v>49</v>
      </c>
      <c r="I559" s="15">
        <v>42983</v>
      </c>
      <c r="J559" t="s">
        <v>1225</v>
      </c>
      <c r="K559" t="s">
        <v>51</v>
      </c>
      <c r="L559" s="15" t="s">
        <v>52</v>
      </c>
      <c r="M559" t="s">
        <v>53</v>
      </c>
      <c r="N559" t="s">
        <v>1226</v>
      </c>
      <c r="O559" t="s">
        <v>1340</v>
      </c>
      <c r="P559" t="s">
        <v>56</v>
      </c>
      <c r="Q559" s="16" t="s">
        <v>1341</v>
      </c>
      <c r="R559" s="21"/>
      <c r="S559" t="s">
        <v>1229</v>
      </c>
      <c r="X559" t="s">
        <v>60</v>
      </c>
      <c r="Z559" s="15"/>
      <c r="AB559">
        <v>40.729439999999997</v>
      </c>
      <c r="AC559">
        <v>-83.092609999999993</v>
      </c>
      <c r="AD559" t="s">
        <v>1364</v>
      </c>
      <c r="AG559" t="s">
        <v>62</v>
      </c>
      <c r="AH559" t="s">
        <v>63</v>
      </c>
      <c r="AI559" t="s">
        <v>1439</v>
      </c>
      <c r="AJ559" t="s">
        <v>1440</v>
      </c>
      <c r="AL559" t="s">
        <v>1441</v>
      </c>
      <c r="AM559" t="s">
        <v>1442</v>
      </c>
      <c r="AN559" t="s">
        <v>1443</v>
      </c>
      <c r="AO559" t="s">
        <v>68</v>
      </c>
      <c r="AQ559" t="s">
        <v>1444</v>
      </c>
      <c r="AR559" t="s">
        <v>1445</v>
      </c>
      <c r="AS559" t="s">
        <v>1446</v>
      </c>
      <c r="AV559" s="14" t="s">
        <v>72</v>
      </c>
      <c r="AW559" s="14" t="s">
        <v>73</v>
      </c>
      <c r="AX559" s="14" t="s">
        <v>74</v>
      </c>
    </row>
    <row r="560" spans="1:50" ht="15" customHeight="1" x14ac:dyDescent="0.4">
      <c r="A560" s="12">
        <v>3603</v>
      </c>
      <c r="B560" s="21" t="s">
        <v>3162</v>
      </c>
      <c r="C560" s="13" t="s">
        <v>3163</v>
      </c>
      <c r="D560" s="25" t="s">
        <v>3163</v>
      </c>
      <c r="E560" s="13"/>
      <c r="F560" s="41"/>
      <c r="G560" s="65" t="s">
        <v>8178</v>
      </c>
      <c r="H560" s="14" t="s">
        <v>1829</v>
      </c>
      <c r="I560" s="15">
        <v>44736</v>
      </c>
      <c r="J560" t="s">
        <v>2719</v>
      </c>
      <c r="K560" t="s">
        <v>51</v>
      </c>
      <c r="L560" t="s">
        <v>52</v>
      </c>
      <c r="M560" t="s">
        <v>53</v>
      </c>
      <c r="N560" t="s">
        <v>54</v>
      </c>
      <c r="O560" t="s">
        <v>3164</v>
      </c>
      <c r="P560" t="s">
        <v>56</v>
      </c>
      <c r="Q560" s="21" t="s">
        <v>3165</v>
      </c>
      <c r="R560" s="21"/>
      <c r="S560" t="s">
        <v>3166</v>
      </c>
      <c r="T560" t="s">
        <v>3167</v>
      </c>
      <c r="W560" t="s">
        <v>1758</v>
      </c>
      <c r="X560" t="s">
        <v>1832</v>
      </c>
      <c r="Z560" s="15"/>
      <c r="AB560">
        <v>35.435994000000001</v>
      </c>
      <c r="AC560">
        <v>-98.355638999999996</v>
      </c>
      <c r="AD560" t="s">
        <v>3168</v>
      </c>
      <c r="AG560" t="s">
        <v>1715</v>
      </c>
      <c r="AH560" t="s">
        <v>63</v>
      </c>
      <c r="AI560" t="s">
        <v>3169</v>
      </c>
      <c r="AJ560">
        <v>194429</v>
      </c>
      <c r="AL560" t="s">
        <v>3170</v>
      </c>
      <c r="AM560" t="s">
        <v>3171</v>
      </c>
      <c r="AN560" t="s">
        <v>3172</v>
      </c>
      <c r="AO560" t="s">
        <v>68</v>
      </c>
      <c r="AQ560" t="s">
        <v>3173</v>
      </c>
      <c r="AR560" t="s">
        <v>3174</v>
      </c>
      <c r="AS560" t="s">
        <v>3175</v>
      </c>
      <c r="AV560" s="14" t="s">
        <v>72</v>
      </c>
      <c r="AW560" s="14" t="s">
        <v>73</v>
      </c>
      <c r="AX560" s="14" t="s">
        <v>74</v>
      </c>
    </row>
    <row r="561" spans="1:50" ht="15" customHeight="1" x14ac:dyDescent="0.4">
      <c r="A561" s="12">
        <v>3604</v>
      </c>
      <c r="B561" s="21" t="s">
        <v>3176</v>
      </c>
      <c r="C561" s="13" t="s">
        <v>3177</v>
      </c>
      <c r="D561" s="25" t="s">
        <v>3177</v>
      </c>
      <c r="E561" s="13"/>
      <c r="F561" s="41"/>
      <c r="G561" s="65" t="s">
        <v>8185</v>
      </c>
      <c r="H561" s="14" t="s">
        <v>3178</v>
      </c>
      <c r="I561" s="15">
        <v>44736</v>
      </c>
      <c r="J561" t="s">
        <v>2719</v>
      </c>
      <c r="K561" t="s">
        <v>51</v>
      </c>
      <c r="L561" t="s">
        <v>52</v>
      </c>
      <c r="M561" t="s">
        <v>53</v>
      </c>
      <c r="N561" t="s">
        <v>54</v>
      </c>
      <c r="O561" t="s">
        <v>3164</v>
      </c>
      <c r="P561" t="s">
        <v>56</v>
      </c>
      <c r="Q561" s="21" t="s">
        <v>3165</v>
      </c>
      <c r="R561" s="21"/>
      <c r="S561" t="s">
        <v>3166</v>
      </c>
      <c r="T561" t="s">
        <v>3179</v>
      </c>
      <c r="W561" t="s">
        <v>2321</v>
      </c>
      <c r="X561" t="s">
        <v>3180</v>
      </c>
      <c r="Y561" t="s">
        <v>3181</v>
      </c>
      <c r="Z561" s="15" t="s">
        <v>3182</v>
      </c>
      <c r="AA561" t="s">
        <v>3183</v>
      </c>
      <c r="AB561">
        <v>35.435972</v>
      </c>
      <c r="AC561">
        <v>-98.355531999999997</v>
      </c>
      <c r="AD561" t="s">
        <v>3184</v>
      </c>
      <c r="AG561" t="s">
        <v>1715</v>
      </c>
      <c r="AH561" t="s">
        <v>63</v>
      </c>
      <c r="AI561" t="s">
        <v>3185</v>
      </c>
      <c r="AJ561">
        <v>193686</v>
      </c>
      <c r="AL561" t="s">
        <v>3186</v>
      </c>
      <c r="AM561" t="s">
        <v>3187</v>
      </c>
      <c r="AN561" t="s">
        <v>3188</v>
      </c>
      <c r="AO561" t="s">
        <v>68</v>
      </c>
      <c r="AQ561" t="s">
        <v>3189</v>
      </c>
      <c r="AR561" t="s">
        <v>3190</v>
      </c>
      <c r="AS561" t="s">
        <v>3191</v>
      </c>
      <c r="AV561" s="14" t="e">
        <v>#N/A</v>
      </c>
      <c r="AW561" s="14" t="e">
        <v>#N/A</v>
      </c>
      <c r="AX561" s="14" t="e">
        <v>#N/A</v>
      </c>
    </row>
    <row r="562" spans="1:50" ht="15" customHeight="1" x14ac:dyDescent="0.4">
      <c r="A562" s="12">
        <v>3606</v>
      </c>
      <c r="B562" s="21" t="s">
        <v>3203</v>
      </c>
      <c r="C562" s="13" t="s">
        <v>3204</v>
      </c>
      <c r="D562" s="25" t="s">
        <v>3204</v>
      </c>
      <c r="E562" s="13"/>
      <c r="F562" s="41"/>
      <c r="G562" s="65" t="s">
        <v>8178</v>
      </c>
      <c r="H562" s="14" t="s">
        <v>1829</v>
      </c>
      <c r="I562" s="15">
        <v>44736</v>
      </c>
      <c r="J562" t="s">
        <v>2719</v>
      </c>
      <c r="K562" t="s">
        <v>51</v>
      </c>
      <c r="L562" t="s">
        <v>52</v>
      </c>
      <c r="M562" t="s">
        <v>53</v>
      </c>
      <c r="N562" t="s">
        <v>54</v>
      </c>
      <c r="O562" t="s">
        <v>3164</v>
      </c>
      <c r="P562" t="s">
        <v>56</v>
      </c>
      <c r="Q562" s="21" t="s">
        <v>3165</v>
      </c>
      <c r="R562" s="21"/>
      <c r="S562" t="s">
        <v>3205</v>
      </c>
      <c r="T562" t="s">
        <v>3206</v>
      </c>
      <c r="W562" t="s">
        <v>1758</v>
      </c>
      <c r="X562" t="s">
        <v>1832</v>
      </c>
      <c r="Z562" s="15"/>
      <c r="AB562">
        <v>35.435383000000002</v>
      </c>
      <c r="AC562">
        <v>-98.354130999999995</v>
      </c>
      <c r="AD562" t="s">
        <v>3207</v>
      </c>
      <c r="AG562" t="s">
        <v>1715</v>
      </c>
      <c r="AH562" t="s">
        <v>63</v>
      </c>
      <c r="AI562" t="s">
        <v>3208</v>
      </c>
      <c r="AJ562">
        <v>194430</v>
      </c>
      <c r="AL562" t="s">
        <v>3209</v>
      </c>
      <c r="AM562" t="s">
        <v>3210</v>
      </c>
      <c r="AN562" t="s">
        <v>3211</v>
      </c>
      <c r="AO562" t="s">
        <v>68</v>
      </c>
      <c r="AQ562" t="s">
        <v>3212</v>
      </c>
      <c r="AR562" t="s">
        <v>3213</v>
      </c>
      <c r="AS562" t="s">
        <v>3214</v>
      </c>
      <c r="AV562" s="14" t="s">
        <v>72</v>
      </c>
      <c r="AW562" s="14" t="s">
        <v>73</v>
      </c>
      <c r="AX562" s="14" t="s">
        <v>74</v>
      </c>
    </row>
    <row r="563" spans="1:50" ht="15" customHeight="1" x14ac:dyDescent="0.4">
      <c r="A563" s="12">
        <v>3607</v>
      </c>
      <c r="B563" s="21" t="s">
        <v>3215</v>
      </c>
      <c r="C563" s="13" t="s">
        <v>3216</v>
      </c>
      <c r="D563" s="25" t="s">
        <v>3216</v>
      </c>
      <c r="E563" s="13"/>
      <c r="F563" s="41"/>
      <c r="G563" s="65" t="s">
        <v>8185</v>
      </c>
      <c r="H563" s="14" t="s">
        <v>49</v>
      </c>
      <c r="I563" s="15">
        <v>44736</v>
      </c>
      <c r="J563" t="s">
        <v>2719</v>
      </c>
      <c r="K563" t="s">
        <v>51</v>
      </c>
      <c r="L563" t="s">
        <v>52</v>
      </c>
      <c r="M563" t="s">
        <v>53</v>
      </c>
      <c r="N563" t="s">
        <v>54</v>
      </c>
      <c r="O563" t="s">
        <v>3164</v>
      </c>
      <c r="P563" t="s">
        <v>56</v>
      </c>
      <c r="Q563" s="21" t="s">
        <v>3165</v>
      </c>
      <c r="R563" s="21"/>
      <c r="S563" t="s">
        <v>3205</v>
      </c>
      <c r="T563" t="s">
        <v>3217</v>
      </c>
      <c r="X563" t="s">
        <v>60</v>
      </c>
      <c r="Z563" s="15"/>
      <c r="AB563">
        <v>35.435378</v>
      </c>
      <c r="AC563">
        <v>-98.354117000000002</v>
      </c>
      <c r="AD563" t="s">
        <v>3218</v>
      </c>
      <c r="AG563" t="s">
        <v>1715</v>
      </c>
      <c r="AH563" t="s">
        <v>63</v>
      </c>
      <c r="AI563" t="s">
        <v>3219</v>
      </c>
      <c r="AJ563">
        <v>194186</v>
      </c>
      <c r="AL563" t="s">
        <v>3220</v>
      </c>
      <c r="AM563" t="s">
        <v>3221</v>
      </c>
      <c r="AN563" t="s">
        <v>3222</v>
      </c>
      <c r="AO563" t="s">
        <v>68</v>
      </c>
      <c r="AQ563" t="s">
        <v>3223</v>
      </c>
      <c r="AR563" t="s">
        <v>3224</v>
      </c>
      <c r="AS563" t="s">
        <v>3225</v>
      </c>
      <c r="AV563" s="14" t="s">
        <v>72</v>
      </c>
      <c r="AW563" s="14" t="s">
        <v>73</v>
      </c>
      <c r="AX563" s="14" t="s">
        <v>74</v>
      </c>
    </row>
    <row r="564" spans="1:50" ht="15" customHeight="1" x14ac:dyDescent="0.4">
      <c r="A564" s="12">
        <v>3608</v>
      </c>
      <c r="B564" s="21" t="s">
        <v>3226</v>
      </c>
      <c r="C564" s="13" t="s">
        <v>3227</v>
      </c>
      <c r="D564" s="25" t="s">
        <v>3227</v>
      </c>
      <c r="E564" s="13"/>
      <c r="F564" s="41"/>
      <c r="G564" s="65" t="s">
        <v>8185</v>
      </c>
      <c r="H564" s="14" t="s">
        <v>3178</v>
      </c>
      <c r="I564" s="15">
        <v>44736</v>
      </c>
      <c r="J564" t="s">
        <v>2719</v>
      </c>
      <c r="K564" t="s">
        <v>51</v>
      </c>
      <c r="L564" t="s">
        <v>52</v>
      </c>
      <c r="M564" t="s">
        <v>53</v>
      </c>
      <c r="N564" t="s">
        <v>54</v>
      </c>
      <c r="O564" t="s">
        <v>3164</v>
      </c>
      <c r="P564" t="s">
        <v>56</v>
      </c>
      <c r="Q564" s="21" t="s">
        <v>3165</v>
      </c>
      <c r="R564" s="21"/>
      <c r="S564" t="s">
        <v>3228</v>
      </c>
      <c r="T564" t="s">
        <v>3229</v>
      </c>
      <c r="W564" t="s">
        <v>1758</v>
      </c>
      <c r="X564" t="s">
        <v>3194</v>
      </c>
      <c r="Y564" t="s">
        <v>3181</v>
      </c>
      <c r="Z564" s="15" t="s">
        <v>3182</v>
      </c>
      <c r="AA564" t="s">
        <v>3183</v>
      </c>
      <c r="AB564">
        <v>35.435200000000002</v>
      </c>
      <c r="AC564">
        <v>-98.353772000000006</v>
      </c>
      <c r="AD564" t="s">
        <v>3230</v>
      </c>
      <c r="AG564" t="s">
        <v>1715</v>
      </c>
      <c r="AH564" t="s">
        <v>63</v>
      </c>
      <c r="AI564" t="s">
        <v>3231</v>
      </c>
      <c r="AJ564">
        <v>193687</v>
      </c>
      <c r="AL564" t="s">
        <v>3232</v>
      </c>
      <c r="AM564" t="s">
        <v>3233</v>
      </c>
      <c r="AN564" t="s">
        <v>3234</v>
      </c>
      <c r="AO564" t="s">
        <v>68</v>
      </c>
      <c r="AQ564" t="s">
        <v>3235</v>
      </c>
      <c r="AR564" t="s">
        <v>3236</v>
      </c>
      <c r="AS564" t="s">
        <v>3237</v>
      </c>
      <c r="AV564" s="14" t="e">
        <v>#N/A</v>
      </c>
      <c r="AW564" s="14" t="e">
        <v>#N/A</v>
      </c>
      <c r="AX564" s="14" t="e">
        <v>#N/A</v>
      </c>
    </row>
    <row r="565" spans="1:50" ht="15" customHeight="1" x14ac:dyDescent="0.4">
      <c r="A565" s="12">
        <v>3609</v>
      </c>
      <c r="B565" s="21" t="s">
        <v>3238</v>
      </c>
      <c r="C565" s="13" t="s">
        <v>3239</v>
      </c>
      <c r="D565" s="25" t="s">
        <v>3239</v>
      </c>
      <c r="E565" s="13"/>
      <c r="F565" s="41"/>
      <c r="G565" s="65" t="s">
        <v>8185</v>
      </c>
      <c r="H565" s="14" t="s">
        <v>3178</v>
      </c>
      <c r="I565" s="15">
        <v>44736</v>
      </c>
      <c r="J565" t="s">
        <v>2719</v>
      </c>
      <c r="K565" t="s">
        <v>51</v>
      </c>
      <c r="L565" t="s">
        <v>52</v>
      </c>
      <c r="M565" t="s">
        <v>53</v>
      </c>
      <c r="N565" t="s">
        <v>54</v>
      </c>
      <c r="O565" t="s">
        <v>3164</v>
      </c>
      <c r="P565" t="s">
        <v>56</v>
      </c>
      <c r="Q565" s="21" t="s">
        <v>3165</v>
      </c>
      <c r="R565" s="21"/>
      <c r="S565" t="s">
        <v>3240</v>
      </c>
      <c r="T565" t="s">
        <v>3241</v>
      </c>
      <c r="W565" t="s">
        <v>1758</v>
      </c>
      <c r="X565" t="s">
        <v>3194</v>
      </c>
      <c r="Y565" t="s">
        <v>3181</v>
      </c>
      <c r="Z565" s="15" t="s">
        <v>3182</v>
      </c>
      <c r="AA565" t="s">
        <v>3183</v>
      </c>
      <c r="AB565">
        <v>35.435951000000003</v>
      </c>
      <c r="AC565">
        <v>-98.353643000000005</v>
      </c>
      <c r="AD565" t="s">
        <v>3242</v>
      </c>
      <c r="AG565" t="s">
        <v>1715</v>
      </c>
      <c r="AH565" t="s">
        <v>63</v>
      </c>
      <c r="AI565" t="s">
        <v>3243</v>
      </c>
      <c r="AJ565">
        <v>193688</v>
      </c>
      <c r="AL565" t="s">
        <v>3244</v>
      </c>
      <c r="AM565" t="s">
        <v>3245</v>
      </c>
      <c r="AN565" t="s">
        <v>3246</v>
      </c>
      <c r="AO565" t="s">
        <v>68</v>
      </c>
      <c r="AQ565" t="s">
        <v>3247</v>
      </c>
      <c r="AR565" t="s">
        <v>3248</v>
      </c>
      <c r="AS565" t="s">
        <v>3249</v>
      </c>
      <c r="AV565" s="14" t="e">
        <v>#N/A</v>
      </c>
      <c r="AW565" s="14" t="e">
        <v>#N/A</v>
      </c>
      <c r="AX565" s="14" t="e">
        <v>#N/A</v>
      </c>
    </row>
    <row r="566" spans="1:50" ht="15" customHeight="1" x14ac:dyDescent="0.4">
      <c r="A566" s="12">
        <v>3610</v>
      </c>
      <c r="B566" s="21" t="s">
        <v>3250</v>
      </c>
      <c r="C566" s="13" t="s">
        <v>3251</v>
      </c>
      <c r="D566" s="25" t="s">
        <v>3251</v>
      </c>
      <c r="E566" s="13"/>
      <c r="F566" s="41"/>
      <c r="G566" s="65" t="s">
        <v>8185</v>
      </c>
      <c r="H566" s="14" t="s">
        <v>3178</v>
      </c>
      <c r="I566" s="15">
        <v>44736</v>
      </c>
      <c r="J566" t="s">
        <v>2719</v>
      </c>
      <c r="K566" t="s">
        <v>51</v>
      </c>
      <c r="L566" t="s">
        <v>52</v>
      </c>
      <c r="M566" t="s">
        <v>53</v>
      </c>
      <c r="N566" t="s">
        <v>54</v>
      </c>
      <c r="O566" t="s">
        <v>3164</v>
      </c>
      <c r="P566" t="s">
        <v>56</v>
      </c>
      <c r="Q566" s="21" t="s">
        <v>3165</v>
      </c>
      <c r="R566" s="21"/>
      <c r="S566" t="s">
        <v>3252</v>
      </c>
      <c r="T566" t="s">
        <v>3253</v>
      </c>
      <c r="X566" t="s">
        <v>3180</v>
      </c>
      <c r="Y566" t="s">
        <v>3181</v>
      </c>
      <c r="Z566" s="15" t="s">
        <v>3182</v>
      </c>
      <c r="AA566" t="s">
        <v>3183</v>
      </c>
      <c r="AB566">
        <v>35.43638</v>
      </c>
      <c r="AC566">
        <v>-98.353536000000005</v>
      </c>
      <c r="AD566" t="s">
        <v>3254</v>
      </c>
      <c r="AG566" t="s">
        <v>1715</v>
      </c>
      <c r="AH566" t="s">
        <v>63</v>
      </c>
      <c r="AI566" t="s">
        <v>3255</v>
      </c>
      <c r="AJ566">
        <v>193689</v>
      </c>
      <c r="AL566" t="s">
        <v>3256</v>
      </c>
      <c r="AM566" t="s">
        <v>3257</v>
      </c>
      <c r="AN566" t="s">
        <v>3258</v>
      </c>
      <c r="AO566" t="s">
        <v>68</v>
      </c>
      <c r="AQ566" t="s">
        <v>3259</v>
      </c>
      <c r="AR566" t="s">
        <v>3260</v>
      </c>
      <c r="AS566" t="s">
        <v>3261</v>
      </c>
      <c r="AV566" s="14" t="e">
        <v>#N/A</v>
      </c>
      <c r="AW566" s="14" t="e">
        <v>#N/A</v>
      </c>
      <c r="AX566" s="14" t="e">
        <v>#N/A</v>
      </c>
    </row>
    <row r="567" spans="1:50" ht="15" customHeight="1" x14ac:dyDescent="0.4">
      <c r="A567" s="47">
        <v>3611</v>
      </c>
      <c r="B567" s="48" t="s">
        <v>3262</v>
      </c>
      <c r="C567" s="49" t="s">
        <v>3263</v>
      </c>
      <c r="D567" s="50" t="s">
        <v>3263</v>
      </c>
      <c r="E567" s="49"/>
      <c r="F567" s="51" t="s">
        <v>8134</v>
      </c>
      <c r="G567" s="65" t="s">
        <v>8156</v>
      </c>
      <c r="H567" s="52" t="s">
        <v>3178</v>
      </c>
      <c r="I567" s="53">
        <v>44736</v>
      </c>
      <c r="J567" s="52" t="s">
        <v>2719</v>
      </c>
      <c r="K567" s="52" t="s">
        <v>51</v>
      </c>
      <c r="L567" s="52" t="s">
        <v>52</v>
      </c>
      <c r="M567" s="52" t="s">
        <v>53</v>
      </c>
      <c r="N567" s="52" t="s">
        <v>54</v>
      </c>
      <c r="O567" s="52" t="s">
        <v>3164</v>
      </c>
      <c r="P567" s="52" t="s">
        <v>56</v>
      </c>
      <c r="Q567" s="48" t="s">
        <v>3165</v>
      </c>
      <c r="R567" s="48"/>
      <c r="S567" s="52" t="s">
        <v>3252</v>
      </c>
      <c r="T567" s="52" t="s">
        <v>3264</v>
      </c>
      <c r="U567" s="52"/>
      <c r="V567" s="52"/>
      <c r="W567" s="52"/>
      <c r="X567" s="52" t="s">
        <v>3194</v>
      </c>
      <c r="Y567" s="52" t="s">
        <v>3181</v>
      </c>
      <c r="Z567" s="53" t="s">
        <v>3182</v>
      </c>
      <c r="AA567" s="52" t="s">
        <v>3183</v>
      </c>
      <c r="AB567" s="52">
        <v>35.436551999999999</v>
      </c>
      <c r="AC567" s="52">
        <v>-98.353515000000002</v>
      </c>
      <c r="AD567" s="52" t="s">
        <v>3265</v>
      </c>
      <c r="AE567" s="52"/>
      <c r="AF567" s="52"/>
      <c r="AG567" s="52" t="s">
        <v>1715</v>
      </c>
      <c r="AH567" s="52" t="s">
        <v>63</v>
      </c>
      <c r="AI567" s="52" t="s">
        <v>3266</v>
      </c>
      <c r="AJ567" s="52">
        <v>192572</v>
      </c>
      <c r="AK567" s="52"/>
      <c r="AL567" s="52" t="s">
        <v>3267</v>
      </c>
      <c r="AM567" s="52" t="s">
        <v>3268</v>
      </c>
      <c r="AN567" s="52" t="s">
        <v>3269</v>
      </c>
      <c r="AO567" s="52" t="s">
        <v>68</v>
      </c>
      <c r="AP567" s="52"/>
      <c r="AQ567" s="52" t="s">
        <v>3270</v>
      </c>
      <c r="AR567" s="52" t="s">
        <v>3271</v>
      </c>
      <c r="AS567" s="52" t="s">
        <v>3272</v>
      </c>
      <c r="AT567" s="52"/>
      <c r="AU567" s="52"/>
      <c r="AV567" s="52" t="e">
        <v>#N/A</v>
      </c>
      <c r="AW567" s="52" t="e">
        <v>#N/A</v>
      </c>
      <c r="AX567" s="52" t="e">
        <v>#N/A</v>
      </c>
    </row>
    <row r="568" spans="1:50" ht="15" customHeight="1" x14ac:dyDescent="0.4">
      <c r="A568" s="12">
        <v>3612</v>
      </c>
      <c r="B568" s="21" t="s">
        <v>3273</v>
      </c>
      <c r="C568" s="13" t="s">
        <v>3274</v>
      </c>
      <c r="D568" s="25" t="s">
        <v>3274</v>
      </c>
      <c r="E568" s="13"/>
      <c r="F568" s="41"/>
      <c r="G568" s="65" t="s">
        <v>8178</v>
      </c>
      <c r="H568" s="14" t="s">
        <v>1829</v>
      </c>
      <c r="I568" s="15">
        <v>44736</v>
      </c>
      <c r="J568" t="s">
        <v>2719</v>
      </c>
      <c r="K568" t="s">
        <v>51</v>
      </c>
      <c r="L568" t="s">
        <v>52</v>
      </c>
      <c r="M568" t="s">
        <v>53</v>
      </c>
      <c r="N568" t="s">
        <v>54</v>
      </c>
      <c r="O568" t="s">
        <v>3164</v>
      </c>
      <c r="P568" t="s">
        <v>56</v>
      </c>
      <c r="Q568" s="21" t="s">
        <v>3165</v>
      </c>
      <c r="R568" s="21"/>
      <c r="S568" t="s">
        <v>3252</v>
      </c>
      <c r="T568" t="s">
        <v>3275</v>
      </c>
      <c r="W568" t="s">
        <v>1758</v>
      </c>
      <c r="X568" t="s">
        <v>1832</v>
      </c>
      <c r="Z568" s="15"/>
      <c r="AB568">
        <v>35.436537999999999</v>
      </c>
      <c r="AC568">
        <v>-98.353515000000002</v>
      </c>
      <c r="AD568" t="s">
        <v>3276</v>
      </c>
      <c r="AG568" t="s">
        <v>1715</v>
      </c>
      <c r="AH568" t="s">
        <v>63</v>
      </c>
      <c r="AI568" t="s">
        <v>3277</v>
      </c>
      <c r="AJ568">
        <v>194431</v>
      </c>
      <c r="AL568" t="s">
        <v>3278</v>
      </c>
      <c r="AM568" t="s">
        <v>3279</v>
      </c>
      <c r="AN568" t="s">
        <v>3280</v>
      </c>
      <c r="AO568" t="s">
        <v>68</v>
      </c>
      <c r="AQ568" t="s">
        <v>3281</v>
      </c>
      <c r="AR568" t="s">
        <v>3282</v>
      </c>
      <c r="AS568" t="s">
        <v>3283</v>
      </c>
      <c r="AV568" s="14" t="s">
        <v>72</v>
      </c>
      <c r="AW568" s="14" t="s">
        <v>73</v>
      </c>
      <c r="AX568" s="14" t="s">
        <v>74</v>
      </c>
    </row>
    <row r="569" spans="1:50" ht="15" customHeight="1" x14ac:dyDescent="0.4">
      <c r="A569" s="12">
        <v>3613</v>
      </c>
      <c r="B569" s="21" t="s">
        <v>3284</v>
      </c>
      <c r="C569" s="13" t="s">
        <v>3285</v>
      </c>
      <c r="D569" s="25" t="s">
        <v>3285</v>
      </c>
      <c r="E569" s="13"/>
      <c r="F569" s="41"/>
      <c r="G569" s="65" t="s">
        <v>8178</v>
      </c>
      <c r="H569" s="14" t="s">
        <v>1829</v>
      </c>
      <c r="I569" s="15">
        <v>44736</v>
      </c>
      <c r="J569" t="s">
        <v>2719</v>
      </c>
      <c r="K569" t="s">
        <v>51</v>
      </c>
      <c r="L569" t="s">
        <v>52</v>
      </c>
      <c r="M569" t="s">
        <v>53</v>
      </c>
      <c r="N569" t="s">
        <v>54</v>
      </c>
      <c r="O569" t="s">
        <v>3164</v>
      </c>
      <c r="P569" t="s">
        <v>56</v>
      </c>
      <c r="Q569" s="21" t="s">
        <v>3165</v>
      </c>
      <c r="R569" s="21"/>
      <c r="S569" t="s">
        <v>3286</v>
      </c>
      <c r="T569" t="s">
        <v>3287</v>
      </c>
      <c r="X569" t="s">
        <v>1832</v>
      </c>
      <c r="Z569" s="15"/>
      <c r="AB569">
        <v>35.436036999999999</v>
      </c>
      <c r="AC569">
        <v>-98.353943999999998</v>
      </c>
      <c r="AD569" t="s">
        <v>3230</v>
      </c>
      <c r="AG569" t="s">
        <v>1715</v>
      </c>
      <c r="AH569" t="s">
        <v>63</v>
      </c>
      <c r="AI569" t="s">
        <v>3288</v>
      </c>
      <c r="AJ569">
        <v>194432</v>
      </c>
      <c r="AL569" t="s">
        <v>3289</v>
      </c>
      <c r="AM569" t="s">
        <v>3290</v>
      </c>
      <c r="AN569" t="s">
        <v>3291</v>
      </c>
      <c r="AO569" t="s">
        <v>68</v>
      </c>
      <c r="AQ569" t="s">
        <v>3292</v>
      </c>
      <c r="AR569" t="s">
        <v>3293</v>
      </c>
      <c r="AS569" t="s">
        <v>3294</v>
      </c>
      <c r="AV569" s="14" t="s">
        <v>72</v>
      </c>
      <c r="AW569" s="14" t="s">
        <v>73</v>
      </c>
      <c r="AX569" s="14" t="s">
        <v>74</v>
      </c>
    </row>
    <row r="570" spans="1:50" ht="15" customHeight="1" x14ac:dyDescent="0.4">
      <c r="A570" s="12">
        <v>3614</v>
      </c>
      <c r="B570" s="21" t="s">
        <v>3295</v>
      </c>
      <c r="C570" s="13" t="s">
        <v>3296</v>
      </c>
      <c r="D570" s="25" t="s">
        <v>3296</v>
      </c>
      <c r="E570" s="13"/>
      <c r="F570" s="41"/>
      <c r="G570" s="65" t="s">
        <v>8178</v>
      </c>
      <c r="H570" s="14" t="s">
        <v>1829</v>
      </c>
      <c r="I570" s="15">
        <v>44736</v>
      </c>
      <c r="J570" t="s">
        <v>2719</v>
      </c>
      <c r="K570" t="s">
        <v>51</v>
      </c>
      <c r="L570" t="s">
        <v>52</v>
      </c>
      <c r="M570" t="s">
        <v>53</v>
      </c>
      <c r="N570" t="s">
        <v>54</v>
      </c>
      <c r="O570" t="s">
        <v>3164</v>
      </c>
      <c r="P570" t="s">
        <v>56</v>
      </c>
      <c r="Q570" s="21" t="s">
        <v>3165</v>
      </c>
      <c r="R570" s="21"/>
      <c r="S570" t="s">
        <v>3297</v>
      </c>
      <c r="T570" t="s">
        <v>3298</v>
      </c>
      <c r="W570" t="s">
        <v>1758</v>
      </c>
      <c r="X570" t="s">
        <v>1832</v>
      </c>
      <c r="Z570" s="15"/>
      <c r="AB570">
        <v>35.445520999999999</v>
      </c>
      <c r="AC570">
        <v>-98.353314999999995</v>
      </c>
      <c r="AD570" t="s">
        <v>3207</v>
      </c>
      <c r="AG570" t="s">
        <v>1715</v>
      </c>
      <c r="AH570" t="s">
        <v>63</v>
      </c>
      <c r="AI570" t="s">
        <v>3299</v>
      </c>
      <c r="AJ570">
        <v>194433</v>
      </c>
      <c r="AL570" t="s">
        <v>3300</v>
      </c>
      <c r="AM570" t="s">
        <v>3301</v>
      </c>
      <c r="AN570" t="s">
        <v>3302</v>
      </c>
      <c r="AO570" t="s">
        <v>68</v>
      </c>
      <c r="AQ570" t="s">
        <v>3303</v>
      </c>
      <c r="AR570" t="s">
        <v>3304</v>
      </c>
      <c r="AS570" t="s">
        <v>3305</v>
      </c>
      <c r="AV570" s="14" t="s">
        <v>72</v>
      </c>
      <c r="AW570" s="14" t="s">
        <v>73</v>
      </c>
      <c r="AX570" s="14" t="s">
        <v>74</v>
      </c>
    </row>
    <row r="571" spans="1:50" ht="15" customHeight="1" x14ac:dyDescent="0.4">
      <c r="A571" s="12">
        <v>3615</v>
      </c>
      <c r="B571" s="21" t="s">
        <v>3306</v>
      </c>
      <c r="C571" s="13" t="s">
        <v>3307</v>
      </c>
      <c r="D571" s="25" t="s">
        <v>3307</v>
      </c>
      <c r="E571" s="13"/>
      <c r="F571" s="41"/>
      <c r="G571" s="65" t="s">
        <v>8185</v>
      </c>
      <c r="H571" s="14" t="s">
        <v>49</v>
      </c>
      <c r="I571" s="15">
        <v>44736</v>
      </c>
      <c r="J571" t="s">
        <v>2719</v>
      </c>
      <c r="K571" t="s">
        <v>51</v>
      </c>
      <c r="L571" t="s">
        <v>52</v>
      </c>
      <c r="M571" t="s">
        <v>53</v>
      </c>
      <c r="N571" t="s">
        <v>54</v>
      </c>
      <c r="O571" t="s">
        <v>3164</v>
      </c>
      <c r="P571" t="s">
        <v>56</v>
      </c>
      <c r="Q571" s="21" t="s">
        <v>3165</v>
      </c>
      <c r="R571" s="21"/>
      <c r="S571" t="s">
        <v>3308</v>
      </c>
      <c r="T571" t="s">
        <v>3309</v>
      </c>
      <c r="W571" t="s">
        <v>1758</v>
      </c>
      <c r="X571" t="s">
        <v>60</v>
      </c>
      <c r="Z571" s="15"/>
      <c r="AB571">
        <v>35.450242000000003</v>
      </c>
      <c r="AC571">
        <v>-98.352763999999993</v>
      </c>
      <c r="AD571" t="s">
        <v>3310</v>
      </c>
      <c r="AG571" t="s">
        <v>1715</v>
      </c>
      <c r="AH571" t="s">
        <v>63</v>
      </c>
      <c r="AI571" t="s">
        <v>3311</v>
      </c>
      <c r="AJ571">
        <v>194187</v>
      </c>
      <c r="AL571" t="s">
        <v>3312</v>
      </c>
      <c r="AM571" t="s">
        <v>3313</v>
      </c>
      <c r="AN571" t="s">
        <v>3314</v>
      </c>
      <c r="AO571" t="s">
        <v>68</v>
      </c>
      <c r="AQ571" t="s">
        <v>3315</v>
      </c>
      <c r="AR571" t="s">
        <v>3316</v>
      </c>
      <c r="AS571" t="s">
        <v>3317</v>
      </c>
      <c r="AV571" s="14" t="s">
        <v>72</v>
      </c>
      <c r="AW571" s="14" t="s">
        <v>73</v>
      </c>
      <c r="AX571" s="14" t="s">
        <v>74</v>
      </c>
    </row>
    <row r="572" spans="1:50" ht="15" customHeight="1" x14ac:dyDescent="0.4">
      <c r="A572" s="12">
        <v>3616</v>
      </c>
      <c r="B572" s="21" t="s">
        <v>3318</v>
      </c>
      <c r="C572" s="13" t="s">
        <v>3319</v>
      </c>
      <c r="D572" s="25" t="s">
        <v>3319</v>
      </c>
      <c r="E572" s="13"/>
      <c r="F572" s="41"/>
      <c r="G572" s="65" t="s">
        <v>8185</v>
      </c>
      <c r="H572" s="14" t="s">
        <v>49</v>
      </c>
      <c r="I572" s="15">
        <v>44736</v>
      </c>
      <c r="J572" t="s">
        <v>2719</v>
      </c>
      <c r="K572" t="s">
        <v>51</v>
      </c>
      <c r="L572" t="s">
        <v>52</v>
      </c>
      <c r="M572" t="s">
        <v>53</v>
      </c>
      <c r="N572" t="s">
        <v>54</v>
      </c>
      <c r="O572" t="s">
        <v>3164</v>
      </c>
      <c r="P572" t="s">
        <v>56</v>
      </c>
      <c r="Q572" s="21" t="s">
        <v>3165</v>
      </c>
      <c r="R572" s="21"/>
      <c r="S572" t="s">
        <v>3320</v>
      </c>
      <c r="T572" t="s">
        <v>3321</v>
      </c>
      <c r="X572" t="s">
        <v>60</v>
      </c>
      <c r="Z572" s="15"/>
      <c r="AB572">
        <v>35.456636000000003</v>
      </c>
      <c r="AC572">
        <v>-98.354330000000004</v>
      </c>
      <c r="AD572" t="s">
        <v>3322</v>
      </c>
      <c r="AG572" t="s">
        <v>1715</v>
      </c>
      <c r="AH572" t="s">
        <v>63</v>
      </c>
      <c r="AI572" t="s">
        <v>3323</v>
      </c>
      <c r="AJ572">
        <v>193372</v>
      </c>
      <c r="AL572" t="s">
        <v>3324</v>
      </c>
      <c r="AM572" t="s">
        <v>3325</v>
      </c>
      <c r="AN572" t="s">
        <v>3326</v>
      </c>
      <c r="AO572" t="s">
        <v>68</v>
      </c>
      <c r="AQ572" t="s">
        <v>3327</v>
      </c>
      <c r="AR572" t="s">
        <v>3328</v>
      </c>
      <c r="AS572" t="s">
        <v>3329</v>
      </c>
      <c r="AV572" s="14" t="s">
        <v>72</v>
      </c>
      <c r="AW572" s="14" t="s">
        <v>73</v>
      </c>
      <c r="AX572" s="14" t="s">
        <v>74</v>
      </c>
    </row>
    <row r="573" spans="1:50" ht="15" customHeight="1" x14ac:dyDescent="0.4">
      <c r="A573" s="12">
        <v>3617</v>
      </c>
      <c r="B573" s="21" t="s">
        <v>3330</v>
      </c>
      <c r="C573" s="13" t="s">
        <v>3331</v>
      </c>
      <c r="D573" s="25" t="s">
        <v>3331</v>
      </c>
      <c r="E573" s="13"/>
      <c r="F573" s="41"/>
      <c r="G573" s="65" t="s">
        <v>8185</v>
      </c>
      <c r="H573" s="14" t="s">
        <v>49</v>
      </c>
      <c r="I573" s="15">
        <v>44736</v>
      </c>
      <c r="J573" t="s">
        <v>2719</v>
      </c>
      <c r="K573" t="s">
        <v>51</v>
      </c>
      <c r="L573" t="s">
        <v>52</v>
      </c>
      <c r="M573" t="s">
        <v>53</v>
      </c>
      <c r="N573" t="s">
        <v>54</v>
      </c>
      <c r="O573" t="s">
        <v>3164</v>
      </c>
      <c r="P573" t="s">
        <v>56</v>
      </c>
      <c r="Q573" s="21" t="s">
        <v>3165</v>
      </c>
      <c r="R573" s="21"/>
      <c r="S573" t="s">
        <v>3332</v>
      </c>
      <c r="T573" t="s">
        <v>3333</v>
      </c>
      <c r="X573" t="s">
        <v>60</v>
      </c>
      <c r="Z573" s="15"/>
      <c r="AB573">
        <v>35.457220999999997</v>
      </c>
      <c r="AC573">
        <v>-98.353656000000001</v>
      </c>
      <c r="AD573" t="s">
        <v>3334</v>
      </c>
      <c r="AG573" t="s">
        <v>1715</v>
      </c>
      <c r="AH573" t="s">
        <v>63</v>
      </c>
      <c r="AI573" t="s">
        <v>3335</v>
      </c>
      <c r="AJ573">
        <v>194188</v>
      </c>
      <c r="AL573" t="s">
        <v>3336</v>
      </c>
      <c r="AM573" t="s">
        <v>3337</v>
      </c>
      <c r="AN573" t="s">
        <v>3338</v>
      </c>
      <c r="AO573" t="s">
        <v>68</v>
      </c>
      <c r="AQ573" t="s">
        <v>3339</v>
      </c>
      <c r="AR573" t="s">
        <v>3340</v>
      </c>
      <c r="AS573" t="s">
        <v>3341</v>
      </c>
      <c r="AV573" s="14" t="s">
        <v>72</v>
      </c>
      <c r="AW573" s="14" t="s">
        <v>73</v>
      </c>
      <c r="AX573" s="14" t="s">
        <v>74</v>
      </c>
    </row>
    <row r="574" spans="1:50" ht="15" customHeight="1" x14ac:dyDescent="0.4">
      <c r="A574" s="33">
        <v>3618</v>
      </c>
      <c r="B574" s="37" t="s">
        <v>3342</v>
      </c>
      <c r="C574" s="35" t="s">
        <v>3343</v>
      </c>
      <c r="D574" s="55" t="s">
        <v>3343</v>
      </c>
      <c r="E574" s="35"/>
      <c r="F574" s="42" t="s">
        <v>8142</v>
      </c>
      <c r="G574" s="65" t="s">
        <v>8185</v>
      </c>
      <c r="H574" s="34" t="s">
        <v>49</v>
      </c>
      <c r="I574" s="36">
        <v>44736</v>
      </c>
      <c r="J574" s="34" t="s">
        <v>2719</v>
      </c>
      <c r="K574" s="34" t="s">
        <v>51</v>
      </c>
      <c r="L574" s="34" t="s">
        <v>52</v>
      </c>
      <c r="M574" s="34" t="s">
        <v>53</v>
      </c>
      <c r="N574" s="34" t="s">
        <v>54</v>
      </c>
      <c r="O574" s="34" t="s">
        <v>3164</v>
      </c>
      <c r="P574" s="34" t="s">
        <v>56</v>
      </c>
      <c r="Q574" s="37" t="s">
        <v>3165</v>
      </c>
      <c r="R574" s="37"/>
      <c r="S574" s="34" t="s">
        <v>3344</v>
      </c>
      <c r="T574" s="34" t="s">
        <v>3345</v>
      </c>
      <c r="U574" s="34"/>
      <c r="V574" s="34"/>
      <c r="W574" s="34"/>
      <c r="X574" s="34" t="s">
        <v>60</v>
      </c>
      <c r="Y574" s="34"/>
      <c r="Z574" s="36"/>
      <c r="AA574" s="34"/>
      <c r="AB574" s="34">
        <v>35.457323000000002</v>
      </c>
      <c r="AC574" s="34">
        <v>-98.352419999999995</v>
      </c>
      <c r="AD574" s="34" t="s">
        <v>3346</v>
      </c>
      <c r="AE574" s="34"/>
      <c r="AF574" s="34"/>
      <c r="AG574" s="34" t="s">
        <v>1715</v>
      </c>
      <c r="AH574" s="34" t="s">
        <v>63</v>
      </c>
      <c r="AI574" s="34" t="s">
        <v>3347</v>
      </c>
      <c r="AJ574" s="34">
        <v>193367</v>
      </c>
      <c r="AK574" s="34"/>
      <c r="AL574" s="34" t="s">
        <v>3348</v>
      </c>
      <c r="AM574" s="34" t="s">
        <v>3349</v>
      </c>
      <c r="AN574" s="34" t="s">
        <v>3350</v>
      </c>
      <c r="AO574" s="34" t="s">
        <v>68</v>
      </c>
      <c r="AP574" s="34"/>
      <c r="AQ574" s="34" t="s">
        <v>3351</v>
      </c>
      <c r="AR574" s="34" t="s">
        <v>3352</v>
      </c>
      <c r="AS574" s="34" t="s">
        <v>3353</v>
      </c>
      <c r="AT574" s="34"/>
      <c r="AU574" s="34"/>
      <c r="AV574" s="34" t="s">
        <v>72</v>
      </c>
      <c r="AW574" s="34" t="s">
        <v>73</v>
      </c>
      <c r="AX574" s="34" t="s">
        <v>74</v>
      </c>
    </row>
    <row r="575" spans="1:50" ht="15" customHeight="1" x14ac:dyDescent="0.4">
      <c r="A575" s="12">
        <v>3619</v>
      </c>
      <c r="B575" s="21" t="s">
        <v>3354</v>
      </c>
      <c r="C575" s="13" t="s">
        <v>3355</v>
      </c>
      <c r="D575" s="25" t="s">
        <v>3355</v>
      </c>
      <c r="E575" s="13"/>
      <c r="F575" s="41"/>
      <c r="G575" s="65" t="s">
        <v>8185</v>
      </c>
      <c r="H575" s="14" t="s">
        <v>3178</v>
      </c>
      <c r="I575" s="15">
        <v>44736</v>
      </c>
      <c r="J575" t="s">
        <v>2719</v>
      </c>
      <c r="K575" t="s">
        <v>51</v>
      </c>
      <c r="L575" t="s">
        <v>52</v>
      </c>
      <c r="M575" t="s">
        <v>53</v>
      </c>
      <c r="N575" t="s">
        <v>54</v>
      </c>
      <c r="O575" t="s">
        <v>3164</v>
      </c>
      <c r="P575" t="s">
        <v>56</v>
      </c>
      <c r="Q575" s="21" t="s">
        <v>3165</v>
      </c>
      <c r="R575" s="21"/>
      <c r="S575" t="s">
        <v>3356</v>
      </c>
      <c r="T575" t="s">
        <v>3357</v>
      </c>
      <c r="W575" t="s">
        <v>1758</v>
      </c>
      <c r="X575" t="s">
        <v>3180</v>
      </c>
      <c r="Y575" t="s">
        <v>3181</v>
      </c>
      <c r="Z575" s="15" t="s">
        <v>3182</v>
      </c>
      <c r="AA575" t="s">
        <v>3183</v>
      </c>
      <c r="AB575">
        <v>35.436058000000003</v>
      </c>
      <c r="AC575">
        <v>-98.355745999999996</v>
      </c>
      <c r="AD575" t="s">
        <v>3358</v>
      </c>
      <c r="AG575" t="s">
        <v>1715</v>
      </c>
      <c r="AH575" t="s">
        <v>63</v>
      </c>
      <c r="AI575" t="s">
        <v>3359</v>
      </c>
      <c r="AJ575">
        <v>193690</v>
      </c>
      <c r="AL575" t="s">
        <v>3360</v>
      </c>
      <c r="AM575" t="s">
        <v>3361</v>
      </c>
      <c r="AN575" t="s">
        <v>3362</v>
      </c>
      <c r="AO575" t="s">
        <v>68</v>
      </c>
      <c r="AQ575" t="s">
        <v>3363</v>
      </c>
      <c r="AR575" t="s">
        <v>3364</v>
      </c>
      <c r="AS575" t="s">
        <v>3365</v>
      </c>
      <c r="AV575" s="14" t="e">
        <v>#N/A</v>
      </c>
      <c r="AW575" s="14" t="e">
        <v>#N/A</v>
      </c>
      <c r="AX575" s="14" t="e">
        <v>#N/A</v>
      </c>
    </row>
    <row r="576" spans="1:50" ht="15" customHeight="1" x14ac:dyDescent="0.4">
      <c r="A576" s="12">
        <v>3620</v>
      </c>
      <c r="B576" s="21" t="s">
        <v>3366</v>
      </c>
      <c r="C576" s="13" t="s">
        <v>3367</v>
      </c>
      <c r="D576" s="25" t="s">
        <v>3367</v>
      </c>
      <c r="E576" s="13"/>
      <c r="F576" s="41"/>
      <c r="G576" s="65" t="s">
        <v>8185</v>
      </c>
      <c r="H576" s="14" t="s">
        <v>49</v>
      </c>
      <c r="I576" s="15">
        <v>44737</v>
      </c>
      <c r="J576" t="s">
        <v>2719</v>
      </c>
      <c r="K576" t="s">
        <v>51</v>
      </c>
      <c r="L576" t="s">
        <v>52</v>
      </c>
      <c r="M576" t="s">
        <v>53</v>
      </c>
      <c r="N576" t="s">
        <v>54</v>
      </c>
      <c r="O576" t="s">
        <v>3368</v>
      </c>
      <c r="P576" t="s">
        <v>56</v>
      </c>
      <c r="Q576" s="21" t="s">
        <v>3369</v>
      </c>
      <c r="R576" s="21"/>
      <c r="S576" t="s">
        <v>3370</v>
      </c>
      <c r="T576" t="s">
        <v>3371</v>
      </c>
      <c r="W576" t="s">
        <v>1758</v>
      </c>
      <c r="X576" t="s">
        <v>60</v>
      </c>
      <c r="Z576" s="15"/>
      <c r="AB576">
        <v>36.845101</v>
      </c>
      <c r="AC576">
        <v>-96.426447999999993</v>
      </c>
      <c r="AD576" t="s">
        <v>3372</v>
      </c>
      <c r="AG576" t="s">
        <v>1715</v>
      </c>
      <c r="AH576" t="s">
        <v>63</v>
      </c>
      <c r="AI576" t="s">
        <v>3373</v>
      </c>
      <c r="AJ576">
        <v>194189</v>
      </c>
      <c r="AL576" t="s">
        <v>3374</v>
      </c>
      <c r="AM576" t="s">
        <v>3375</v>
      </c>
      <c r="AN576" t="s">
        <v>3376</v>
      </c>
      <c r="AO576" t="s">
        <v>68</v>
      </c>
      <c r="AQ576" t="s">
        <v>3377</v>
      </c>
      <c r="AR576" t="s">
        <v>3378</v>
      </c>
      <c r="AS576" t="s">
        <v>3379</v>
      </c>
      <c r="AV576" s="14" t="s">
        <v>72</v>
      </c>
      <c r="AW576" s="14" t="s">
        <v>73</v>
      </c>
      <c r="AX576" s="14" t="s">
        <v>74</v>
      </c>
    </row>
    <row r="577" spans="1:50" ht="15" customHeight="1" x14ac:dyDescent="0.4">
      <c r="A577" s="12">
        <v>3621</v>
      </c>
      <c r="B577" s="21" t="s">
        <v>3380</v>
      </c>
      <c r="C577" s="13" t="s">
        <v>3381</v>
      </c>
      <c r="D577" s="25" t="s">
        <v>3381</v>
      </c>
      <c r="E577" s="13"/>
      <c r="F577" s="41"/>
      <c r="G577" s="65" t="s">
        <v>8185</v>
      </c>
      <c r="H577" s="14" t="s">
        <v>49</v>
      </c>
      <c r="I577" s="15">
        <v>44737</v>
      </c>
      <c r="J577" t="s">
        <v>2719</v>
      </c>
      <c r="K577" t="s">
        <v>51</v>
      </c>
      <c r="L577" t="s">
        <v>52</v>
      </c>
      <c r="M577" t="s">
        <v>53</v>
      </c>
      <c r="N577" t="s">
        <v>54</v>
      </c>
      <c r="O577" t="s">
        <v>3368</v>
      </c>
      <c r="P577" t="s">
        <v>56</v>
      </c>
      <c r="Q577" s="21" t="s">
        <v>3369</v>
      </c>
      <c r="R577" s="21"/>
      <c r="S577" t="s">
        <v>3382</v>
      </c>
      <c r="T577" t="s">
        <v>3383</v>
      </c>
      <c r="W577" t="s">
        <v>1758</v>
      </c>
      <c r="X577" t="s">
        <v>60</v>
      </c>
      <c r="Z577" s="15"/>
      <c r="AB577">
        <v>36.845784000000002</v>
      </c>
      <c r="AC577">
        <v>-96.426593999999994</v>
      </c>
      <c r="AD577" t="s">
        <v>3384</v>
      </c>
      <c r="AG577" t="s">
        <v>1715</v>
      </c>
      <c r="AH577" t="s">
        <v>63</v>
      </c>
      <c r="AI577" t="s">
        <v>3385</v>
      </c>
      <c r="AJ577">
        <v>194190</v>
      </c>
      <c r="AL577" t="s">
        <v>3386</v>
      </c>
      <c r="AM577" t="s">
        <v>3387</v>
      </c>
      <c r="AN577" t="s">
        <v>3388</v>
      </c>
      <c r="AO577" t="s">
        <v>68</v>
      </c>
      <c r="AQ577" t="s">
        <v>3389</v>
      </c>
      <c r="AR577" t="s">
        <v>3390</v>
      </c>
      <c r="AS577" t="s">
        <v>3391</v>
      </c>
      <c r="AV577" s="14" t="s">
        <v>72</v>
      </c>
      <c r="AW577" s="14" t="s">
        <v>73</v>
      </c>
      <c r="AX577" s="14" t="s">
        <v>74</v>
      </c>
    </row>
    <row r="578" spans="1:50" ht="15" customHeight="1" x14ac:dyDescent="0.4">
      <c r="A578" s="12">
        <v>3622</v>
      </c>
      <c r="B578" s="21" t="s">
        <v>3392</v>
      </c>
      <c r="C578" s="13" t="s">
        <v>3393</v>
      </c>
      <c r="D578" s="25" t="s">
        <v>3393</v>
      </c>
      <c r="E578" s="13"/>
      <c r="F578" s="41"/>
      <c r="G578" s="65" t="s">
        <v>8185</v>
      </c>
      <c r="H578" s="14" t="s">
        <v>1752</v>
      </c>
      <c r="I578" s="15">
        <v>44737</v>
      </c>
      <c r="J578" t="s">
        <v>2719</v>
      </c>
      <c r="K578" t="s">
        <v>51</v>
      </c>
      <c r="L578" t="s">
        <v>52</v>
      </c>
      <c r="M578" t="s">
        <v>53</v>
      </c>
      <c r="N578" t="s">
        <v>54</v>
      </c>
      <c r="O578" t="s">
        <v>3368</v>
      </c>
      <c r="P578" t="s">
        <v>56</v>
      </c>
      <c r="Q578" s="21" t="s">
        <v>3369</v>
      </c>
      <c r="R578" s="21"/>
      <c r="S578" t="s">
        <v>3394</v>
      </c>
      <c r="T578" t="s">
        <v>3395</v>
      </c>
      <c r="X578" t="s">
        <v>1759</v>
      </c>
      <c r="Z578" s="15"/>
      <c r="AB578">
        <v>36.845564000000003</v>
      </c>
      <c r="AC578">
        <v>-96.428413000000006</v>
      </c>
      <c r="AD578" t="s">
        <v>3396</v>
      </c>
      <c r="AG578" t="s">
        <v>1715</v>
      </c>
      <c r="AH578" t="s">
        <v>63</v>
      </c>
      <c r="AI578" t="s">
        <v>3397</v>
      </c>
      <c r="AJ578">
        <v>193520</v>
      </c>
      <c r="AL578" t="s">
        <v>3398</v>
      </c>
      <c r="AM578" t="s">
        <v>3399</v>
      </c>
      <c r="AN578" t="s">
        <v>3400</v>
      </c>
      <c r="AO578" t="s">
        <v>68</v>
      </c>
      <c r="AQ578" t="s">
        <v>3401</v>
      </c>
      <c r="AR578" t="s">
        <v>3402</v>
      </c>
      <c r="AS578" t="s">
        <v>3403</v>
      </c>
      <c r="AV578" s="14" t="s">
        <v>72</v>
      </c>
      <c r="AW578" s="14" t="s">
        <v>73</v>
      </c>
      <c r="AX578" s="14" t="s">
        <v>1768</v>
      </c>
    </row>
    <row r="579" spans="1:50" ht="15" customHeight="1" x14ac:dyDescent="0.4">
      <c r="A579" s="12">
        <v>3623</v>
      </c>
      <c r="B579" s="21" t="s">
        <v>3404</v>
      </c>
      <c r="C579" s="13" t="s">
        <v>3405</v>
      </c>
      <c r="D579" s="25" t="s">
        <v>3405</v>
      </c>
      <c r="E579" s="13"/>
      <c r="F579" s="41"/>
      <c r="G579" s="65" t="s">
        <v>8185</v>
      </c>
      <c r="H579" s="14" t="s">
        <v>1829</v>
      </c>
      <c r="I579" s="15">
        <v>44737</v>
      </c>
      <c r="J579" t="s">
        <v>2719</v>
      </c>
      <c r="K579" t="s">
        <v>51</v>
      </c>
      <c r="L579" t="s">
        <v>52</v>
      </c>
      <c r="M579" t="s">
        <v>53</v>
      </c>
      <c r="N579" t="s">
        <v>54</v>
      </c>
      <c r="O579" t="s">
        <v>3368</v>
      </c>
      <c r="P579" t="s">
        <v>56</v>
      </c>
      <c r="Q579" s="21" t="s">
        <v>3369</v>
      </c>
      <c r="R579" s="21"/>
      <c r="S579" t="s">
        <v>3406</v>
      </c>
      <c r="T579" t="s">
        <v>3407</v>
      </c>
      <c r="W579" t="s">
        <v>1758</v>
      </c>
      <c r="X579" t="s">
        <v>1832</v>
      </c>
      <c r="Z579" s="15"/>
      <c r="AB579">
        <v>36.845779</v>
      </c>
      <c r="AC579">
        <v>-96.428591999999995</v>
      </c>
      <c r="AD579" t="s">
        <v>3408</v>
      </c>
      <c r="AG579" t="s">
        <v>1715</v>
      </c>
      <c r="AH579" t="s">
        <v>63</v>
      </c>
      <c r="AI579" t="s">
        <v>3409</v>
      </c>
      <c r="AJ579">
        <v>194434</v>
      </c>
      <c r="AL579" t="s">
        <v>3410</v>
      </c>
      <c r="AM579" t="s">
        <v>3411</v>
      </c>
      <c r="AN579" t="s">
        <v>3412</v>
      </c>
      <c r="AO579" t="s">
        <v>68</v>
      </c>
      <c r="AQ579" t="s">
        <v>3413</v>
      </c>
      <c r="AR579" t="s">
        <v>3414</v>
      </c>
      <c r="AS579" t="s">
        <v>3415</v>
      </c>
      <c r="AV579" s="14" t="s">
        <v>72</v>
      </c>
      <c r="AW579" s="14" t="s">
        <v>73</v>
      </c>
      <c r="AX579" s="14" t="s">
        <v>74</v>
      </c>
    </row>
    <row r="580" spans="1:50" ht="15" customHeight="1" x14ac:dyDescent="0.4">
      <c r="A580" s="12">
        <v>3624</v>
      </c>
      <c r="B580" s="21" t="s">
        <v>3416</v>
      </c>
      <c r="C580" s="13" t="s">
        <v>3417</v>
      </c>
      <c r="D580" s="25" t="s">
        <v>3417</v>
      </c>
      <c r="E580" s="13"/>
      <c r="F580" s="41"/>
      <c r="G580" s="65" t="s">
        <v>8185</v>
      </c>
      <c r="H580" s="14" t="s">
        <v>49</v>
      </c>
      <c r="I580" s="15">
        <v>44737</v>
      </c>
      <c r="J580" t="s">
        <v>2719</v>
      </c>
      <c r="K580" t="s">
        <v>51</v>
      </c>
      <c r="L580" t="s">
        <v>52</v>
      </c>
      <c r="M580" t="s">
        <v>53</v>
      </c>
      <c r="N580" t="s">
        <v>54</v>
      </c>
      <c r="O580" t="s">
        <v>3368</v>
      </c>
      <c r="P580" t="s">
        <v>56</v>
      </c>
      <c r="Q580" s="21" t="s">
        <v>3369</v>
      </c>
      <c r="R580" s="21"/>
      <c r="S580" t="s">
        <v>3418</v>
      </c>
      <c r="T580" t="s">
        <v>3419</v>
      </c>
      <c r="X580" t="s">
        <v>60</v>
      </c>
      <c r="Z580" s="15"/>
      <c r="AB580">
        <v>36.846021999999998</v>
      </c>
      <c r="AC580">
        <v>-96.428747000000001</v>
      </c>
      <c r="AD580" t="s">
        <v>3420</v>
      </c>
      <c r="AG580" t="s">
        <v>1715</v>
      </c>
      <c r="AH580" t="s">
        <v>63</v>
      </c>
      <c r="AI580" t="s">
        <v>3421</v>
      </c>
      <c r="AJ580">
        <v>192672</v>
      </c>
      <c r="AL580" t="s">
        <v>3422</v>
      </c>
      <c r="AM580" t="s">
        <v>3423</v>
      </c>
      <c r="AN580" t="s">
        <v>3424</v>
      </c>
      <c r="AO580" t="s">
        <v>68</v>
      </c>
      <c r="AQ580" t="s">
        <v>3425</v>
      </c>
      <c r="AR580" t="s">
        <v>3426</v>
      </c>
      <c r="AS580" t="s">
        <v>3427</v>
      </c>
      <c r="AV580" s="14" t="s">
        <v>72</v>
      </c>
      <c r="AW580" s="14" t="s">
        <v>73</v>
      </c>
      <c r="AX580" s="14" t="s">
        <v>74</v>
      </c>
    </row>
    <row r="581" spans="1:50" ht="15" customHeight="1" x14ac:dyDescent="0.4">
      <c r="A581" s="12">
        <v>3625</v>
      </c>
      <c r="B581" s="21" t="s">
        <v>3428</v>
      </c>
      <c r="C581" s="13" t="s">
        <v>3429</v>
      </c>
      <c r="D581" s="25" t="s">
        <v>3429</v>
      </c>
      <c r="E581" s="13"/>
      <c r="F581" s="41"/>
      <c r="G581" s="65" t="s">
        <v>8185</v>
      </c>
      <c r="H581" s="14" t="s">
        <v>49</v>
      </c>
      <c r="I581" s="15">
        <v>44737</v>
      </c>
      <c r="J581" t="s">
        <v>2719</v>
      </c>
      <c r="K581" t="s">
        <v>51</v>
      </c>
      <c r="L581" t="s">
        <v>52</v>
      </c>
      <c r="M581" t="s">
        <v>53</v>
      </c>
      <c r="N581" t="s">
        <v>54</v>
      </c>
      <c r="O581" t="s">
        <v>3368</v>
      </c>
      <c r="P581" t="s">
        <v>56</v>
      </c>
      <c r="Q581" s="21" t="s">
        <v>3369</v>
      </c>
      <c r="R581" s="21"/>
      <c r="S581" t="s">
        <v>3430</v>
      </c>
      <c r="T581" t="s">
        <v>3431</v>
      </c>
      <c r="X581" t="s">
        <v>60</v>
      </c>
      <c r="Z581" s="15"/>
      <c r="AB581">
        <v>36.846654000000001</v>
      </c>
      <c r="AC581">
        <v>-96.429275000000004</v>
      </c>
      <c r="AG581" t="s">
        <v>1715</v>
      </c>
      <c r="AH581" t="s">
        <v>63</v>
      </c>
      <c r="AI581" t="s">
        <v>3432</v>
      </c>
      <c r="AJ581">
        <v>194201</v>
      </c>
      <c r="AL581" t="s">
        <v>3433</v>
      </c>
      <c r="AM581" t="s">
        <v>3434</v>
      </c>
      <c r="AN581" t="s">
        <v>3435</v>
      </c>
      <c r="AO581" t="s">
        <v>68</v>
      </c>
      <c r="AQ581" t="s">
        <v>3436</v>
      </c>
      <c r="AR581" t="s">
        <v>3437</v>
      </c>
      <c r="AS581" t="s">
        <v>3438</v>
      </c>
      <c r="AV581" s="14" t="s">
        <v>72</v>
      </c>
      <c r="AW581" s="14" t="s">
        <v>73</v>
      </c>
      <c r="AX581" s="14" t="s">
        <v>74</v>
      </c>
    </row>
    <row r="582" spans="1:50" ht="15" customHeight="1" x14ac:dyDescent="0.4">
      <c r="A582" s="12">
        <v>3626</v>
      </c>
      <c r="B582" s="21" t="s">
        <v>3439</v>
      </c>
      <c r="C582" s="13" t="s">
        <v>3440</v>
      </c>
      <c r="D582" s="25" t="s">
        <v>3440</v>
      </c>
      <c r="E582" s="13"/>
      <c r="F582" s="41"/>
      <c r="G582" s="65" t="s">
        <v>8178</v>
      </c>
      <c r="H582" s="14" t="s">
        <v>1829</v>
      </c>
      <c r="I582" s="15">
        <v>44737</v>
      </c>
      <c r="J582" t="s">
        <v>2719</v>
      </c>
      <c r="K582" t="s">
        <v>51</v>
      </c>
      <c r="L582" t="s">
        <v>52</v>
      </c>
      <c r="M582" t="s">
        <v>53</v>
      </c>
      <c r="N582" t="s">
        <v>54</v>
      </c>
      <c r="O582" t="s">
        <v>3368</v>
      </c>
      <c r="P582" t="s">
        <v>56</v>
      </c>
      <c r="Q582" s="21" t="s">
        <v>3369</v>
      </c>
      <c r="R582" s="21"/>
      <c r="S582" t="s">
        <v>3441</v>
      </c>
      <c r="T582" t="s">
        <v>3442</v>
      </c>
      <c r="W582" t="s">
        <v>1758</v>
      </c>
      <c r="X582" t="s">
        <v>1832</v>
      </c>
      <c r="Z582" s="15"/>
      <c r="AB582">
        <v>36.846612999999998</v>
      </c>
      <c r="AC582">
        <v>-96.429364000000007</v>
      </c>
      <c r="AG582" t="s">
        <v>1715</v>
      </c>
      <c r="AH582" t="s">
        <v>63</v>
      </c>
      <c r="AI582" t="s">
        <v>3443</v>
      </c>
      <c r="AJ582">
        <v>194435</v>
      </c>
      <c r="AL582" t="s">
        <v>3444</v>
      </c>
      <c r="AM582" t="s">
        <v>3445</v>
      </c>
      <c r="AN582" t="s">
        <v>3446</v>
      </c>
      <c r="AO582" t="s">
        <v>68</v>
      </c>
      <c r="AQ582" t="s">
        <v>3447</v>
      </c>
      <c r="AR582" t="s">
        <v>3448</v>
      </c>
      <c r="AS582" t="s">
        <v>3449</v>
      </c>
      <c r="AV582" s="14" t="s">
        <v>72</v>
      </c>
      <c r="AW582" s="14" t="s">
        <v>73</v>
      </c>
      <c r="AX582" s="14" t="s">
        <v>74</v>
      </c>
    </row>
    <row r="583" spans="1:50" ht="15" customHeight="1" x14ac:dyDescent="0.4">
      <c r="A583" s="12">
        <v>3627</v>
      </c>
      <c r="B583" s="21" t="s">
        <v>3450</v>
      </c>
      <c r="C583" s="13" t="s">
        <v>3451</v>
      </c>
      <c r="D583" s="25" t="s">
        <v>3451</v>
      </c>
      <c r="E583" s="13"/>
      <c r="F583" s="41"/>
      <c r="G583" s="65" t="s">
        <v>8185</v>
      </c>
      <c r="H583" s="14" t="s">
        <v>1752</v>
      </c>
      <c r="I583" s="15">
        <v>44737</v>
      </c>
      <c r="J583" t="s">
        <v>2719</v>
      </c>
      <c r="K583" t="s">
        <v>51</v>
      </c>
      <c r="L583" t="s">
        <v>52</v>
      </c>
      <c r="M583" t="s">
        <v>53</v>
      </c>
      <c r="N583" t="s">
        <v>54</v>
      </c>
      <c r="O583" t="s">
        <v>3368</v>
      </c>
      <c r="P583" t="s">
        <v>56</v>
      </c>
      <c r="Q583" s="21" t="s">
        <v>3369</v>
      </c>
      <c r="R583" s="21"/>
      <c r="S583" t="s">
        <v>3452</v>
      </c>
      <c r="T583" t="s">
        <v>3453</v>
      </c>
      <c r="W583" t="s">
        <v>1758</v>
      </c>
      <c r="X583" t="s">
        <v>1759</v>
      </c>
      <c r="Z583" s="15"/>
      <c r="AB583">
        <v>36.846825000000003</v>
      </c>
      <c r="AC583">
        <v>-96.429918000000001</v>
      </c>
      <c r="AD583" t="s">
        <v>3454</v>
      </c>
      <c r="AG583" t="s">
        <v>1715</v>
      </c>
      <c r="AH583" t="s">
        <v>63</v>
      </c>
      <c r="AI583" t="s">
        <v>3455</v>
      </c>
      <c r="AJ583">
        <v>193528</v>
      </c>
      <c r="AL583" t="s">
        <v>3456</v>
      </c>
      <c r="AM583" t="s">
        <v>3457</v>
      </c>
      <c r="AN583" t="s">
        <v>3458</v>
      </c>
      <c r="AO583" t="s">
        <v>68</v>
      </c>
      <c r="AQ583" t="s">
        <v>3459</v>
      </c>
      <c r="AR583" t="s">
        <v>3460</v>
      </c>
      <c r="AS583" t="s">
        <v>3461</v>
      </c>
      <c r="AV583" s="14" t="s">
        <v>72</v>
      </c>
      <c r="AW583" s="14" t="s">
        <v>73</v>
      </c>
      <c r="AX583" s="14" t="s">
        <v>1768</v>
      </c>
    </row>
    <row r="584" spans="1:50" ht="15" customHeight="1" x14ac:dyDescent="0.4">
      <c r="A584" s="12">
        <v>3628</v>
      </c>
      <c r="B584" s="21" t="s">
        <v>3462</v>
      </c>
      <c r="C584" s="13" t="s">
        <v>3463</v>
      </c>
      <c r="D584" s="25" t="s">
        <v>3463</v>
      </c>
      <c r="E584" s="13"/>
      <c r="F584" s="51" t="s">
        <v>1752</v>
      </c>
      <c r="G584" s="65" t="s">
        <v>8144</v>
      </c>
      <c r="H584" s="14" t="s">
        <v>1752</v>
      </c>
      <c r="I584" s="15">
        <v>44737</v>
      </c>
      <c r="J584" t="s">
        <v>2719</v>
      </c>
      <c r="K584" t="s">
        <v>51</v>
      </c>
      <c r="L584" t="s">
        <v>52</v>
      </c>
      <c r="M584" t="s">
        <v>53</v>
      </c>
      <c r="N584" t="s">
        <v>54</v>
      </c>
      <c r="O584" t="s">
        <v>3368</v>
      </c>
      <c r="P584" t="s">
        <v>56</v>
      </c>
      <c r="Q584" s="21" t="s">
        <v>3369</v>
      </c>
      <c r="R584" s="21"/>
      <c r="S584" t="s">
        <v>3464</v>
      </c>
      <c r="T584" t="s">
        <v>3465</v>
      </c>
      <c r="W584" t="s">
        <v>1758</v>
      </c>
      <c r="X584" t="s">
        <v>1759</v>
      </c>
      <c r="Z584" s="15"/>
      <c r="AB584">
        <v>36.844152999999999</v>
      </c>
      <c r="AC584">
        <v>-96.427087999999998</v>
      </c>
      <c r="AD584" t="s">
        <v>1231</v>
      </c>
      <c r="AG584" t="s">
        <v>1715</v>
      </c>
      <c r="AH584" t="s">
        <v>63</v>
      </c>
      <c r="AI584" t="s">
        <v>3466</v>
      </c>
      <c r="AJ584">
        <v>193529</v>
      </c>
      <c r="AL584" t="s">
        <v>3467</v>
      </c>
      <c r="AM584" t="s">
        <v>3468</v>
      </c>
      <c r="AN584" t="s">
        <v>3469</v>
      </c>
      <c r="AO584" t="s">
        <v>68</v>
      </c>
      <c r="AQ584" t="s">
        <v>3470</v>
      </c>
      <c r="AR584" t="s">
        <v>3471</v>
      </c>
      <c r="AS584" t="s">
        <v>3472</v>
      </c>
      <c r="AV584" s="14" t="s">
        <v>72</v>
      </c>
      <c r="AW584" s="14" t="s">
        <v>73</v>
      </c>
      <c r="AX584" s="14" t="s">
        <v>1768</v>
      </c>
    </row>
    <row r="585" spans="1:50" ht="15" customHeight="1" x14ac:dyDescent="0.4">
      <c r="A585" s="12">
        <v>3629</v>
      </c>
      <c r="B585" s="21" t="s">
        <v>3473</v>
      </c>
      <c r="C585" s="13" t="s">
        <v>3474</v>
      </c>
      <c r="D585" s="25" t="s">
        <v>3474</v>
      </c>
      <c r="E585" s="13"/>
      <c r="F585" s="41"/>
      <c r="G585" s="65" t="s">
        <v>8185</v>
      </c>
      <c r="H585" s="14" t="s">
        <v>49</v>
      </c>
      <c r="I585" s="15">
        <v>44737</v>
      </c>
      <c r="J585" t="s">
        <v>2719</v>
      </c>
      <c r="K585" t="s">
        <v>51</v>
      </c>
      <c r="L585" t="s">
        <v>52</v>
      </c>
      <c r="M585" t="s">
        <v>53</v>
      </c>
      <c r="N585" t="s">
        <v>54</v>
      </c>
      <c r="O585" t="s">
        <v>3368</v>
      </c>
      <c r="P585" t="s">
        <v>56</v>
      </c>
      <c r="Q585" s="21" t="s">
        <v>3369</v>
      </c>
      <c r="R585" s="21"/>
      <c r="S585" t="s">
        <v>3475</v>
      </c>
      <c r="T585" t="s">
        <v>3476</v>
      </c>
      <c r="X585" t="s">
        <v>60</v>
      </c>
      <c r="Z585" s="15"/>
      <c r="AB585">
        <v>36.844363000000001</v>
      </c>
      <c r="AC585">
        <v>-96.426753000000005</v>
      </c>
      <c r="AD585" t="s">
        <v>3477</v>
      </c>
      <c r="AG585" t="s">
        <v>1715</v>
      </c>
      <c r="AH585" t="s">
        <v>63</v>
      </c>
      <c r="AI585" t="s">
        <v>3478</v>
      </c>
      <c r="AJ585">
        <v>194202</v>
      </c>
      <c r="AL585" t="s">
        <v>3479</v>
      </c>
      <c r="AM585" t="s">
        <v>3480</v>
      </c>
      <c r="AN585" t="s">
        <v>3481</v>
      </c>
      <c r="AO585" t="s">
        <v>68</v>
      </c>
      <c r="AQ585" t="s">
        <v>3482</v>
      </c>
      <c r="AR585" t="s">
        <v>3483</v>
      </c>
      <c r="AS585" t="s">
        <v>3484</v>
      </c>
      <c r="AV585" s="14" t="s">
        <v>72</v>
      </c>
      <c r="AW585" s="14" t="s">
        <v>73</v>
      </c>
      <c r="AX585" s="14" t="s">
        <v>74</v>
      </c>
    </row>
    <row r="586" spans="1:50" ht="15" customHeight="1" x14ac:dyDescent="0.4">
      <c r="A586" s="12">
        <v>3630</v>
      </c>
      <c r="B586" s="21" t="s">
        <v>3485</v>
      </c>
      <c r="C586" s="13" t="s">
        <v>3486</v>
      </c>
      <c r="D586" s="25" t="s">
        <v>3486</v>
      </c>
      <c r="E586" s="13"/>
      <c r="F586" s="41"/>
      <c r="G586" s="65" t="s">
        <v>8185</v>
      </c>
      <c r="H586" s="14" t="s">
        <v>1752</v>
      </c>
      <c r="I586" s="15">
        <v>44737</v>
      </c>
      <c r="J586" t="s">
        <v>2719</v>
      </c>
      <c r="K586" t="s">
        <v>51</v>
      </c>
      <c r="L586" t="s">
        <v>52</v>
      </c>
      <c r="M586" t="s">
        <v>53</v>
      </c>
      <c r="N586" t="s">
        <v>54</v>
      </c>
      <c r="O586" t="s">
        <v>3368</v>
      </c>
      <c r="P586" t="s">
        <v>56</v>
      </c>
      <c r="Q586" s="21" t="s">
        <v>3369</v>
      </c>
      <c r="R586" s="21"/>
      <c r="S586" t="s">
        <v>3487</v>
      </c>
      <c r="T586" t="s">
        <v>3488</v>
      </c>
      <c r="W586" t="s">
        <v>1758</v>
      </c>
      <c r="X586" t="s">
        <v>1759</v>
      </c>
      <c r="Z586" s="15"/>
      <c r="AB586">
        <v>36.855210999999997</v>
      </c>
      <c r="AC586">
        <v>-96.423107000000002</v>
      </c>
      <c r="AD586" t="s">
        <v>3489</v>
      </c>
      <c r="AG586" t="s">
        <v>1715</v>
      </c>
      <c r="AH586" t="s">
        <v>63</v>
      </c>
      <c r="AI586" t="s">
        <v>3490</v>
      </c>
      <c r="AJ586">
        <v>193530</v>
      </c>
      <c r="AL586" t="s">
        <v>3491</v>
      </c>
      <c r="AM586" t="s">
        <v>3492</v>
      </c>
      <c r="AN586" t="s">
        <v>3493</v>
      </c>
      <c r="AO586" t="s">
        <v>68</v>
      </c>
      <c r="AQ586" t="s">
        <v>3494</v>
      </c>
      <c r="AR586" t="s">
        <v>3495</v>
      </c>
      <c r="AS586" t="s">
        <v>3496</v>
      </c>
      <c r="AV586" s="14" t="s">
        <v>72</v>
      </c>
      <c r="AW586" s="14" t="s">
        <v>73</v>
      </c>
      <c r="AX586" s="14" t="s">
        <v>1768</v>
      </c>
    </row>
    <row r="587" spans="1:50" ht="15" customHeight="1" x14ac:dyDescent="0.4">
      <c r="A587" s="12">
        <v>3631</v>
      </c>
      <c r="B587" s="21" t="s">
        <v>3497</v>
      </c>
      <c r="C587" s="13" t="s">
        <v>3498</v>
      </c>
      <c r="D587" s="25" t="s">
        <v>3498</v>
      </c>
      <c r="E587" s="13"/>
      <c r="F587" s="41"/>
      <c r="G587" s="65" t="s">
        <v>8185</v>
      </c>
      <c r="H587" s="14" t="s">
        <v>1752</v>
      </c>
      <c r="I587" s="15">
        <v>44737</v>
      </c>
      <c r="J587" t="s">
        <v>2719</v>
      </c>
      <c r="K587" t="s">
        <v>51</v>
      </c>
      <c r="L587" t="s">
        <v>52</v>
      </c>
      <c r="M587" t="s">
        <v>53</v>
      </c>
      <c r="N587" t="s">
        <v>54</v>
      </c>
      <c r="O587" t="s">
        <v>3368</v>
      </c>
      <c r="P587" t="s">
        <v>56</v>
      </c>
      <c r="Q587" s="21" t="s">
        <v>3369</v>
      </c>
      <c r="R587" s="21"/>
      <c r="S587" t="s">
        <v>3499</v>
      </c>
      <c r="T587" t="s">
        <v>3500</v>
      </c>
      <c r="W587" t="s">
        <v>1758</v>
      </c>
      <c r="X587" t="s">
        <v>1759</v>
      </c>
      <c r="Z587" s="15"/>
      <c r="AB587">
        <v>36.847630000000002</v>
      </c>
      <c r="AC587">
        <v>-96.422002000000006</v>
      </c>
      <c r="AD587" t="s">
        <v>3501</v>
      </c>
      <c r="AG587" t="s">
        <v>1715</v>
      </c>
      <c r="AH587" t="s">
        <v>63</v>
      </c>
      <c r="AI587" t="s">
        <v>3502</v>
      </c>
      <c r="AJ587">
        <v>193531</v>
      </c>
      <c r="AL587" t="s">
        <v>3503</v>
      </c>
      <c r="AM587" t="s">
        <v>3504</v>
      </c>
      <c r="AN587" t="s">
        <v>3505</v>
      </c>
      <c r="AO587" t="s">
        <v>68</v>
      </c>
      <c r="AQ587" t="s">
        <v>3506</v>
      </c>
      <c r="AR587" t="s">
        <v>3507</v>
      </c>
      <c r="AS587" t="s">
        <v>3508</v>
      </c>
      <c r="AV587" s="14" t="s">
        <v>72</v>
      </c>
      <c r="AW587" s="14" t="s">
        <v>73</v>
      </c>
      <c r="AX587" s="14" t="s">
        <v>1768</v>
      </c>
    </row>
    <row r="588" spans="1:50" ht="15" customHeight="1" x14ac:dyDescent="0.4">
      <c r="A588" s="12">
        <v>3632</v>
      </c>
      <c r="B588" s="21" t="s">
        <v>3509</v>
      </c>
      <c r="C588" s="13" t="s">
        <v>3510</v>
      </c>
      <c r="D588" s="25" t="s">
        <v>3510</v>
      </c>
      <c r="E588" s="13"/>
      <c r="F588" s="41"/>
      <c r="G588" s="65" t="s">
        <v>8185</v>
      </c>
      <c r="H588" s="14" t="s">
        <v>1829</v>
      </c>
      <c r="I588" s="15">
        <v>44737</v>
      </c>
      <c r="J588" t="s">
        <v>2719</v>
      </c>
      <c r="K588" t="s">
        <v>51</v>
      </c>
      <c r="L588" t="s">
        <v>52</v>
      </c>
      <c r="M588" t="s">
        <v>53</v>
      </c>
      <c r="N588" t="s">
        <v>54</v>
      </c>
      <c r="O588" t="s">
        <v>3368</v>
      </c>
      <c r="P588" t="s">
        <v>56</v>
      </c>
      <c r="Q588" s="21" t="s">
        <v>3369</v>
      </c>
      <c r="R588" s="21"/>
      <c r="S588" t="s">
        <v>3511</v>
      </c>
      <c r="T588" t="s">
        <v>3512</v>
      </c>
      <c r="W588" t="s">
        <v>1758</v>
      </c>
      <c r="X588" t="s">
        <v>1832</v>
      </c>
      <c r="Z588" s="15"/>
      <c r="AB588">
        <v>36.845999999999997</v>
      </c>
      <c r="AC588">
        <v>-96.428886000000006</v>
      </c>
      <c r="AD588" t="s">
        <v>3372</v>
      </c>
      <c r="AG588" t="s">
        <v>1715</v>
      </c>
      <c r="AH588" t="s">
        <v>63</v>
      </c>
      <c r="AI588" t="s">
        <v>3513</v>
      </c>
      <c r="AJ588">
        <v>194436</v>
      </c>
      <c r="AL588" t="s">
        <v>3514</v>
      </c>
      <c r="AM588" t="s">
        <v>3515</v>
      </c>
      <c r="AN588" t="s">
        <v>3516</v>
      </c>
      <c r="AO588" t="s">
        <v>68</v>
      </c>
      <c r="AQ588" t="s">
        <v>3517</v>
      </c>
      <c r="AR588" t="s">
        <v>3518</v>
      </c>
      <c r="AS588" t="s">
        <v>3519</v>
      </c>
      <c r="AV588" s="14" t="s">
        <v>72</v>
      </c>
      <c r="AW588" s="14" t="s">
        <v>73</v>
      </c>
      <c r="AX588" s="14" t="s">
        <v>74</v>
      </c>
    </row>
    <row r="589" spans="1:50" ht="15" customHeight="1" x14ac:dyDescent="0.4">
      <c r="A589" s="12">
        <v>1903</v>
      </c>
      <c r="B589" t="s">
        <v>46</v>
      </c>
      <c r="D589" t="s">
        <v>47</v>
      </c>
      <c r="E589" s="13"/>
      <c r="F589" s="41"/>
      <c r="G589" s="65" t="s">
        <v>8185</v>
      </c>
      <c r="H589" s="14" t="s">
        <v>49</v>
      </c>
      <c r="I589" s="15">
        <v>42907</v>
      </c>
      <c r="J589" t="s">
        <v>50</v>
      </c>
      <c r="K589" t="s">
        <v>51</v>
      </c>
      <c r="L589" t="s">
        <v>52</v>
      </c>
      <c r="M589" t="s">
        <v>53</v>
      </c>
      <c r="N589" t="s">
        <v>54</v>
      </c>
      <c r="O589" t="s">
        <v>55</v>
      </c>
      <c r="P589" t="s">
        <v>56</v>
      </c>
      <c r="Q589" t="s">
        <v>57</v>
      </c>
      <c r="R589" s="16" t="s">
        <v>58</v>
      </c>
      <c r="S589" t="s">
        <v>59</v>
      </c>
      <c r="X589" t="s">
        <v>60</v>
      </c>
      <c r="Z589" s="15"/>
      <c r="AB589" s="17">
        <v>35.177030000000002</v>
      </c>
      <c r="AC589" s="17">
        <v>-97.450190000000006</v>
      </c>
      <c r="AD589" t="s">
        <v>61</v>
      </c>
      <c r="AG589" t="s">
        <v>62</v>
      </c>
      <c r="AH589" t="s">
        <v>63</v>
      </c>
      <c r="AI589" t="s">
        <v>64</v>
      </c>
      <c r="AJ589">
        <v>185382</v>
      </c>
      <c r="AL589" t="s">
        <v>65</v>
      </c>
      <c r="AM589" t="s">
        <v>66</v>
      </c>
      <c r="AN589" t="s">
        <v>67</v>
      </c>
      <c r="AO589" t="s">
        <v>68</v>
      </c>
      <c r="AQ589" t="s">
        <v>69</v>
      </c>
      <c r="AR589" t="s">
        <v>70</v>
      </c>
      <c r="AS589" t="s">
        <v>71</v>
      </c>
      <c r="AV589" s="14" t="s">
        <v>72</v>
      </c>
      <c r="AW589" s="14" t="s">
        <v>73</v>
      </c>
      <c r="AX589" s="14" t="s">
        <v>74</v>
      </c>
    </row>
    <row r="590" spans="1:50" ht="15" customHeight="1" x14ac:dyDescent="0.4">
      <c r="A590" s="12">
        <v>1904</v>
      </c>
      <c r="B590" t="s">
        <v>75</v>
      </c>
      <c r="D590" t="s">
        <v>76</v>
      </c>
      <c r="E590" s="13"/>
      <c r="F590" s="41"/>
      <c r="G590" s="65" t="s">
        <v>8185</v>
      </c>
      <c r="H590" s="14" t="s">
        <v>49</v>
      </c>
      <c r="I590" s="15">
        <v>42907</v>
      </c>
      <c r="J590" t="s">
        <v>50</v>
      </c>
      <c r="K590" t="s">
        <v>51</v>
      </c>
      <c r="L590" t="s">
        <v>52</v>
      </c>
      <c r="M590" t="s">
        <v>53</v>
      </c>
      <c r="N590" t="s">
        <v>54</v>
      </c>
      <c r="O590" t="s">
        <v>55</v>
      </c>
      <c r="P590" t="s">
        <v>56</v>
      </c>
      <c r="Q590" t="s">
        <v>57</v>
      </c>
      <c r="R590" s="16" t="s">
        <v>58</v>
      </c>
      <c r="S590" t="s">
        <v>77</v>
      </c>
      <c r="X590" t="s">
        <v>78</v>
      </c>
      <c r="Y590" t="s">
        <v>79</v>
      </c>
      <c r="Z590" s="15">
        <v>45597</v>
      </c>
      <c r="AA590" t="s">
        <v>48</v>
      </c>
      <c r="AB590" s="17">
        <v>35.177050000000001</v>
      </c>
      <c r="AC590" s="17">
        <v>-97.449209999999994</v>
      </c>
      <c r="AD590" t="s">
        <v>80</v>
      </c>
      <c r="AG590" t="s">
        <v>62</v>
      </c>
      <c r="AH590" t="s">
        <v>63</v>
      </c>
      <c r="AI590" t="s">
        <v>81</v>
      </c>
      <c r="AJ590">
        <v>185383</v>
      </c>
      <c r="AL590" t="s">
        <v>82</v>
      </c>
      <c r="AM590" t="s">
        <v>83</v>
      </c>
      <c r="AN590" t="s">
        <v>84</v>
      </c>
      <c r="AO590" t="s">
        <v>68</v>
      </c>
      <c r="AQ590" t="s">
        <v>86</v>
      </c>
      <c r="AR590" t="s">
        <v>87</v>
      </c>
      <c r="AS590" t="s">
        <v>88</v>
      </c>
      <c r="AT590" s="31" t="s">
        <v>89</v>
      </c>
      <c r="AU590" s="31" t="s">
        <v>85</v>
      </c>
      <c r="AV590" s="14" t="s">
        <v>72</v>
      </c>
      <c r="AW590" s="14" t="s">
        <v>73</v>
      </c>
      <c r="AX590" s="14" t="s">
        <v>74</v>
      </c>
    </row>
    <row r="591" spans="1:50" ht="15" customHeight="1" x14ac:dyDescent="0.4">
      <c r="A591" s="12">
        <v>1905</v>
      </c>
      <c r="B591" t="s">
        <v>90</v>
      </c>
      <c r="D591" t="s">
        <v>91</v>
      </c>
      <c r="E591" s="13"/>
      <c r="F591" s="41"/>
      <c r="G591" s="65" t="s">
        <v>8185</v>
      </c>
      <c r="H591" s="14" t="s">
        <v>49</v>
      </c>
      <c r="I591" s="15">
        <v>42907</v>
      </c>
      <c r="J591" t="s">
        <v>50</v>
      </c>
      <c r="K591" t="s">
        <v>51</v>
      </c>
      <c r="L591" t="s">
        <v>52</v>
      </c>
      <c r="M591" t="s">
        <v>53</v>
      </c>
      <c r="N591" t="s">
        <v>54</v>
      </c>
      <c r="O591" t="s">
        <v>55</v>
      </c>
      <c r="P591" t="s">
        <v>56</v>
      </c>
      <c r="Q591" t="s">
        <v>57</v>
      </c>
      <c r="R591" s="16" t="s">
        <v>58</v>
      </c>
      <c r="S591" t="s">
        <v>77</v>
      </c>
      <c r="X591" t="s">
        <v>60</v>
      </c>
      <c r="Z591" s="15"/>
      <c r="AB591" s="17">
        <v>35.177219999999998</v>
      </c>
      <c r="AC591" s="17">
        <v>-97.449669999999998</v>
      </c>
      <c r="AD591" t="s">
        <v>92</v>
      </c>
      <c r="AG591" t="s">
        <v>62</v>
      </c>
      <c r="AH591" t="s">
        <v>63</v>
      </c>
      <c r="AI591" t="s">
        <v>93</v>
      </c>
      <c r="AJ591">
        <v>185384</v>
      </c>
      <c r="AL591" t="s">
        <v>94</v>
      </c>
      <c r="AM591" t="s">
        <v>95</v>
      </c>
      <c r="AN591" t="s">
        <v>96</v>
      </c>
      <c r="AO591" t="s">
        <v>68</v>
      </c>
      <c r="AQ591" t="s">
        <v>97</v>
      </c>
      <c r="AR591" t="s">
        <v>98</v>
      </c>
      <c r="AS591" t="s">
        <v>99</v>
      </c>
      <c r="AV591" s="14" t="s">
        <v>72</v>
      </c>
      <c r="AW591" s="14" t="s">
        <v>73</v>
      </c>
      <c r="AX591" s="14" t="s">
        <v>74</v>
      </c>
    </row>
    <row r="592" spans="1:50" ht="15" customHeight="1" x14ac:dyDescent="0.4">
      <c r="A592" s="12">
        <v>1906</v>
      </c>
      <c r="B592" t="s">
        <v>100</v>
      </c>
      <c r="D592" t="s">
        <v>101</v>
      </c>
      <c r="E592" s="13"/>
      <c r="F592" s="41"/>
      <c r="G592" s="65" t="s">
        <v>8185</v>
      </c>
      <c r="H592" s="14" t="s">
        <v>49</v>
      </c>
      <c r="I592" s="15">
        <v>42907</v>
      </c>
      <c r="J592" t="s">
        <v>50</v>
      </c>
      <c r="K592" t="s">
        <v>51</v>
      </c>
      <c r="L592" t="s">
        <v>52</v>
      </c>
      <c r="M592" t="s">
        <v>53</v>
      </c>
      <c r="N592" t="s">
        <v>54</v>
      </c>
      <c r="O592" t="s">
        <v>55</v>
      </c>
      <c r="P592" t="s">
        <v>56</v>
      </c>
      <c r="Q592" t="s">
        <v>57</v>
      </c>
      <c r="R592" s="16" t="s">
        <v>58</v>
      </c>
      <c r="S592" t="s">
        <v>77</v>
      </c>
      <c r="X592" t="s">
        <v>60</v>
      </c>
      <c r="Z592" s="15"/>
      <c r="AB592" s="17">
        <v>35.177039999999998</v>
      </c>
      <c r="AC592" s="17">
        <v>-97.449770000000001</v>
      </c>
      <c r="AD592" t="s">
        <v>102</v>
      </c>
      <c r="AG592" t="s">
        <v>62</v>
      </c>
      <c r="AH592" t="s">
        <v>63</v>
      </c>
      <c r="AI592" t="s">
        <v>103</v>
      </c>
      <c r="AJ592">
        <v>185385</v>
      </c>
      <c r="AL592" t="s">
        <v>104</v>
      </c>
      <c r="AM592" t="s">
        <v>105</v>
      </c>
      <c r="AN592" t="s">
        <v>106</v>
      </c>
      <c r="AO592" t="s">
        <v>68</v>
      </c>
      <c r="AQ592" t="s">
        <v>107</v>
      </c>
      <c r="AR592" t="s">
        <v>108</v>
      </c>
      <c r="AS592" t="s">
        <v>109</v>
      </c>
      <c r="AV592" s="14" t="s">
        <v>72</v>
      </c>
      <c r="AW592" s="14" t="s">
        <v>73</v>
      </c>
      <c r="AX592" s="14" t="s">
        <v>74</v>
      </c>
    </row>
    <row r="593" spans="1:50" ht="15" customHeight="1" x14ac:dyDescent="0.4">
      <c r="A593" s="12">
        <v>1907</v>
      </c>
      <c r="B593" t="s">
        <v>110</v>
      </c>
      <c r="D593" t="s">
        <v>111</v>
      </c>
      <c r="E593" s="13"/>
      <c r="F593" s="41"/>
      <c r="G593" s="65" t="s">
        <v>8185</v>
      </c>
      <c r="H593" s="14" t="s">
        <v>49</v>
      </c>
      <c r="I593" s="15">
        <v>42907</v>
      </c>
      <c r="J593" t="s">
        <v>50</v>
      </c>
      <c r="K593" t="s">
        <v>51</v>
      </c>
      <c r="L593" t="s">
        <v>52</v>
      </c>
      <c r="M593" t="s">
        <v>53</v>
      </c>
      <c r="N593" t="s">
        <v>54</v>
      </c>
      <c r="O593" t="s">
        <v>55</v>
      </c>
      <c r="P593" t="s">
        <v>56</v>
      </c>
      <c r="Q593" t="s">
        <v>57</v>
      </c>
      <c r="R593" s="16" t="s">
        <v>58</v>
      </c>
      <c r="S593" t="s">
        <v>77</v>
      </c>
      <c r="X593" t="s">
        <v>78</v>
      </c>
      <c r="Y593" t="s">
        <v>79</v>
      </c>
      <c r="Z593" s="15">
        <v>45597</v>
      </c>
      <c r="AA593" t="s">
        <v>48</v>
      </c>
      <c r="AB593" s="17">
        <v>35.176879999999997</v>
      </c>
      <c r="AC593" s="17">
        <v>-97.449700000000007</v>
      </c>
      <c r="AD593" t="s">
        <v>112</v>
      </c>
      <c r="AG593" t="s">
        <v>62</v>
      </c>
      <c r="AH593" t="s">
        <v>63</v>
      </c>
      <c r="AI593" t="s">
        <v>113</v>
      </c>
      <c r="AJ593">
        <v>185386</v>
      </c>
      <c r="AL593" t="s">
        <v>114</v>
      </c>
      <c r="AM593" t="s">
        <v>115</v>
      </c>
      <c r="AN593" t="s">
        <v>116</v>
      </c>
      <c r="AO593" t="s">
        <v>68</v>
      </c>
      <c r="AQ593" t="s">
        <v>117</v>
      </c>
      <c r="AR593" t="s">
        <v>118</v>
      </c>
      <c r="AS593" t="s">
        <v>119</v>
      </c>
      <c r="AT593" s="31" t="s">
        <v>120</v>
      </c>
      <c r="AU593" s="31" t="s">
        <v>85</v>
      </c>
      <c r="AV593" s="14" t="s">
        <v>72</v>
      </c>
      <c r="AW593" s="14" t="s">
        <v>73</v>
      </c>
      <c r="AX593" s="14" t="s">
        <v>74</v>
      </c>
    </row>
    <row r="594" spans="1:50" ht="15" customHeight="1" x14ac:dyDescent="0.4">
      <c r="A594" s="12">
        <v>1908</v>
      </c>
      <c r="B594" t="s">
        <v>121</v>
      </c>
      <c r="D594" t="s">
        <v>122</v>
      </c>
      <c r="E594" s="13"/>
      <c r="F594" s="41"/>
      <c r="G594" s="65" t="s">
        <v>8185</v>
      </c>
      <c r="H594" s="14" t="s">
        <v>49</v>
      </c>
      <c r="I594" s="15">
        <v>42907</v>
      </c>
      <c r="J594" t="s">
        <v>50</v>
      </c>
      <c r="K594" t="s">
        <v>51</v>
      </c>
      <c r="L594" t="s">
        <v>52</v>
      </c>
      <c r="M594" t="s">
        <v>53</v>
      </c>
      <c r="N594" t="s">
        <v>54</v>
      </c>
      <c r="O594" t="s">
        <v>55</v>
      </c>
      <c r="P594" t="s">
        <v>56</v>
      </c>
      <c r="Q594" t="s">
        <v>57</v>
      </c>
      <c r="R594" s="16" t="s">
        <v>58</v>
      </c>
      <c r="S594" t="s">
        <v>77</v>
      </c>
      <c r="X594" t="s">
        <v>60</v>
      </c>
      <c r="Z594" s="15"/>
      <c r="AB594" s="17">
        <v>35.176690000000001</v>
      </c>
      <c r="AC594" s="17">
        <v>-97.449879999999993</v>
      </c>
      <c r="AD594" t="s">
        <v>123</v>
      </c>
      <c r="AG594" t="s">
        <v>62</v>
      </c>
      <c r="AH594" t="s">
        <v>63</v>
      </c>
      <c r="AI594" t="s">
        <v>124</v>
      </c>
      <c r="AJ594">
        <v>185387</v>
      </c>
      <c r="AL594" t="s">
        <v>125</v>
      </c>
      <c r="AM594" t="s">
        <v>126</v>
      </c>
      <c r="AN594" t="s">
        <v>127</v>
      </c>
      <c r="AO594" t="s">
        <v>68</v>
      </c>
      <c r="AQ594" t="s">
        <v>128</v>
      </c>
      <c r="AR594" t="s">
        <v>129</v>
      </c>
      <c r="AS594" t="s">
        <v>130</v>
      </c>
      <c r="AV594" s="14" t="s">
        <v>72</v>
      </c>
      <c r="AW594" s="14" t="s">
        <v>73</v>
      </c>
      <c r="AX594" s="14" t="s">
        <v>74</v>
      </c>
    </row>
    <row r="595" spans="1:50" ht="15" customHeight="1" x14ac:dyDescent="0.4">
      <c r="A595" s="12">
        <v>1909</v>
      </c>
      <c r="B595" t="s">
        <v>131</v>
      </c>
      <c r="D595" t="s">
        <v>132</v>
      </c>
      <c r="E595" s="13"/>
      <c r="F595" s="41"/>
      <c r="G595" s="65" t="s">
        <v>8185</v>
      </c>
      <c r="H595" s="14" t="s">
        <v>49</v>
      </c>
      <c r="I595" s="15">
        <v>42907</v>
      </c>
      <c r="J595" t="s">
        <v>50</v>
      </c>
      <c r="K595" t="s">
        <v>51</v>
      </c>
      <c r="L595" t="s">
        <v>52</v>
      </c>
      <c r="M595" t="s">
        <v>53</v>
      </c>
      <c r="N595" t="s">
        <v>54</v>
      </c>
      <c r="O595" t="s">
        <v>55</v>
      </c>
      <c r="P595" t="s">
        <v>56</v>
      </c>
      <c r="Q595" t="s">
        <v>57</v>
      </c>
      <c r="R595" s="16" t="s">
        <v>58</v>
      </c>
      <c r="S595" t="s">
        <v>77</v>
      </c>
      <c r="X595" t="s">
        <v>60</v>
      </c>
      <c r="Z595" s="15"/>
      <c r="AB595" s="17">
        <v>35.176349999999999</v>
      </c>
      <c r="AC595" s="17">
        <v>-97.450090000000003</v>
      </c>
      <c r="AD595" t="s">
        <v>133</v>
      </c>
      <c r="AG595" t="s">
        <v>62</v>
      </c>
      <c r="AH595" t="s">
        <v>63</v>
      </c>
      <c r="AI595" t="s">
        <v>134</v>
      </c>
      <c r="AJ595">
        <v>185388</v>
      </c>
      <c r="AL595" t="s">
        <v>135</v>
      </c>
      <c r="AM595" t="s">
        <v>136</v>
      </c>
      <c r="AN595" t="s">
        <v>137</v>
      </c>
      <c r="AO595" t="s">
        <v>68</v>
      </c>
      <c r="AQ595" t="s">
        <v>138</v>
      </c>
      <c r="AR595" t="s">
        <v>139</v>
      </c>
      <c r="AS595" t="s">
        <v>140</v>
      </c>
      <c r="AV595" s="14" t="s">
        <v>72</v>
      </c>
      <c r="AW595" s="14" t="s">
        <v>73</v>
      </c>
      <c r="AX595" s="14" t="s">
        <v>74</v>
      </c>
    </row>
    <row r="596" spans="1:50" ht="15" customHeight="1" x14ac:dyDescent="0.4">
      <c r="A596" s="12">
        <v>1910</v>
      </c>
      <c r="B596" t="s">
        <v>141</v>
      </c>
      <c r="D596" t="s">
        <v>142</v>
      </c>
      <c r="E596" s="13"/>
      <c r="F596" s="41"/>
      <c r="G596" s="65" t="s">
        <v>8185</v>
      </c>
      <c r="H596" s="14" t="s">
        <v>49</v>
      </c>
      <c r="I596" s="15">
        <v>42907</v>
      </c>
      <c r="J596" t="s">
        <v>50</v>
      </c>
      <c r="K596" t="s">
        <v>51</v>
      </c>
      <c r="L596" t="s">
        <v>52</v>
      </c>
      <c r="M596" t="s">
        <v>53</v>
      </c>
      <c r="N596" t="s">
        <v>54</v>
      </c>
      <c r="O596" t="s">
        <v>55</v>
      </c>
      <c r="P596" t="s">
        <v>56</v>
      </c>
      <c r="Q596" t="s">
        <v>57</v>
      </c>
      <c r="R596" s="16" t="s">
        <v>58</v>
      </c>
      <c r="S596" t="s">
        <v>77</v>
      </c>
      <c r="X596" t="s">
        <v>60</v>
      </c>
      <c r="Z596" s="15"/>
      <c r="AB596" s="17">
        <v>35.176949999999998</v>
      </c>
      <c r="AC596" s="17">
        <v>-97.449960000000004</v>
      </c>
      <c r="AD596" t="s">
        <v>143</v>
      </c>
      <c r="AG596" t="s">
        <v>62</v>
      </c>
      <c r="AH596" t="s">
        <v>63</v>
      </c>
      <c r="AI596" t="s">
        <v>144</v>
      </c>
      <c r="AJ596">
        <v>184679</v>
      </c>
      <c r="AL596" t="s">
        <v>145</v>
      </c>
      <c r="AM596" t="s">
        <v>146</v>
      </c>
      <c r="AN596" t="s">
        <v>147</v>
      </c>
      <c r="AO596" t="s">
        <v>68</v>
      </c>
      <c r="AQ596" t="s">
        <v>148</v>
      </c>
      <c r="AR596" t="s">
        <v>149</v>
      </c>
      <c r="AS596" t="s">
        <v>150</v>
      </c>
      <c r="AV596" s="14" t="s">
        <v>72</v>
      </c>
      <c r="AW596" s="14" t="s">
        <v>73</v>
      </c>
      <c r="AX596" s="14" t="s">
        <v>74</v>
      </c>
    </row>
    <row r="597" spans="1:50" ht="15" customHeight="1" x14ac:dyDescent="0.4">
      <c r="A597" s="12">
        <v>1911</v>
      </c>
      <c r="B597" t="s">
        <v>151</v>
      </c>
      <c r="D597" t="s">
        <v>152</v>
      </c>
      <c r="E597" s="13"/>
      <c r="F597" s="41"/>
      <c r="G597" s="65" t="s">
        <v>8185</v>
      </c>
      <c r="H597" s="14" t="s">
        <v>49</v>
      </c>
      <c r="I597" s="15">
        <v>42907</v>
      </c>
      <c r="J597" t="s">
        <v>50</v>
      </c>
      <c r="K597" t="s">
        <v>51</v>
      </c>
      <c r="L597" t="s">
        <v>52</v>
      </c>
      <c r="M597" t="s">
        <v>53</v>
      </c>
      <c r="N597" t="s">
        <v>54</v>
      </c>
      <c r="O597" t="s">
        <v>55</v>
      </c>
      <c r="P597" t="s">
        <v>56</v>
      </c>
      <c r="Q597" t="s">
        <v>57</v>
      </c>
      <c r="R597" s="16" t="s">
        <v>58</v>
      </c>
      <c r="S597" t="s">
        <v>77</v>
      </c>
      <c r="X597" t="s">
        <v>60</v>
      </c>
      <c r="Z597" s="15"/>
      <c r="AB597" s="17">
        <v>35.177140000000001</v>
      </c>
      <c r="AC597" s="17">
        <v>-97.450050000000005</v>
      </c>
      <c r="AD597" t="s">
        <v>153</v>
      </c>
      <c r="AG597" t="s">
        <v>62</v>
      </c>
      <c r="AH597" t="s">
        <v>63</v>
      </c>
      <c r="AI597" t="s">
        <v>154</v>
      </c>
      <c r="AJ597">
        <v>185825</v>
      </c>
      <c r="AL597" t="s">
        <v>155</v>
      </c>
      <c r="AM597" t="s">
        <v>156</v>
      </c>
      <c r="AN597" t="s">
        <v>157</v>
      </c>
      <c r="AO597" t="s">
        <v>68</v>
      </c>
      <c r="AQ597" t="s">
        <v>158</v>
      </c>
      <c r="AR597" t="s">
        <v>159</v>
      </c>
      <c r="AS597" t="s">
        <v>160</v>
      </c>
      <c r="AV597" s="14" t="s">
        <v>72</v>
      </c>
      <c r="AW597" s="14" t="s">
        <v>73</v>
      </c>
      <c r="AX597" s="14" t="s">
        <v>74</v>
      </c>
    </row>
    <row r="598" spans="1:50" ht="15" customHeight="1" x14ac:dyDescent="0.4">
      <c r="A598" s="12">
        <v>1912</v>
      </c>
      <c r="B598" t="s">
        <v>161</v>
      </c>
      <c r="D598" t="s">
        <v>162</v>
      </c>
      <c r="E598" s="13"/>
      <c r="F598" s="41"/>
      <c r="G598" s="65" t="s">
        <v>8185</v>
      </c>
      <c r="H598" s="14" t="s">
        <v>49</v>
      </c>
      <c r="I598" s="15">
        <v>42907</v>
      </c>
      <c r="J598" t="s">
        <v>50</v>
      </c>
      <c r="K598" t="s">
        <v>51</v>
      </c>
      <c r="L598" t="s">
        <v>52</v>
      </c>
      <c r="M598" t="s">
        <v>53</v>
      </c>
      <c r="N598" t="s">
        <v>54</v>
      </c>
      <c r="O598" t="s">
        <v>55</v>
      </c>
      <c r="P598" t="s">
        <v>56</v>
      </c>
      <c r="Q598" t="s">
        <v>57</v>
      </c>
      <c r="R598" s="16" t="s">
        <v>58</v>
      </c>
      <c r="S598" t="s">
        <v>77</v>
      </c>
      <c r="X598" t="s">
        <v>78</v>
      </c>
      <c r="Y598" t="s">
        <v>79</v>
      </c>
      <c r="Z598" s="15">
        <v>45597</v>
      </c>
      <c r="AA598" t="s">
        <v>48</v>
      </c>
      <c r="AB598" s="17">
        <v>35.177219999999998</v>
      </c>
      <c r="AC598" s="17">
        <v>-97.450029999999998</v>
      </c>
      <c r="AD598" t="s">
        <v>163</v>
      </c>
      <c r="AG598" t="s">
        <v>62</v>
      </c>
      <c r="AH598" t="s">
        <v>63</v>
      </c>
      <c r="AI598" t="s">
        <v>164</v>
      </c>
      <c r="AJ598">
        <v>185389</v>
      </c>
      <c r="AL598" t="s">
        <v>165</v>
      </c>
      <c r="AM598" t="s">
        <v>166</v>
      </c>
      <c r="AN598" t="s">
        <v>167</v>
      </c>
      <c r="AO598" t="s">
        <v>68</v>
      </c>
      <c r="AQ598" t="s">
        <v>168</v>
      </c>
      <c r="AR598" t="s">
        <v>169</v>
      </c>
      <c r="AS598" t="s">
        <v>170</v>
      </c>
      <c r="AT598" s="31" t="s">
        <v>171</v>
      </c>
      <c r="AU598" s="31" t="s">
        <v>85</v>
      </c>
      <c r="AV598" s="14" t="s">
        <v>72</v>
      </c>
      <c r="AW598" s="14" t="s">
        <v>73</v>
      </c>
      <c r="AX598" s="14" t="s">
        <v>74</v>
      </c>
    </row>
    <row r="599" spans="1:50" ht="15" customHeight="1" x14ac:dyDescent="0.4">
      <c r="A599" s="33">
        <v>2066</v>
      </c>
      <c r="B599" s="34" t="s">
        <v>713</v>
      </c>
      <c r="C599" s="34"/>
      <c r="D599" s="34" t="s">
        <v>714</v>
      </c>
      <c r="E599" s="35"/>
      <c r="F599" s="42"/>
      <c r="G599" s="65" t="s">
        <v>8185</v>
      </c>
      <c r="H599" s="34" t="s">
        <v>49</v>
      </c>
      <c r="I599" s="36"/>
      <c r="J599" s="34" t="s">
        <v>649</v>
      </c>
      <c r="K599" s="34" t="s">
        <v>51</v>
      </c>
      <c r="L599" s="36" t="s">
        <v>650</v>
      </c>
      <c r="M599" s="34" t="s">
        <v>53</v>
      </c>
      <c r="N599" s="34" t="s">
        <v>651</v>
      </c>
      <c r="O599" s="34" t="s">
        <v>715</v>
      </c>
      <c r="P599" s="34" t="s">
        <v>56</v>
      </c>
      <c r="Q599" s="37" t="s">
        <v>716</v>
      </c>
      <c r="R599" s="34"/>
      <c r="S599" s="34" t="s">
        <v>717</v>
      </c>
      <c r="T599" s="34" t="s">
        <v>655</v>
      </c>
      <c r="U599" s="34"/>
      <c r="V599" s="34"/>
      <c r="W599" s="34"/>
      <c r="X599" s="34" t="s">
        <v>49</v>
      </c>
      <c r="Y599" s="34"/>
      <c r="Z599" s="36"/>
      <c r="AA599" s="34"/>
      <c r="AB599" s="34">
        <v>38.842944000000003</v>
      </c>
      <c r="AC599" s="34">
        <v>-97.588909000000001</v>
      </c>
      <c r="AD599" s="34"/>
      <c r="AE599" s="34"/>
      <c r="AF599" s="34"/>
      <c r="AG599" s="34" t="s">
        <v>62</v>
      </c>
      <c r="AH599" s="34" t="s">
        <v>63</v>
      </c>
      <c r="AI599" s="38" t="s">
        <v>718</v>
      </c>
      <c r="AJ599" s="34">
        <v>185356</v>
      </c>
      <c r="AK599" s="34" t="s">
        <v>719</v>
      </c>
      <c r="AL599" s="34" t="s">
        <v>720</v>
      </c>
      <c r="AM599" s="34" t="s">
        <v>721</v>
      </c>
      <c r="AN599" s="39" t="s">
        <v>722</v>
      </c>
      <c r="AO599" s="34" t="s">
        <v>68</v>
      </c>
      <c r="AP599" s="34"/>
      <c r="AQ599" s="34" t="s">
        <v>723</v>
      </c>
      <c r="AR599" s="34" t="s">
        <v>724</v>
      </c>
      <c r="AS599" s="34" t="s">
        <v>725</v>
      </c>
      <c r="AV599" s="34" t="s">
        <v>72</v>
      </c>
      <c r="AW599" s="34" t="s">
        <v>73</v>
      </c>
      <c r="AX599" s="34" t="s">
        <v>74</v>
      </c>
    </row>
    <row r="600" spans="1:50" ht="15" customHeight="1" x14ac:dyDescent="0.4">
      <c r="A600" s="33">
        <v>2067</v>
      </c>
      <c r="B600" s="34" t="s">
        <v>726</v>
      </c>
      <c r="C600" s="34"/>
      <c r="D600" s="34" t="s">
        <v>727</v>
      </c>
      <c r="E600" s="35"/>
      <c r="F600" s="42"/>
      <c r="G600" s="65" t="s">
        <v>8185</v>
      </c>
      <c r="H600" s="34" t="s">
        <v>49</v>
      </c>
      <c r="I600" s="36"/>
      <c r="J600" s="34" t="s">
        <v>649</v>
      </c>
      <c r="K600" s="34" t="s">
        <v>51</v>
      </c>
      <c r="L600" s="36" t="s">
        <v>650</v>
      </c>
      <c r="M600" s="34" t="s">
        <v>53</v>
      </c>
      <c r="N600" s="34" t="s">
        <v>651</v>
      </c>
      <c r="O600" s="34" t="s">
        <v>715</v>
      </c>
      <c r="P600" s="34" t="s">
        <v>56</v>
      </c>
      <c r="Q600" s="37" t="s">
        <v>716</v>
      </c>
      <c r="R600" s="34"/>
      <c r="S600" s="34" t="s">
        <v>717</v>
      </c>
      <c r="T600" s="34" t="s">
        <v>655</v>
      </c>
      <c r="U600" s="34"/>
      <c r="V600" s="34"/>
      <c r="W600" s="34"/>
      <c r="X600" s="34" t="s">
        <v>49</v>
      </c>
      <c r="Y600" s="34"/>
      <c r="Z600" s="36"/>
      <c r="AA600" s="34"/>
      <c r="AB600" s="34">
        <v>38.842944000000003</v>
      </c>
      <c r="AC600" s="34">
        <v>-97.588909000000001</v>
      </c>
      <c r="AD600" s="34"/>
      <c r="AE600" s="34"/>
      <c r="AF600" s="34"/>
      <c r="AG600" s="34" t="s">
        <v>62</v>
      </c>
      <c r="AH600" s="34" t="s">
        <v>63</v>
      </c>
      <c r="AI600" s="38" t="s">
        <v>718</v>
      </c>
      <c r="AJ600" s="34">
        <v>185356</v>
      </c>
      <c r="AK600" s="34" t="s">
        <v>719</v>
      </c>
      <c r="AL600" s="34" t="s">
        <v>720</v>
      </c>
      <c r="AM600" s="34" t="s">
        <v>721</v>
      </c>
      <c r="AN600" s="34" t="s">
        <v>722</v>
      </c>
      <c r="AO600" s="34" t="s">
        <v>68</v>
      </c>
      <c r="AP600" s="34"/>
      <c r="AQ600" s="34" t="s">
        <v>728</v>
      </c>
      <c r="AR600" s="34" t="s">
        <v>729</v>
      </c>
      <c r="AS600" s="34" t="s">
        <v>730</v>
      </c>
      <c r="AV600" s="34" t="s">
        <v>72</v>
      </c>
      <c r="AW600" s="34" t="s">
        <v>73</v>
      </c>
      <c r="AX600" s="34" t="s">
        <v>74</v>
      </c>
    </row>
    <row r="601" spans="1:50" ht="15" customHeight="1" x14ac:dyDescent="0.4">
      <c r="A601" s="33">
        <v>2068</v>
      </c>
      <c r="B601" s="34" t="s">
        <v>731</v>
      </c>
      <c r="C601" s="34"/>
      <c r="D601" s="34" t="s">
        <v>732</v>
      </c>
      <c r="E601" s="35"/>
      <c r="F601" s="42"/>
      <c r="G601" s="65" t="s">
        <v>8185</v>
      </c>
      <c r="H601" s="34" t="s">
        <v>49</v>
      </c>
      <c r="I601" s="36"/>
      <c r="J601" s="34" t="s">
        <v>649</v>
      </c>
      <c r="K601" s="34" t="s">
        <v>51</v>
      </c>
      <c r="L601" s="36" t="s">
        <v>650</v>
      </c>
      <c r="M601" s="34" t="s">
        <v>53</v>
      </c>
      <c r="N601" s="34" t="s">
        <v>651</v>
      </c>
      <c r="O601" s="34" t="s">
        <v>715</v>
      </c>
      <c r="P601" s="34" t="s">
        <v>56</v>
      </c>
      <c r="Q601" s="37" t="s">
        <v>716</v>
      </c>
      <c r="R601" s="34"/>
      <c r="S601" s="34" t="s">
        <v>717</v>
      </c>
      <c r="T601" s="34" t="s">
        <v>655</v>
      </c>
      <c r="U601" s="34"/>
      <c r="V601" s="34"/>
      <c r="W601" s="34"/>
      <c r="X601" s="34" t="s">
        <v>49</v>
      </c>
      <c r="Y601" s="34"/>
      <c r="Z601" s="36"/>
      <c r="AA601" s="34"/>
      <c r="AB601" s="34">
        <v>38.842944000000003</v>
      </c>
      <c r="AC601" s="34">
        <v>-97.588909000000001</v>
      </c>
      <c r="AD601" s="34"/>
      <c r="AE601" s="34"/>
      <c r="AF601" s="34"/>
      <c r="AG601" s="34" t="s">
        <v>62</v>
      </c>
      <c r="AH601" s="34" t="s">
        <v>63</v>
      </c>
      <c r="AI601" s="38" t="s">
        <v>718</v>
      </c>
      <c r="AJ601" s="34">
        <v>185356</v>
      </c>
      <c r="AK601" s="34" t="s">
        <v>719</v>
      </c>
      <c r="AL601" s="34" t="s">
        <v>720</v>
      </c>
      <c r="AM601" s="34" t="s">
        <v>721</v>
      </c>
      <c r="AN601" s="34" t="s">
        <v>722</v>
      </c>
      <c r="AO601" s="34" t="s">
        <v>68</v>
      </c>
      <c r="AP601" s="34"/>
      <c r="AQ601" s="34" t="s">
        <v>733</v>
      </c>
      <c r="AR601" s="34" t="s">
        <v>734</v>
      </c>
      <c r="AS601" s="34" t="s">
        <v>735</v>
      </c>
      <c r="AT601" s="31" t="s">
        <v>736</v>
      </c>
      <c r="AU601" s="31" t="s">
        <v>85</v>
      </c>
      <c r="AV601" s="34" t="s">
        <v>72</v>
      </c>
      <c r="AW601" s="34" t="s">
        <v>73</v>
      </c>
      <c r="AX601" s="34" t="s">
        <v>74</v>
      </c>
    </row>
    <row r="602" spans="1:50" ht="15" customHeight="1" x14ac:dyDescent="0.4">
      <c r="A602" s="33">
        <v>2069</v>
      </c>
      <c r="B602" s="34" t="s">
        <v>737</v>
      </c>
      <c r="C602" s="34"/>
      <c r="D602" s="34" t="s">
        <v>738</v>
      </c>
      <c r="E602" s="35"/>
      <c r="F602" s="42"/>
      <c r="G602" s="65" t="s">
        <v>8185</v>
      </c>
      <c r="H602" s="34" t="s">
        <v>49</v>
      </c>
      <c r="I602" s="36"/>
      <c r="J602" s="34" t="s">
        <v>649</v>
      </c>
      <c r="K602" s="34" t="s">
        <v>51</v>
      </c>
      <c r="L602" s="36" t="s">
        <v>650</v>
      </c>
      <c r="M602" s="34" t="s">
        <v>53</v>
      </c>
      <c r="N602" s="34" t="s">
        <v>651</v>
      </c>
      <c r="O602" s="34" t="s">
        <v>715</v>
      </c>
      <c r="P602" s="34" t="s">
        <v>56</v>
      </c>
      <c r="Q602" s="37" t="s">
        <v>716</v>
      </c>
      <c r="R602" s="34"/>
      <c r="S602" s="34" t="s">
        <v>717</v>
      </c>
      <c r="T602" s="34" t="s">
        <v>655</v>
      </c>
      <c r="U602" s="34"/>
      <c r="V602" s="34"/>
      <c r="W602" s="34"/>
      <c r="X602" s="34" t="s">
        <v>49</v>
      </c>
      <c r="Y602" s="34"/>
      <c r="Z602" s="36"/>
      <c r="AA602" s="34"/>
      <c r="AB602" s="34">
        <v>38.842944000000003</v>
      </c>
      <c r="AC602" s="34">
        <v>-97.588909000000001</v>
      </c>
      <c r="AD602" s="34"/>
      <c r="AE602" s="34"/>
      <c r="AF602" s="34"/>
      <c r="AG602" s="34" t="s">
        <v>62</v>
      </c>
      <c r="AH602" s="34" t="s">
        <v>63</v>
      </c>
      <c r="AI602" s="38" t="s">
        <v>718</v>
      </c>
      <c r="AJ602" s="34">
        <v>185356</v>
      </c>
      <c r="AK602" s="34" t="s">
        <v>719</v>
      </c>
      <c r="AL602" s="34" t="s">
        <v>720</v>
      </c>
      <c r="AM602" s="34" t="s">
        <v>721</v>
      </c>
      <c r="AN602" s="34" t="s">
        <v>722</v>
      </c>
      <c r="AO602" s="34" t="s">
        <v>68</v>
      </c>
      <c r="AP602" s="34"/>
      <c r="AQ602" s="34" t="s">
        <v>739</v>
      </c>
      <c r="AR602" s="34" t="s">
        <v>740</v>
      </c>
      <c r="AS602" s="34" t="s">
        <v>741</v>
      </c>
      <c r="AT602" s="31" t="s">
        <v>742</v>
      </c>
      <c r="AU602" s="31" t="s">
        <v>85</v>
      </c>
      <c r="AV602" s="34" t="s">
        <v>72</v>
      </c>
      <c r="AW602" s="34" t="s">
        <v>73</v>
      </c>
      <c r="AX602" s="34" t="s">
        <v>74</v>
      </c>
    </row>
    <row r="603" spans="1:50" ht="15" customHeight="1" x14ac:dyDescent="0.4">
      <c r="A603" s="33">
        <v>2070</v>
      </c>
      <c r="B603" s="34" t="s">
        <v>743</v>
      </c>
      <c r="C603" s="34"/>
      <c r="D603" s="34" t="s">
        <v>744</v>
      </c>
      <c r="E603" s="35"/>
      <c r="F603" s="42"/>
      <c r="G603" s="65" t="s">
        <v>8185</v>
      </c>
      <c r="H603" s="34" t="s">
        <v>49</v>
      </c>
      <c r="I603" s="36"/>
      <c r="J603" s="34" t="s">
        <v>649</v>
      </c>
      <c r="K603" s="34" t="s">
        <v>51</v>
      </c>
      <c r="L603" s="36" t="s">
        <v>650</v>
      </c>
      <c r="M603" s="34" t="s">
        <v>53</v>
      </c>
      <c r="N603" s="34" t="s">
        <v>651</v>
      </c>
      <c r="O603" s="34" t="s">
        <v>715</v>
      </c>
      <c r="P603" s="34" t="s">
        <v>56</v>
      </c>
      <c r="Q603" s="37" t="s">
        <v>716</v>
      </c>
      <c r="R603" s="34"/>
      <c r="S603" s="34" t="s">
        <v>717</v>
      </c>
      <c r="T603" s="34" t="s">
        <v>655</v>
      </c>
      <c r="U603" s="34"/>
      <c r="V603" s="34"/>
      <c r="W603" s="34"/>
      <c r="X603" s="34" t="s">
        <v>49</v>
      </c>
      <c r="Y603" s="34"/>
      <c r="Z603" s="36"/>
      <c r="AA603" s="34"/>
      <c r="AB603" s="34">
        <v>38.842944000000003</v>
      </c>
      <c r="AC603" s="34">
        <v>-97.588909000000001</v>
      </c>
      <c r="AD603" s="34"/>
      <c r="AE603" s="34"/>
      <c r="AF603" s="34"/>
      <c r="AG603" s="34" t="s">
        <v>62</v>
      </c>
      <c r="AH603" s="34" t="s">
        <v>63</v>
      </c>
      <c r="AI603" s="38" t="s">
        <v>718</v>
      </c>
      <c r="AJ603" s="34">
        <v>185356</v>
      </c>
      <c r="AK603" s="34" t="s">
        <v>719</v>
      </c>
      <c r="AL603" s="34" t="s">
        <v>720</v>
      </c>
      <c r="AM603" s="34" t="s">
        <v>721</v>
      </c>
      <c r="AN603" s="34" t="s">
        <v>722</v>
      </c>
      <c r="AO603" s="34" t="s">
        <v>68</v>
      </c>
      <c r="AP603" s="34"/>
      <c r="AQ603" s="34" t="s">
        <v>745</v>
      </c>
      <c r="AR603" s="34" t="s">
        <v>746</v>
      </c>
      <c r="AS603" s="34" t="s">
        <v>747</v>
      </c>
      <c r="AV603" s="34" t="s">
        <v>72</v>
      </c>
      <c r="AW603" s="34" t="s">
        <v>73</v>
      </c>
      <c r="AX603" s="34" t="s">
        <v>74</v>
      </c>
    </row>
    <row r="604" spans="1:50" ht="15" customHeight="1" x14ac:dyDescent="0.4">
      <c r="A604" s="33">
        <v>2071</v>
      </c>
      <c r="B604" s="34" t="s">
        <v>748</v>
      </c>
      <c r="C604" s="34"/>
      <c r="D604" s="34" t="s">
        <v>749</v>
      </c>
      <c r="E604" s="35"/>
      <c r="F604" s="42"/>
      <c r="G604" s="65" t="s">
        <v>8185</v>
      </c>
      <c r="H604" s="34" t="s">
        <v>49</v>
      </c>
      <c r="I604" s="36"/>
      <c r="J604" s="34" t="s">
        <v>649</v>
      </c>
      <c r="K604" s="34" t="s">
        <v>51</v>
      </c>
      <c r="L604" s="36" t="s">
        <v>650</v>
      </c>
      <c r="M604" s="34" t="s">
        <v>53</v>
      </c>
      <c r="N604" s="34" t="s">
        <v>651</v>
      </c>
      <c r="O604" s="34" t="s">
        <v>715</v>
      </c>
      <c r="P604" s="34" t="s">
        <v>56</v>
      </c>
      <c r="Q604" s="37" t="s">
        <v>716</v>
      </c>
      <c r="R604" s="34"/>
      <c r="S604" s="34" t="s">
        <v>717</v>
      </c>
      <c r="T604" s="34" t="s">
        <v>655</v>
      </c>
      <c r="U604" s="34"/>
      <c r="V604" s="34"/>
      <c r="W604" s="34"/>
      <c r="X604" s="34" t="s">
        <v>49</v>
      </c>
      <c r="Y604" s="34"/>
      <c r="Z604" s="36"/>
      <c r="AA604" s="34"/>
      <c r="AB604" s="34">
        <v>38.842944000000003</v>
      </c>
      <c r="AC604" s="34">
        <v>-97.588909000000001</v>
      </c>
      <c r="AD604" s="34"/>
      <c r="AE604" s="34"/>
      <c r="AF604" s="34"/>
      <c r="AG604" s="34" t="s">
        <v>62</v>
      </c>
      <c r="AH604" s="34" t="s">
        <v>63</v>
      </c>
      <c r="AI604" s="38" t="s">
        <v>718</v>
      </c>
      <c r="AJ604" s="34">
        <v>185356</v>
      </c>
      <c r="AK604" s="34" t="s">
        <v>719</v>
      </c>
      <c r="AL604" s="34" t="s">
        <v>720</v>
      </c>
      <c r="AM604" s="34" t="s">
        <v>721</v>
      </c>
      <c r="AN604" s="34" t="s">
        <v>722</v>
      </c>
      <c r="AO604" s="34" t="s">
        <v>68</v>
      </c>
      <c r="AP604" s="34"/>
      <c r="AQ604" s="34" t="s">
        <v>750</v>
      </c>
      <c r="AR604" s="34" t="s">
        <v>751</v>
      </c>
      <c r="AS604" s="34" t="s">
        <v>752</v>
      </c>
      <c r="AV604" s="34" t="s">
        <v>72</v>
      </c>
      <c r="AW604" s="34" t="s">
        <v>73</v>
      </c>
      <c r="AX604" s="34" t="s">
        <v>74</v>
      </c>
    </row>
    <row r="605" spans="1:50" ht="15" customHeight="1" x14ac:dyDescent="0.4">
      <c r="A605" s="12">
        <v>3633</v>
      </c>
      <c r="B605" s="21" t="s">
        <v>3520</v>
      </c>
      <c r="C605" s="13" t="s">
        <v>3521</v>
      </c>
      <c r="D605" s="25" t="s">
        <v>3521</v>
      </c>
      <c r="E605" s="13"/>
      <c r="F605" s="41"/>
      <c r="G605" s="65" t="s">
        <v>8185</v>
      </c>
      <c r="H605" s="14" t="s">
        <v>49</v>
      </c>
      <c r="I605" s="15">
        <v>44753</v>
      </c>
      <c r="J605" t="s">
        <v>3522</v>
      </c>
      <c r="K605" t="s">
        <v>51</v>
      </c>
      <c r="L605" t="s">
        <v>52</v>
      </c>
      <c r="M605" t="s">
        <v>53</v>
      </c>
      <c r="N605" t="s">
        <v>3523</v>
      </c>
      <c r="O605" t="s">
        <v>3524</v>
      </c>
      <c r="P605" t="s">
        <v>56</v>
      </c>
      <c r="Q605" s="21" t="s">
        <v>3525</v>
      </c>
      <c r="R605" s="21"/>
      <c r="S605" t="s">
        <v>3526</v>
      </c>
      <c r="T605" t="s">
        <v>3527</v>
      </c>
      <c r="W605" t="s">
        <v>2440</v>
      </c>
      <c r="X605" t="s">
        <v>60</v>
      </c>
      <c r="Z605" s="15"/>
      <c r="AB605">
        <v>36.375796999999999</v>
      </c>
      <c r="AC605">
        <v>-86.357923</v>
      </c>
      <c r="AD605" t="s">
        <v>3528</v>
      </c>
      <c r="AG605" t="s">
        <v>1715</v>
      </c>
      <c r="AH605" t="s">
        <v>63</v>
      </c>
      <c r="AI605" t="s">
        <v>3529</v>
      </c>
      <c r="AJ605">
        <v>192644</v>
      </c>
      <c r="AL605" t="s">
        <v>3530</v>
      </c>
      <c r="AM605" t="s">
        <v>3531</v>
      </c>
      <c r="AN605" t="s">
        <v>3532</v>
      </c>
      <c r="AO605" t="s">
        <v>68</v>
      </c>
      <c r="AQ605" t="s">
        <v>3533</v>
      </c>
      <c r="AR605" t="s">
        <v>3534</v>
      </c>
      <c r="AS605" t="s">
        <v>3535</v>
      </c>
      <c r="AV605" s="14" t="s">
        <v>72</v>
      </c>
      <c r="AW605" s="14" t="s">
        <v>73</v>
      </c>
      <c r="AX605" s="14" t="s">
        <v>74</v>
      </c>
    </row>
    <row r="606" spans="1:50" ht="15" customHeight="1" x14ac:dyDescent="0.4">
      <c r="A606" s="12">
        <v>3634</v>
      </c>
      <c r="B606" s="21" t="s">
        <v>3536</v>
      </c>
      <c r="C606" s="13" t="s">
        <v>3537</v>
      </c>
      <c r="D606" s="25" t="s">
        <v>3537</v>
      </c>
      <c r="E606" s="13"/>
      <c r="F606" s="41"/>
      <c r="G606" s="65" t="s">
        <v>8185</v>
      </c>
      <c r="H606" s="14" t="s">
        <v>1829</v>
      </c>
      <c r="I606" s="15">
        <v>44753</v>
      </c>
      <c r="J606" t="s">
        <v>3522</v>
      </c>
      <c r="K606" t="s">
        <v>51</v>
      </c>
      <c r="L606" t="s">
        <v>52</v>
      </c>
      <c r="M606" t="s">
        <v>53</v>
      </c>
      <c r="N606" t="s">
        <v>3523</v>
      </c>
      <c r="O606" t="s">
        <v>3524</v>
      </c>
      <c r="P606" t="s">
        <v>56</v>
      </c>
      <c r="Q606" s="21" t="s">
        <v>3525</v>
      </c>
      <c r="R606" s="21"/>
      <c r="S606" t="s">
        <v>3526</v>
      </c>
      <c r="T606" t="s">
        <v>3538</v>
      </c>
      <c r="X606" t="s">
        <v>1832</v>
      </c>
      <c r="Z606" s="15"/>
      <c r="AB606">
        <v>36.375636</v>
      </c>
      <c r="AC606">
        <v>-86.357896999999994</v>
      </c>
      <c r="AD606" t="s">
        <v>3539</v>
      </c>
      <c r="AG606" t="s">
        <v>1715</v>
      </c>
      <c r="AH606" t="s">
        <v>63</v>
      </c>
      <c r="AI606" t="s">
        <v>3540</v>
      </c>
      <c r="AJ606">
        <v>194437</v>
      </c>
      <c r="AL606" t="s">
        <v>3541</v>
      </c>
      <c r="AM606" t="s">
        <v>3542</v>
      </c>
      <c r="AN606" t="s">
        <v>3543</v>
      </c>
      <c r="AO606" t="s">
        <v>68</v>
      </c>
      <c r="AQ606" t="s">
        <v>3544</v>
      </c>
      <c r="AR606" t="s">
        <v>3545</v>
      </c>
      <c r="AS606" t="s">
        <v>3546</v>
      </c>
      <c r="AV606" s="14" t="s">
        <v>72</v>
      </c>
      <c r="AW606" s="14" t="s">
        <v>73</v>
      </c>
      <c r="AX606" s="14" t="s">
        <v>74</v>
      </c>
    </row>
    <row r="607" spans="1:50" ht="15" customHeight="1" x14ac:dyDescent="0.4">
      <c r="A607" s="12">
        <v>3635</v>
      </c>
      <c r="B607" s="21" t="s">
        <v>3547</v>
      </c>
      <c r="C607" s="13" t="s">
        <v>3548</v>
      </c>
      <c r="D607" s="25" t="s">
        <v>3548</v>
      </c>
      <c r="E607" s="13"/>
      <c r="F607" s="41"/>
      <c r="G607" s="65" t="s">
        <v>8185</v>
      </c>
      <c r="H607" s="14" t="s">
        <v>49</v>
      </c>
      <c r="I607" s="15">
        <v>44753</v>
      </c>
      <c r="J607" t="s">
        <v>3522</v>
      </c>
      <c r="K607" t="s">
        <v>51</v>
      </c>
      <c r="L607" t="s">
        <v>52</v>
      </c>
      <c r="M607" t="s">
        <v>53</v>
      </c>
      <c r="N607" t="s">
        <v>3523</v>
      </c>
      <c r="O607" t="s">
        <v>3524</v>
      </c>
      <c r="P607" t="s">
        <v>56</v>
      </c>
      <c r="Q607" s="21" t="s">
        <v>3525</v>
      </c>
      <c r="R607" s="21"/>
      <c r="S607" t="s">
        <v>3526</v>
      </c>
      <c r="T607" t="s">
        <v>3549</v>
      </c>
      <c r="X607" t="s">
        <v>60</v>
      </c>
      <c r="Z607" s="15"/>
      <c r="AB607">
        <v>36.375554999999999</v>
      </c>
      <c r="AC607">
        <v>-86.357896999999994</v>
      </c>
      <c r="AD607" t="s">
        <v>3550</v>
      </c>
      <c r="AG607" t="s">
        <v>1715</v>
      </c>
      <c r="AH607" t="s">
        <v>63</v>
      </c>
      <c r="AI607" t="s">
        <v>3551</v>
      </c>
      <c r="AJ607">
        <v>192659</v>
      </c>
      <c r="AL607" t="s">
        <v>3552</v>
      </c>
      <c r="AM607" t="s">
        <v>3553</v>
      </c>
      <c r="AN607" t="s">
        <v>3554</v>
      </c>
      <c r="AO607" t="s">
        <v>68</v>
      </c>
      <c r="AQ607" t="s">
        <v>3555</v>
      </c>
      <c r="AR607" t="s">
        <v>3556</v>
      </c>
      <c r="AS607" t="s">
        <v>3557</v>
      </c>
      <c r="AV607" s="14" t="s">
        <v>72</v>
      </c>
      <c r="AW607" s="14" t="s">
        <v>73</v>
      </c>
      <c r="AX607" s="14" t="s">
        <v>74</v>
      </c>
    </row>
    <row r="608" spans="1:50" ht="15" customHeight="1" x14ac:dyDescent="0.4">
      <c r="A608" s="12">
        <v>3636</v>
      </c>
      <c r="B608" s="21" t="s">
        <v>3558</v>
      </c>
      <c r="C608" s="13" t="s">
        <v>3559</v>
      </c>
      <c r="D608" s="25" t="s">
        <v>3559</v>
      </c>
      <c r="E608" s="13"/>
      <c r="F608" s="41"/>
      <c r="G608" s="65" t="s">
        <v>8185</v>
      </c>
      <c r="H608" s="14" t="s">
        <v>49</v>
      </c>
      <c r="I608" s="15">
        <v>44753</v>
      </c>
      <c r="J608" t="s">
        <v>3522</v>
      </c>
      <c r="K608" t="s">
        <v>51</v>
      </c>
      <c r="L608" t="s">
        <v>52</v>
      </c>
      <c r="M608" t="s">
        <v>53</v>
      </c>
      <c r="N608" t="s">
        <v>3523</v>
      </c>
      <c r="O608" t="s">
        <v>3524</v>
      </c>
      <c r="P608" t="s">
        <v>56</v>
      </c>
      <c r="Q608" s="21" t="s">
        <v>3525</v>
      </c>
      <c r="R608" s="21"/>
      <c r="S608" t="s">
        <v>3560</v>
      </c>
      <c r="T608" t="s">
        <v>3561</v>
      </c>
      <c r="W608" t="s">
        <v>2440</v>
      </c>
      <c r="X608" t="s">
        <v>60</v>
      </c>
      <c r="Z608" s="15"/>
      <c r="AB608">
        <v>36.376500999999998</v>
      </c>
      <c r="AC608">
        <v>-86.352131</v>
      </c>
      <c r="AD608" t="s">
        <v>3562</v>
      </c>
      <c r="AG608" t="s">
        <v>1715</v>
      </c>
      <c r="AH608" t="s">
        <v>63</v>
      </c>
      <c r="AI608" t="s">
        <v>3563</v>
      </c>
      <c r="AJ608">
        <v>192670</v>
      </c>
      <c r="AL608" t="s">
        <v>3564</v>
      </c>
      <c r="AM608" t="s">
        <v>3565</v>
      </c>
      <c r="AN608" t="s">
        <v>3566</v>
      </c>
      <c r="AO608" t="s">
        <v>68</v>
      </c>
      <c r="AQ608" t="s">
        <v>3567</v>
      </c>
      <c r="AR608" t="s">
        <v>3568</v>
      </c>
      <c r="AS608" t="s">
        <v>3569</v>
      </c>
      <c r="AV608" s="14" t="s">
        <v>72</v>
      </c>
      <c r="AW608" s="14" t="s">
        <v>73</v>
      </c>
      <c r="AX608" s="14" t="s">
        <v>74</v>
      </c>
    </row>
    <row r="609" spans="1:50" ht="15" customHeight="1" x14ac:dyDescent="0.4">
      <c r="A609" s="12">
        <v>3637</v>
      </c>
      <c r="B609" s="21" t="s">
        <v>3570</v>
      </c>
      <c r="C609" s="13" t="s">
        <v>3571</v>
      </c>
      <c r="D609" s="25" t="s">
        <v>3571</v>
      </c>
      <c r="E609" s="13"/>
      <c r="F609" s="41"/>
      <c r="G609" s="65" t="s">
        <v>8185</v>
      </c>
      <c r="H609" s="14" t="s">
        <v>1829</v>
      </c>
      <c r="I609" s="15">
        <v>44753</v>
      </c>
      <c r="J609" t="s">
        <v>3522</v>
      </c>
      <c r="K609" t="s">
        <v>51</v>
      </c>
      <c r="L609" t="s">
        <v>52</v>
      </c>
      <c r="M609" t="s">
        <v>53</v>
      </c>
      <c r="N609" t="s">
        <v>3523</v>
      </c>
      <c r="O609" t="s">
        <v>3524</v>
      </c>
      <c r="P609" t="s">
        <v>56</v>
      </c>
      <c r="Q609" s="21" t="s">
        <v>3525</v>
      </c>
      <c r="R609" s="21"/>
      <c r="S609" t="s">
        <v>3572</v>
      </c>
      <c r="T609" t="s">
        <v>3573</v>
      </c>
      <c r="W609" t="s">
        <v>1758</v>
      </c>
      <c r="X609" t="s">
        <v>1832</v>
      </c>
      <c r="Z609" s="15"/>
      <c r="AB609">
        <v>36.376674999999999</v>
      </c>
      <c r="AC609">
        <v>-86.352078000000006</v>
      </c>
      <c r="AD609" t="s">
        <v>3562</v>
      </c>
      <c r="AG609" t="s">
        <v>1715</v>
      </c>
      <c r="AH609" t="s">
        <v>63</v>
      </c>
      <c r="AI609" t="s">
        <v>3574</v>
      </c>
      <c r="AJ609">
        <v>194438</v>
      </c>
      <c r="AL609" t="s">
        <v>3575</v>
      </c>
      <c r="AM609" t="s">
        <v>3576</v>
      </c>
      <c r="AN609" t="s">
        <v>3577</v>
      </c>
      <c r="AO609" t="s">
        <v>68</v>
      </c>
      <c r="AQ609" t="s">
        <v>3578</v>
      </c>
      <c r="AR609" t="s">
        <v>3579</v>
      </c>
      <c r="AS609" t="s">
        <v>3580</v>
      </c>
      <c r="AV609" s="14" t="s">
        <v>72</v>
      </c>
      <c r="AW609" s="14" t="s">
        <v>73</v>
      </c>
      <c r="AX609" s="14" t="s">
        <v>74</v>
      </c>
    </row>
    <row r="610" spans="1:50" ht="15" customHeight="1" x14ac:dyDescent="0.4">
      <c r="A610" s="12">
        <v>3638</v>
      </c>
      <c r="B610" s="21" t="s">
        <v>3581</v>
      </c>
      <c r="C610" s="13" t="s">
        <v>3582</v>
      </c>
      <c r="D610" s="25" t="s">
        <v>3582</v>
      </c>
      <c r="E610" s="13"/>
      <c r="F610" s="41"/>
      <c r="G610" s="65" t="s">
        <v>8185</v>
      </c>
      <c r="H610" s="14" t="s">
        <v>49</v>
      </c>
      <c r="I610" s="15">
        <v>44753</v>
      </c>
      <c r="J610" t="s">
        <v>3522</v>
      </c>
      <c r="K610" t="s">
        <v>51</v>
      </c>
      <c r="L610" t="s">
        <v>52</v>
      </c>
      <c r="M610" t="s">
        <v>53</v>
      </c>
      <c r="N610" t="s">
        <v>3523</v>
      </c>
      <c r="O610" t="s">
        <v>3524</v>
      </c>
      <c r="P610" t="s">
        <v>56</v>
      </c>
      <c r="Q610" s="21" t="s">
        <v>3525</v>
      </c>
      <c r="R610" s="21"/>
      <c r="S610" t="s">
        <v>3583</v>
      </c>
      <c r="T610" t="s">
        <v>3584</v>
      </c>
      <c r="X610" t="s">
        <v>60</v>
      </c>
      <c r="Z610" s="15"/>
      <c r="AB610">
        <v>36.376798000000001</v>
      </c>
      <c r="AC610">
        <v>-86.351910000000004</v>
      </c>
      <c r="AD610" t="s">
        <v>3539</v>
      </c>
      <c r="AG610" t="s">
        <v>1715</v>
      </c>
      <c r="AH610" t="s">
        <v>63</v>
      </c>
      <c r="AI610" t="s">
        <v>3585</v>
      </c>
      <c r="AJ610">
        <v>193382</v>
      </c>
      <c r="AL610" t="s">
        <v>3586</v>
      </c>
      <c r="AM610" t="s">
        <v>3587</v>
      </c>
      <c r="AN610" t="s">
        <v>3588</v>
      </c>
      <c r="AO610" t="s">
        <v>68</v>
      </c>
      <c r="AQ610" t="s">
        <v>3589</v>
      </c>
      <c r="AR610" t="s">
        <v>3590</v>
      </c>
      <c r="AS610" t="s">
        <v>3591</v>
      </c>
      <c r="AV610" s="14" t="s">
        <v>72</v>
      </c>
      <c r="AW610" s="14" t="s">
        <v>73</v>
      </c>
      <c r="AX610" s="14" t="s">
        <v>74</v>
      </c>
    </row>
    <row r="611" spans="1:50" ht="15" customHeight="1" x14ac:dyDescent="0.4">
      <c r="A611" s="12">
        <v>3639</v>
      </c>
      <c r="B611" s="21" t="s">
        <v>3592</v>
      </c>
      <c r="C611" s="13" t="s">
        <v>3593</v>
      </c>
      <c r="D611" s="25" t="s">
        <v>3593</v>
      </c>
      <c r="E611" s="13"/>
      <c r="F611" s="41"/>
      <c r="G611" s="65" t="s">
        <v>8185</v>
      </c>
      <c r="H611" s="14" t="s">
        <v>1829</v>
      </c>
      <c r="I611" s="15">
        <v>44753</v>
      </c>
      <c r="J611" t="s">
        <v>3522</v>
      </c>
      <c r="K611" t="s">
        <v>51</v>
      </c>
      <c r="L611" t="s">
        <v>52</v>
      </c>
      <c r="M611" t="s">
        <v>53</v>
      </c>
      <c r="N611" t="s">
        <v>3523</v>
      </c>
      <c r="O611" t="s">
        <v>3524</v>
      </c>
      <c r="P611" t="s">
        <v>56</v>
      </c>
      <c r="Q611" s="21" t="s">
        <v>3525</v>
      </c>
      <c r="R611" s="21"/>
      <c r="S611" t="s">
        <v>3594</v>
      </c>
      <c r="T611" t="s">
        <v>3595</v>
      </c>
      <c r="X611" t="s">
        <v>1832</v>
      </c>
      <c r="Z611" s="15"/>
      <c r="AB611">
        <v>36.376933000000001</v>
      </c>
      <c r="AC611">
        <v>-86.351783999999995</v>
      </c>
      <c r="AD611" t="s">
        <v>3596</v>
      </c>
      <c r="AG611" t="s">
        <v>1715</v>
      </c>
      <c r="AH611" t="s">
        <v>63</v>
      </c>
      <c r="AI611" t="s">
        <v>3597</v>
      </c>
      <c r="AJ611">
        <v>194439</v>
      </c>
      <c r="AL611" t="s">
        <v>3598</v>
      </c>
      <c r="AM611" t="s">
        <v>3599</v>
      </c>
      <c r="AN611" t="s">
        <v>3600</v>
      </c>
      <c r="AO611" t="s">
        <v>68</v>
      </c>
      <c r="AQ611" t="s">
        <v>3601</v>
      </c>
      <c r="AR611" t="s">
        <v>3602</v>
      </c>
      <c r="AS611" t="s">
        <v>3603</v>
      </c>
      <c r="AV611" s="14" t="s">
        <v>72</v>
      </c>
      <c r="AW611" s="14" t="s">
        <v>73</v>
      </c>
      <c r="AX611" s="14" t="s">
        <v>74</v>
      </c>
    </row>
    <row r="612" spans="1:50" ht="15" customHeight="1" x14ac:dyDescent="0.4">
      <c r="A612" s="12">
        <v>3640</v>
      </c>
      <c r="B612" s="21" t="s">
        <v>3604</v>
      </c>
      <c r="C612" s="13" t="s">
        <v>3605</v>
      </c>
      <c r="D612" s="25" t="s">
        <v>3605</v>
      </c>
      <c r="E612" s="13"/>
      <c r="F612" s="41"/>
      <c r="G612" s="65" t="s">
        <v>8185</v>
      </c>
      <c r="H612" s="14" t="s">
        <v>1878</v>
      </c>
      <c r="I612" s="15">
        <v>44753</v>
      </c>
      <c r="J612" t="s">
        <v>3522</v>
      </c>
      <c r="K612" t="s">
        <v>51</v>
      </c>
      <c r="L612" t="s">
        <v>52</v>
      </c>
      <c r="M612" t="s">
        <v>53</v>
      </c>
      <c r="N612" t="s">
        <v>3523</v>
      </c>
      <c r="O612" t="s">
        <v>3524</v>
      </c>
      <c r="P612" t="s">
        <v>56</v>
      </c>
      <c r="Q612" s="21" t="s">
        <v>3525</v>
      </c>
      <c r="R612" s="21"/>
      <c r="S612" t="s">
        <v>3606</v>
      </c>
      <c r="T612" t="s">
        <v>3607</v>
      </c>
      <c r="W612" t="s">
        <v>2440</v>
      </c>
      <c r="X612" t="s">
        <v>1881</v>
      </c>
      <c r="Z612" s="15"/>
      <c r="AB612">
        <v>36.377459000000002</v>
      </c>
      <c r="AC612">
        <v>-86.351259999999996</v>
      </c>
      <c r="AD612" t="s">
        <v>3608</v>
      </c>
      <c r="AG612" t="s">
        <v>1715</v>
      </c>
      <c r="AH612" t="s">
        <v>63</v>
      </c>
      <c r="AI612" t="s">
        <v>3609</v>
      </c>
      <c r="AJ612">
        <v>194170</v>
      </c>
      <c r="AL612" t="s">
        <v>3610</v>
      </c>
      <c r="AM612" t="s">
        <v>3611</v>
      </c>
      <c r="AN612" t="s">
        <v>3612</v>
      </c>
      <c r="AO612" t="s">
        <v>68</v>
      </c>
      <c r="AQ612" t="s">
        <v>3613</v>
      </c>
      <c r="AR612" t="s">
        <v>3614</v>
      </c>
      <c r="AS612" t="s">
        <v>3615</v>
      </c>
      <c r="AV612" s="14" t="s">
        <v>72</v>
      </c>
      <c r="AW612" s="14" t="s">
        <v>73</v>
      </c>
      <c r="AX612" s="14" t="s">
        <v>1723</v>
      </c>
    </row>
    <row r="613" spans="1:50" ht="15" customHeight="1" x14ac:dyDescent="0.4">
      <c r="A613" s="12">
        <v>3641</v>
      </c>
      <c r="B613" s="21" t="s">
        <v>3616</v>
      </c>
      <c r="C613" s="13" t="s">
        <v>3617</v>
      </c>
      <c r="D613" s="25" t="s">
        <v>3617</v>
      </c>
      <c r="E613" s="13"/>
      <c r="F613" s="41"/>
      <c r="G613" s="65" t="s">
        <v>8185</v>
      </c>
      <c r="H613" s="14" t="s">
        <v>49</v>
      </c>
      <c r="I613" s="15">
        <v>44753</v>
      </c>
      <c r="J613" t="s">
        <v>3522</v>
      </c>
      <c r="K613" t="s">
        <v>51</v>
      </c>
      <c r="L613" t="s">
        <v>52</v>
      </c>
      <c r="M613" t="s">
        <v>53</v>
      </c>
      <c r="N613" t="s">
        <v>3523</v>
      </c>
      <c r="O613" t="s">
        <v>3524</v>
      </c>
      <c r="P613" t="s">
        <v>56</v>
      </c>
      <c r="Q613" s="21" t="s">
        <v>3525</v>
      </c>
      <c r="R613" s="21"/>
      <c r="S613" t="s">
        <v>3618</v>
      </c>
      <c r="T613" t="s">
        <v>3619</v>
      </c>
      <c r="X613" t="s">
        <v>60</v>
      </c>
      <c r="Z613" s="15"/>
      <c r="AB613">
        <v>36.377782000000003</v>
      </c>
      <c r="AC613">
        <v>-86.351107999999996</v>
      </c>
      <c r="AD613" t="s">
        <v>3620</v>
      </c>
      <c r="AG613" t="s">
        <v>1715</v>
      </c>
      <c r="AH613" t="s">
        <v>63</v>
      </c>
      <c r="AI613" t="s">
        <v>3621</v>
      </c>
      <c r="AJ613">
        <v>193380</v>
      </c>
      <c r="AL613" t="s">
        <v>3622</v>
      </c>
      <c r="AM613" t="s">
        <v>3623</v>
      </c>
      <c r="AN613" t="s">
        <v>3624</v>
      </c>
      <c r="AO613" t="s">
        <v>68</v>
      </c>
      <c r="AQ613" t="s">
        <v>3625</v>
      </c>
      <c r="AR613" t="s">
        <v>3626</v>
      </c>
      <c r="AS613" t="s">
        <v>3627</v>
      </c>
      <c r="AV613" s="14" t="s">
        <v>72</v>
      </c>
      <c r="AW613" s="14" t="s">
        <v>73</v>
      </c>
      <c r="AX613" s="14" t="s">
        <v>74</v>
      </c>
    </row>
    <row r="614" spans="1:50" ht="15" customHeight="1" x14ac:dyDescent="0.4">
      <c r="A614" s="12">
        <v>3642</v>
      </c>
      <c r="B614" s="21" t="s">
        <v>3628</v>
      </c>
      <c r="C614" s="13" t="s">
        <v>3629</v>
      </c>
      <c r="D614" s="25" t="s">
        <v>3629</v>
      </c>
      <c r="E614" s="13"/>
      <c r="F614" s="41"/>
      <c r="G614" s="65" t="s">
        <v>8185</v>
      </c>
      <c r="H614" s="14" t="s">
        <v>1878</v>
      </c>
      <c r="I614" s="15">
        <v>44753</v>
      </c>
      <c r="J614" t="s">
        <v>3522</v>
      </c>
      <c r="K614" t="s">
        <v>51</v>
      </c>
      <c r="L614" t="s">
        <v>52</v>
      </c>
      <c r="M614" t="s">
        <v>53</v>
      </c>
      <c r="N614" t="s">
        <v>3523</v>
      </c>
      <c r="O614" t="s">
        <v>3524</v>
      </c>
      <c r="P614" t="s">
        <v>56</v>
      </c>
      <c r="Q614" s="21" t="s">
        <v>3525</v>
      </c>
      <c r="R614" s="21"/>
      <c r="S614" t="s">
        <v>3630</v>
      </c>
      <c r="T614" t="s">
        <v>3631</v>
      </c>
      <c r="X614" t="s">
        <v>1881</v>
      </c>
      <c r="Z614" s="15"/>
      <c r="AB614">
        <v>36.377797999999999</v>
      </c>
      <c r="AC614">
        <v>-86.351110000000006</v>
      </c>
      <c r="AD614" t="s">
        <v>3620</v>
      </c>
      <c r="AG614" t="s">
        <v>1715</v>
      </c>
      <c r="AH614" t="s">
        <v>63</v>
      </c>
      <c r="AI614" t="s">
        <v>3632</v>
      </c>
      <c r="AJ614">
        <v>194171</v>
      </c>
      <c r="AL614" t="s">
        <v>3633</v>
      </c>
      <c r="AM614" t="s">
        <v>3634</v>
      </c>
      <c r="AN614" t="s">
        <v>3635</v>
      </c>
      <c r="AO614" t="s">
        <v>68</v>
      </c>
      <c r="AP614" t="s">
        <v>3636</v>
      </c>
      <c r="AQ614" t="s">
        <v>3637</v>
      </c>
      <c r="AR614" t="s">
        <v>3638</v>
      </c>
      <c r="AS614" t="s">
        <v>3639</v>
      </c>
      <c r="AT614" s="31" t="s">
        <v>3640</v>
      </c>
      <c r="AV614" s="14" t="s">
        <v>72</v>
      </c>
      <c r="AW614" s="14" t="s">
        <v>73</v>
      </c>
      <c r="AX614" s="14" t="s">
        <v>1723</v>
      </c>
    </row>
    <row r="615" spans="1:50" ht="15" customHeight="1" x14ac:dyDescent="0.4">
      <c r="A615" s="12">
        <v>3643</v>
      </c>
      <c r="B615" s="21" t="s">
        <v>3641</v>
      </c>
      <c r="C615" s="13" t="s">
        <v>3642</v>
      </c>
      <c r="D615" s="25" t="s">
        <v>3642</v>
      </c>
      <c r="E615" s="13"/>
      <c r="F615" s="41"/>
      <c r="G615" s="65" t="s">
        <v>8185</v>
      </c>
      <c r="H615" s="14" t="s">
        <v>1829</v>
      </c>
      <c r="I615" s="15">
        <v>44753</v>
      </c>
      <c r="J615" t="s">
        <v>3522</v>
      </c>
      <c r="K615" t="s">
        <v>51</v>
      </c>
      <c r="L615" t="s">
        <v>52</v>
      </c>
      <c r="M615" t="s">
        <v>53</v>
      </c>
      <c r="N615" t="s">
        <v>3523</v>
      </c>
      <c r="O615" t="s">
        <v>3524</v>
      </c>
      <c r="P615" t="s">
        <v>56</v>
      </c>
      <c r="Q615" s="21" t="s">
        <v>3525</v>
      </c>
      <c r="R615" s="21"/>
      <c r="S615" t="s">
        <v>3643</v>
      </c>
      <c r="T615" t="s">
        <v>3644</v>
      </c>
      <c r="X615" t="s">
        <v>1832</v>
      </c>
      <c r="Z615" s="15"/>
      <c r="AB615">
        <v>36.377740000000003</v>
      </c>
      <c r="AC615">
        <v>-86.351055000000002</v>
      </c>
      <c r="AD615" t="s">
        <v>3645</v>
      </c>
      <c r="AG615" t="s">
        <v>1715</v>
      </c>
      <c r="AH615" t="s">
        <v>63</v>
      </c>
      <c r="AI615" t="s">
        <v>3646</v>
      </c>
      <c r="AJ615">
        <v>194440</v>
      </c>
      <c r="AL615" t="s">
        <v>3647</v>
      </c>
      <c r="AM615" t="s">
        <v>3648</v>
      </c>
      <c r="AN615" t="s">
        <v>3649</v>
      </c>
      <c r="AO615" t="s">
        <v>68</v>
      </c>
      <c r="AQ615" t="s">
        <v>3650</v>
      </c>
      <c r="AR615" t="s">
        <v>3651</v>
      </c>
      <c r="AS615" t="s">
        <v>3652</v>
      </c>
      <c r="AV615" s="14" t="s">
        <v>72</v>
      </c>
      <c r="AW615" s="14" t="s">
        <v>73</v>
      </c>
      <c r="AX615" s="14" t="s">
        <v>74</v>
      </c>
    </row>
    <row r="616" spans="1:50" ht="15" customHeight="1" x14ac:dyDescent="0.4">
      <c r="A616" s="12">
        <v>3644</v>
      </c>
      <c r="B616" s="21" t="s">
        <v>3653</v>
      </c>
      <c r="C616" s="13" t="s">
        <v>3654</v>
      </c>
      <c r="D616" s="25" t="s">
        <v>3654</v>
      </c>
      <c r="E616" s="13"/>
      <c r="F616" s="41"/>
      <c r="G616" s="65" t="s">
        <v>8185</v>
      </c>
      <c r="H616" s="14" t="s">
        <v>1878</v>
      </c>
      <c r="I616" s="15">
        <v>44753</v>
      </c>
      <c r="J616" t="s">
        <v>3522</v>
      </c>
      <c r="K616" t="s">
        <v>51</v>
      </c>
      <c r="L616" t="s">
        <v>52</v>
      </c>
      <c r="M616" t="s">
        <v>53</v>
      </c>
      <c r="N616" t="s">
        <v>3523</v>
      </c>
      <c r="O616" t="s">
        <v>3524</v>
      </c>
      <c r="P616" t="s">
        <v>56</v>
      </c>
      <c r="Q616" s="21" t="s">
        <v>3525</v>
      </c>
      <c r="R616" s="21"/>
      <c r="S616" t="s">
        <v>3643</v>
      </c>
      <c r="T616" t="s">
        <v>3655</v>
      </c>
      <c r="X616" t="s">
        <v>1881</v>
      </c>
      <c r="Z616" s="15"/>
      <c r="AB616">
        <v>36.378008999999999</v>
      </c>
      <c r="AC616">
        <v>-86.350874000000005</v>
      </c>
      <c r="AD616" t="s">
        <v>3656</v>
      </c>
      <c r="AG616" t="s">
        <v>1715</v>
      </c>
      <c r="AH616" t="s">
        <v>63</v>
      </c>
      <c r="AI616" t="s">
        <v>3657</v>
      </c>
      <c r="AJ616">
        <v>194172</v>
      </c>
      <c r="AL616" t="s">
        <v>3658</v>
      </c>
      <c r="AM616" t="s">
        <v>3659</v>
      </c>
      <c r="AN616" t="s">
        <v>3660</v>
      </c>
      <c r="AO616" t="s">
        <v>68</v>
      </c>
      <c r="AQ616" t="s">
        <v>3661</v>
      </c>
      <c r="AR616" t="s">
        <v>3662</v>
      </c>
      <c r="AS616" t="s">
        <v>3663</v>
      </c>
      <c r="AV616" s="14" t="s">
        <v>72</v>
      </c>
      <c r="AW616" s="14" t="s">
        <v>73</v>
      </c>
      <c r="AX616" s="14" t="s">
        <v>1723</v>
      </c>
    </row>
    <row r="617" spans="1:50" ht="15" customHeight="1" x14ac:dyDescent="0.4">
      <c r="A617" s="12">
        <v>3645</v>
      </c>
      <c r="B617" s="21" t="s">
        <v>3664</v>
      </c>
      <c r="C617" s="13" t="s">
        <v>3665</v>
      </c>
      <c r="D617" s="25" t="s">
        <v>3665</v>
      </c>
      <c r="E617" s="13"/>
      <c r="F617" s="41"/>
      <c r="G617" s="65" t="s">
        <v>8185</v>
      </c>
      <c r="H617" s="14" t="s">
        <v>1829</v>
      </c>
      <c r="I617" s="15">
        <v>44753</v>
      </c>
      <c r="J617" t="s">
        <v>3522</v>
      </c>
      <c r="K617" t="s">
        <v>51</v>
      </c>
      <c r="L617" t="s">
        <v>52</v>
      </c>
      <c r="M617" t="s">
        <v>53</v>
      </c>
      <c r="N617" t="s">
        <v>3523</v>
      </c>
      <c r="O617" t="s">
        <v>3524</v>
      </c>
      <c r="P617" t="s">
        <v>56</v>
      </c>
      <c r="Q617" s="21" t="s">
        <v>3525</v>
      </c>
      <c r="R617" s="21"/>
      <c r="S617" t="s">
        <v>3643</v>
      </c>
      <c r="T617" t="s">
        <v>3666</v>
      </c>
      <c r="X617" t="s">
        <v>1832</v>
      </c>
      <c r="Z617" s="15"/>
      <c r="AB617">
        <v>36.378014999999998</v>
      </c>
      <c r="AC617">
        <v>-86.350899999999996</v>
      </c>
      <c r="AD617" t="s">
        <v>3667</v>
      </c>
      <c r="AG617" t="s">
        <v>1715</v>
      </c>
      <c r="AH617" t="s">
        <v>63</v>
      </c>
      <c r="AI617" t="s">
        <v>3668</v>
      </c>
      <c r="AJ617">
        <v>194441</v>
      </c>
      <c r="AL617" t="s">
        <v>3669</v>
      </c>
      <c r="AM617" t="s">
        <v>3670</v>
      </c>
      <c r="AN617" t="s">
        <v>3671</v>
      </c>
      <c r="AO617" t="s">
        <v>68</v>
      </c>
      <c r="AQ617" t="s">
        <v>3672</v>
      </c>
      <c r="AR617" t="s">
        <v>3673</v>
      </c>
      <c r="AS617" t="s">
        <v>3674</v>
      </c>
      <c r="AV617" s="14" t="s">
        <v>72</v>
      </c>
      <c r="AW617" s="14" t="s">
        <v>73</v>
      </c>
      <c r="AX617" s="14" t="s">
        <v>74</v>
      </c>
    </row>
    <row r="618" spans="1:50" ht="15" customHeight="1" x14ac:dyDescent="0.4">
      <c r="A618" s="12">
        <v>3646</v>
      </c>
      <c r="B618" s="21" t="s">
        <v>3675</v>
      </c>
      <c r="C618" s="13" t="s">
        <v>3676</v>
      </c>
      <c r="D618" s="25" t="s">
        <v>3676</v>
      </c>
      <c r="E618" s="13"/>
      <c r="F618" s="41"/>
      <c r="G618" s="65" t="s">
        <v>8185</v>
      </c>
      <c r="H618" s="14" t="s">
        <v>1878</v>
      </c>
      <c r="I618" s="15">
        <v>44753</v>
      </c>
      <c r="J618" t="s">
        <v>3522</v>
      </c>
      <c r="K618" t="s">
        <v>51</v>
      </c>
      <c r="L618" t="s">
        <v>52</v>
      </c>
      <c r="M618" t="s">
        <v>53</v>
      </c>
      <c r="N618" t="s">
        <v>3523</v>
      </c>
      <c r="O618" t="s">
        <v>3524</v>
      </c>
      <c r="P618" t="s">
        <v>56</v>
      </c>
      <c r="Q618" s="21" t="s">
        <v>3525</v>
      </c>
      <c r="R618" s="21"/>
      <c r="S618" t="s">
        <v>3643</v>
      </c>
      <c r="T618" t="s">
        <v>3677</v>
      </c>
      <c r="X618" t="s">
        <v>1881</v>
      </c>
      <c r="Z618" s="15"/>
      <c r="AB618">
        <v>36.378266000000004</v>
      </c>
      <c r="AC618">
        <v>-86.350746999999998</v>
      </c>
      <c r="AD618" t="s">
        <v>3678</v>
      </c>
      <c r="AG618" t="s">
        <v>1715</v>
      </c>
      <c r="AH618" t="s">
        <v>63</v>
      </c>
      <c r="AI618" t="s">
        <v>3679</v>
      </c>
      <c r="AJ618">
        <v>194173</v>
      </c>
      <c r="AL618" t="s">
        <v>3680</v>
      </c>
      <c r="AM618" t="s">
        <v>3681</v>
      </c>
      <c r="AN618" t="s">
        <v>3682</v>
      </c>
      <c r="AO618" t="s">
        <v>68</v>
      </c>
      <c r="AQ618" t="s">
        <v>3683</v>
      </c>
      <c r="AR618" t="s">
        <v>3684</v>
      </c>
      <c r="AS618" t="s">
        <v>3685</v>
      </c>
      <c r="AV618" s="14" t="s">
        <v>72</v>
      </c>
      <c r="AW618" s="14" t="s">
        <v>73</v>
      </c>
      <c r="AX618" s="14" t="s">
        <v>1723</v>
      </c>
    </row>
    <row r="619" spans="1:50" ht="15" customHeight="1" x14ac:dyDescent="0.4">
      <c r="A619" s="12">
        <v>3647</v>
      </c>
      <c r="B619" s="21" t="s">
        <v>3686</v>
      </c>
      <c r="C619" s="13" t="s">
        <v>3687</v>
      </c>
      <c r="D619" s="25" t="s">
        <v>3687</v>
      </c>
      <c r="E619" s="13"/>
      <c r="F619" s="41"/>
      <c r="G619" s="65" t="s">
        <v>8185</v>
      </c>
      <c r="H619" s="14" t="s">
        <v>1878</v>
      </c>
      <c r="I619" s="15">
        <v>44753</v>
      </c>
      <c r="J619" t="s">
        <v>3522</v>
      </c>
      <c r="K619" t="s">
        <v>51</v>
      </c>
      <c r="L619" t="s">
        <v>52</v>
      </c>
      <c r="M619" t="s">
        <v>53</v>
      </c>
      <c r="N619" t="s">
        <v>3523</v>
      </c>
      <c r="O619" t="s">
        <v>3524</v>
      </c>
      <c r="P619" t="s">
        <v>56</v>
      </c>
      <c r="Q619" s="21" t="s">
        <v>3525</v>
      </c>
      <c r="R619" s="21"/>
      <c r="S619" t="s">
        <v>3688</v>
      </c>
      <c r="T619" t="s">
        <v>3689</v>
      </c>
      <c r="X619" t="s">
        <v>1881</v>
      </c>
      <c r="Z619" s="15"/>
      <c r="AB619">
        <v>36.376907000000003</v>
      </c>
      <c r="AC619">
        <v>-86.358224000000007</v>
      </c>
      <c r="AD619" t="s">
        <v>3690</v>
      </c>
      <c r="AG619" t="s">
        <v>1715</v>
      </c>
      <c r="AH619" t="s">
        <v>63</v>
      </c>
      <c r="AI619" t="s">
        <v>3691</v>
      </c>
      <c r="AJ619">
        <v>194174</v>
      </c>
      <c r="AL619" t="s">
        <v>3692</v>
      </c>
      <c r="AM619" t="s">
        <v>3693</v>
      </c>
      <c r="AN619" t="s">
        <v>3694</v>
      </c>
      <c r="AO619" t="s">
        <v>68</v>
      </c>
      <c r="AQ619" t="s">
        <v>3695</v>
      </c>
      <c r="AR619" t="s">
        <v>3696</v>
      </c>
      <c r="AS619" t="s">
        <v>3697</v>
      </c>
      <c r="AV619" s="14" t="s">
        <v>72</v>
      </c>
      <c r="AW619" s="14" t="s">
        <v>73</v>
      </c>
      <c r="AX619" s="14" t="s">
        <v>1723</v>
      </c>
    </row>
    <row r="620" spans="1:50" ht="15" customHeight="1" x14ac:dyDescent="0.4">
      <c r="A620" s="12">
        <v>3648</v>
      </c>
      <c r="B620" s="21" t="s">
        <v>3698</v>
      </c>
      <c r="C620" s="13" t="s">
        <v>3699</v>
      </c>
      <c r="D620" s="25" t="s">
        <v>3699</v>
      </c>
      <c r="E620" s="13"/>
      <c r="F620" s="41"/>
      <c r="G620" s="65" t="s">
        <v>8185</v>
      </c>
      <c r="H620" s="14" t="s">
        <v>1829</v>
      </c>
      <c r="I620" s="15">
        <v>44753</v>
      </c>
      <c r="J620" t="s">
        <v>3700</v>
      </c>
      <c r="K620" t="s">
        <v>51</v>
      </c>
      <c r="L620" t="s">
        <v>52</v>
      </c>
      <c r="M620" t="s">
        <v>53</v>
      </c>
      <c r="N620" t="s">
        <v>3523</v>
      </c>
      <c r="O620" t="s">
        <v>3701</v>
      </c>
      <c r="P620" t="s">
        <v>56</v>
      </c>
      <c r="Q620" s="21" t="s">
        <v>3702</v>
      </c>
      <c r="R620" s="21"/>
      <c r="S620" t="s">
        <v>3703</v>
      </c>
      <c r="T620" t="s">
        <v>3704</v>
      </c>
      <c r="X620" t="s">
        <v>1832</v>
      </c>
      <c r="Z620" s="15"/>
      <c r="AB620">
        <v>36.072969999999998</v>
      </c>
      <c r="AC620">
        <v>-86.313800000000001</v>
      </c>
      <c r="AD620" t="s">
        <v>3705</v>
      </c>
      <c r="AG620" t="s">
        <v>1715</v>
      </c>
      <c r="AH620" t="s">
        <v>63</v>
      </c>
      <c r="AI620" t="s">
        <v>3706</v>
      </c>
      <c r="AJ620">
        <v>194442</v>
      </c>
      <c r="AL620" t="s">
        <v>3707</v>
      </c>
      <c r="AM620" t="s">
        <v>3708</v>
      </c>
      <c r="AN620" t="s">
        <v>3709</v>
      </c>
      <c r="AO620" t="s">
        <v>68</v>
      </c>
      <c r="AQ620" t="s">
        <v>3710</v>
      </c>
      <c r="AR620" t="s">
        <v>3711</v>
      </c>
      <c r="AS620" t="s">
        <v>3712</v>
      </c>
      <c r="AV620" s="14" t="s">
        <v>72</v>
      </c>
      <c r="AW620" s="14" t="s">
        <v>73</v>
      </c>
      <c r="AX620" s="14" t="s">
        <v>74</v>
      </c>
    </row>
    <row r="621" spans="1:50" ht="15" customHeight="1" x14ac:dyDescent="0.4">
      <c r="A621" s="12">
        <v>3649</v>
      </c>
      <c r="B621" s="21" t="s">
        <v>3713</v>
      </c>
      <c r="C621" s="13" t="s">
        <v>3714</v>
      </c>
      <c r="D621" s="25" t="s">
        <v>3714</v>
      </c>
      <c r="E621" s="13"/>
      <c r="F621" s="41"/>
      <c r="G621" s="65" t="s">
        <v>8185</v>
      </c>
      <c r="H621" s="14" t="s">
        <v>1752</v>
      </c>
      <c r="I621" s="15">
        <v>44753</v>
      </c>
      <c r="J621" t="s">
        <v>3700</v>
      </c>
      <c r="K621" t="s">
        <v>51</v>
      </c>
      <c r="L621" t="s">
        <v>52</v>
      </c>
      <c r="M621" t="s">
        <v>53</v>
      </c>
      <c r="N621" t="s">
        <v>3523</v>
      </c>
      <c r="O621" t="s">
        <v>3701</v>
      </c>
      <c r="P621" t="s">
        <v>56</v>
      </c>
      <c r="Q621" s="21" t="s">
        <v>3702</v>
      </c>
      <c r="R621" s="21"/>
      <c r="S621" t="s">
        <v>3703</v>
      </c>
      <c r="T621" t="s">
        <v>3715</v>
      </c>
      <c r="X621" t="s">
        <v>1759</v>
      </c>
      <c r="Z621" s="15"/>
      <c r="AB621">
        <v>36.073056999999999</v>
      </c>
      <c r="AC621">
        <v>-86.313585000000003</v>
      </c>
      <c r="AD621" t="s">
        <v>3705</v>
      </c>
      <c r="AG621" t="s">
        <v>1715</v>
      </c>
      <c r="AH621" t="s">
        <v>63</v>
      </c>
      <c r="AI621" t="s">
        <v>3716</v>
      </c>
      <c r="AJ621">
        <v>193521</v>
      </c>
      <c r="AL621" t="s">
        <v>3717</v>
      </c>
      <c r="AM621" t="s">
        <v>3718</v>
      </c>
      <c r="AN621" t="s">
        <v>3719</v>
      </c>
      <c r="AO621" t="s">
        <v>68</v>
      </c>
      <c r="AQ621" t="s">
        <v>3720</v>
      </c>
      <c r="AR621" t="s">
        <v>3721</v>
      </c>
      <c r="AS621" t="s">
        <v>3722</v>
      </c>
      <c r="AV621" s="14" t="s">
        <v>72</v>
      </c>
      <c r="AW621" s="14" t="s">
        <v>73</v>
      </c>
      <c r="AX621" s="14" t="s">
        <v>1768</v>
      </c>
    </row>
    <row r="622" spans="1:50" ht="15" customHeight="1" x14ac:dyDescent="0.4">
      <c r="A622" s="12">
        <v>3650</v>
      </c>
      <c r="B622" s="21" t="s">
        <v>3723</v>
      </c>
      <c r="C622" s="13" t="s">
        <v>3724</v>
      </c>
      <c r="D622" s="25" t="s">
        <v>3724</v>
      </c>
      <c r="E622" s="13"/>
      <c r="F622" s="41"/>
      <c r="G622" s="65" t="s">
        <v>8185</v>
      </c>
      <c r="H622" s="14" t="s">
        <v>1829</v>
      </c>
      <c r="I622" s="15">
        <v>44753</v>
      </c>
      <c r="J622" t="s">
        <v>3700</v>
      </c>
      <c r="K622" t="s">
        <v>51</v>
      </c>
      <c r="L622" t="s">
        <v>52</v>
      </c>
      <c r="M622" t="s">
        <v>53</v>
      </c>
      <c r="N622" t="s">
        <v>3523</v>
      </c>
      <c r="O622" t="s">
        <v>3701</v>
      </c>
      <c r="P622" t="s">
        <v>56</v>
      </c>
      <c r="Q622" s="21" t="s">
        <v>3702</v>
      </c>
      <c r="R622" s="21"/>
      <c r="S622" t="s">
        <v>3725</v>
      </c>
      <c r="T622" t="s">
        <v>3726</v>
      </c>
      <c r="W622" t="s">
        <v>1758</v>
      </c>
      <c r="X622" t="s">
        <v>1832</v>
      </c>
      <c r="Z622" s="15"/>
      <c r="AB622">
        <v>36.074587999999999</v>
      </c>
      <c r="AC622">
        <v>-86.314466999999993</v>
      </c>
      <c r="AD622" t="s">
        <v>3727</v>
      </c>
      <c r="AG622" t="s">
        <v>1715</v>
      </c>
      <c r="AH622" t="s">
        <v>63</v>
      </c>
      <c r="AI622" t="s">
        <v>3728</v>
      </c>
      <c r="AJ622">
        <v>194487</v>
      </c>
      <c r="AL622" t="s">
        <v>3729</v>
      </c>
      <c r="AM622" t="s">
        <v>3730</v>
      </c>
      <c r="AN622" t="s">
        <v>3731</v>
      </c>
      <c r="AO622" t="s">
        <v>68</v>
      </c>
      <c r="AQ622" t="s">
        <v>3732</v>
      </c>
      <c r="AR622" t="s">
        <v>3733</v>
      </c>
      <c r="AS622" t="s">
        <v>3734</v>
      </c>
      <c r="AV622" s="14" t="s">
        <v>72</v>
      </c>
      <c r="AW622" s="14" t="s">
        <v>73</v>
      </c>
      <c r="AX622" s="14" t="s">
        <v>74</v>
      </c>
    </row>
    <row r="623" spans="1:50" ht="15" customHeight="1" x14ac:dyDescent="0.4">
      <c r="A623" s="12">
        <v>3651</v>
      </c>
      <c r="B623" s="21" t="s">
        <v>3735</v>
      </c>
      <c r="C623" s="13" t="s">
        <v>3736</v>
      </c>
      <c r="D623" s="25" t="s">
        <v>3736</v>
      </c>
      <c r="E623" s="13"/>
      <c r="F623" s="41"/>
      <c r="G623" s="65" t="s">
        <v>8185</v>
      </c>
      <c r="H623" s="14" t="s">
        <v>1752</v>
      </c>
      <c r="I623" s="15">
        <v>44753</v>
      </c>
      <c r="J623" t="s">
        <v>3700</v>
      </c>
      <c r="K623" t="s">
        <v>51</v>
      </c>
      <c r="L623" t="s">
        <v>52</v>
      </c>
      <c r="M623" t="s">
        <v>53</v>
      </c>
      <c r="N623" t="s">
        <v>3523</v>
      </c>
      <c r="O623" t="s">
        <v>3701</v>
      </c>
      <c r="P623" t="s">
        <v>56</v>
      </c>
      <c r="Q623" s="21" t="s">
        <v>3702</v>
      </c>
      <c r="R623" s="21"/>
      <c r="S623" t="s">
        <v>3725</v>
      </c>
      <c r="T623" t="s">
        <v>3737</v>
      </c>
      <c r="X623" t="s">
        <v>1759</v>
      </c>
      <c r="Z623" s="15"/>
      <c r="AB623">
        <v>36.074626000000002</v>
      </c>
      <c r="AC623">
        <v>-86.314306000000002</v>
      </c>
      <c r="AD623" t="s">
        <v>3738</v>
      </c>
      <c r="AG623" t="s">
        <v>1715</v>
      </c>
      <c r="AH623" t="s">
        <v>63</v>
      </c>
      <c r="AI623" t="s">
        <v>3739</v>
      </c>
      <c r="AJ623">
        <v>193522</v>
      </c>
      <c r="AL623" t="s">
        <v>3740</v>
      </c>
      <c r="AM623" t="s">
        <v>3741</v>
      </c>
      <c r="AN623" t="s">
        <v>3742</v>
      </c>
      <c r="AO623" t="s">
        <v>68</v>
      </c>
      <c r="AQ623" t="s">
        <v>3743</v>
      </c>
      <c r="AR623" t="s">
        <v>3744</v>
      </c>
      <c r="AS623" t="s">
        <v>3745</v>
      </c>
      <c r="AV623" s="14" t="s">
        <v>72</v>
      </c>
      <c r="AW623" s="14" t="s">
        <v>73</v>
      </c>
      <c r="AX623" s="14" t="s">
        <v>1768</v>
      </c>
    </row>
    <row r="624" spans="1:50" ht="15" customHeight="1" x14ac:dyDescent="0.4">
      <c r="A624" s="12">
        <v>3652</v>
      </c>
      <c r="B624" s="21" t="s">
        <v>3746</v>
      </c>
      <c r="C624" s="13" t="s">
        <v>3747</v>
      </c>
      <c r="D624" s="25" t="s">
        <v>3747</v>
      </c>
      <c r="E624" s="13"/>
      <c r="F624" s="41"/>
      <c r="G624" s="65" t="s">
        <v>8185</v>
      </c>
      <c r="H624" s="14" t="s">
        <v>1878</v>
      </c>
      <c r="I624" s="15">
        <v>44753</v>
      </c>
      <c r="J624" t="s">
        <v>3700</v>
      </c>
      <c r="K624" t="s">
        <v>51</v>
      </c>
      <c r="L624" t="s">
        <v>52</v>
      </c>
      <c r="M624" t="s">
        <v>53</v>
      </c>
      <c r="N624" t="s">
        <v>3523</v>
      </c>
      <c r="O624" t="s">
        <v>3701</v>
      </c>
      <c r="P624" t="s">
        <v>56</v>
      </c>
      <c r="Q624" s="21" t="s">
        <v>3702</v>
      </c>
      <c r="R624" s="21"/>
      <c r="S624" t="s">
        <v>3725</v>
      </c>
      <c r="T624" t="s">
        <v>3748</v>
      </c>
      <c r="X624" t="s">
        <v>1881</v>
      </c>
      <c r="Z624" s="15"/>
      <c r="AB624">
        <v>36.075606000000001</v>
      </c>
      <c r="AC624">
        <v>-86.313963999999999</v>
      </c>
      <c r="AD624" t="s">
        <v>3749</v>
      </c>
      <c r="AG624" t="s">
        <v>1715</v>
      </c>
      <c r="AH624" t="s">
        <v>63</v>
      </c>
      <c r="AI624" t="s">
        <v>3750</v>
      </c>
      <c r="AJ624">
        <v>194175</v>
      </c>
      <c r="AL624" t="s">
        <v>3751</v>
      </c>
      <c r="AM624" t="s">
        <v>3752</v>
      </c>
      <c r="AN624" t="s">
        <v>3753</v>
      </c>
      <c r="AO624" t="s">
        <v>68</v>
      </c>
      <c r="AQ624" t="s">
        <v>3754</v>
      </c>
      <c r="AR624" t="s">
        <v>3755</v>
      </c>
      <c r="AS624" t="s">
        <v>3756</v>
      </c>
      <c r="AV624" s="14" t="s">
        <v>72</v>
      </c>
      <c r="AW624" s="14" t="s">
        <v>73</v>
      </c>
      <c r="AX624" s="14" t="s">
        <v>1723</v>
      </c>
    </row>
    <row r="625" spans="1:50" ht="15" customHeight="1" x14ac:dyDescent="0.4">
      <c r="A625" s="12">
        <v>3913</v>
      </c>
      <c r="B625" s="21" t="s">
        <v>6801</v>
      </c>
      <c r="C625" s="13" t="s">
        <v>6802</v>
      </c>
      <c r="D625" s="25" t="s">
        <v>6802</v>
      </c>
      <c r="E625" s="13"/>
      <c r="F625" s="41"/>
      <c r="G625" s="65" t="s">
        <v>8185</v>
      </c>
      <c r="H625" s="14" t="s">
        <v>49</v>
      </c>
      <c r="I625" s="15">
        <v>44805</v>
      </c>
      <c r="J625" t="s">
        <v>2719</v>
      </c>
      <c r="K625" t="s">
        <v>51</v>
      </c>
      <c r="L625" t="s">
        <v>52</v>
      </c>
      <c r="M625" t="s">
        <v>53</v>
      </c>
      <c r="N625" t="s">
        <v>6803</v>
      </c>
      <c r="O625" t="s">
        <v>6804</v>
      </c>
      <c r="P625" t="s">
        <v>56</v>
      </c>
      <c r="Q625" s="21" t="s">
        <v>6805</v>
      </c>
      <c r="R625" s="21"/>
      <c r="S625" t="s">
        <v>6806</v>
      </c>
      <c r="T625" t="s">
        <v>6807</v>
      </c>
      <c r="X625" t="s">
        <v>60</v>
      </c>
      <c r="Z625" s="15"/>
      <c r="AB625">
        <v>29.37387</v>
      </c>
      <c r="AC625">
        <v>-95.580348999999998</v>
      </c>
      <c r="AD625" t="s">
        <v>6808</v>
      </c>
      <c r="AG625" t="s">
        <v>1715</v>
      </c>
      <c r="AH625" t="s">
        <v>63</v>
      </c>
      <c r="AI625" t="s">
        <v>6809</v>
      </c>
      <c r="AJ625">
        <v>194584</v>
      </c>
      <c r="AL625" t="s">
        <v>6810</v>
      </c>
      <c r="AM625" t="s">
        <v>6811</v>
      </c>
      <c r="AN625" t="s">
        <v>6812</v>
      </c>
      <c r="AO625" t="s">
        <v>68</v>
      </c>
      <c r="AQ625" t="s">
        <v>6813</v>
      </c>
      <c r="AR625" t="s">
        <v>6814</v>
      </c>
      <c r="AS625" t="s">
        <v>6815</v>
      </c>
      <c r="AV625" s="14" t="s">
        <v>72</v>
      </c>
      <c r="AW625" s="14" t="s">
        <v>73</v>
      </c>
      <c r="AX625" s="14" t="s">
        <v>74</v>
      </c>
    </row>
    <row r="626" spans="1:50" ht="15" customHeight="1" x14ac:dyDescent="0.4">
      <c r="A626" s="12">
        <v>3914</v>
      </c>
      <c r="B626" s="21" t="s">
        <v>6816</v>
      </c>
      <c r="C626" s="13" t="s">
        <v>6817</v>
      </c>
      <c r="D626" s="25" t="s">
        <v>6817</v>
      </c>
      <c r="E626" s="13"/>
      <c r="F626" s="41"/>
      <c r="G626" s="65" t="s">
        <v>8185</v>
      </c>
      <c r="H626" s="14" t="s">
        <v>49</v>
      </c>
      <c r="I626" s="15">
        <v>44805</v>
      </c>
      <c r="J626" t="s">
        <v>2719</v>
      </c>
      <c r="K626" t="s">
        <v>51</v>
      </c>
      <c r="L626" t="s">
        <v>52</v>
      </c>
      <c r="M626" t="s">
        <v>53</v>
      </c>
      <c r="N626" t="s">
        <v>6803</v>
      </c>
      <c r="O626" t="s">
        <v>6804</v>
      </c>
      <c r="P626" t="s">
        <v>56</v>
      </c>
      <c r="Q626" s="21" t="s">
        <v>6805</v>
      </c>
      <c r="R626" s="21"/>
      <c r="S626" t="s">
        <v>6818</v>
      </c>
      <c r="T626" t="s">
        <v>6819</v>
      </c>
      <c r="X626" t="s">
        <v>60</v>
      </c>
      <c r="Z626" s="15"/>
      <c r="AB626">
        <v>29.373913999999999</v>
      </c>
      <c r="AC626">
        <v>-95.579059999999998</v>
      </c>
      <c r="AD626" t="s">
        <v>6820</v>
      </c>
      <c r="AG626" t="s">
        <v>1715</v>
      </c>
      <c r="AH626" t="s">
        <v>63</v>
      </c>
      <c r="AI626" t="s">
        <v>6821</v>
      </c>
      <c r="AJ626">
        <v>194585</v>
      </c>
      <c r="AL626" t="s">
        <v>6822</v>
      </c>
      <c r="AM626" t="s">
        <v>6823</v>
      </c>
      <c r="AN626" t="s">
        <v>6824</v>
      </c>
      <c r="AO626" t="s">
        <v>68</v>
      </c>
      <c r="AQ626" t="s">
        <v>6825</v>
      </c>
      <c r="AR626" t="s">
        <v>6826</v>
      </c>
      <c r="AS626" t="s">
        <v>6827</v>
      </c>
      <c r="AV626" s="14" t="s">
        <v>72</v>
      </c>
      <c r="AW626" s="14" t="s">
        <v>73</v>
      </c>
      <c r="AX626" s="14" t="s">
        <v>74</v>
      </c>
    </row>
    <row r="627" spans="1:50" ht="15" customHeight="1" x14ac:dyDescent="0.4">
      <c r="A627" s="12">
        <v>3915</v>
      </c>
      <c r="B627" s="21" t="s">
        <v>6828</v>
      </c>
      <c r="C627" s="13" t="s">
        <v>6829</v>
      </c>
      <c r="D627" s="25" t="s">
        <v>6829</v>
      </c>
      <c r="E627" s="13"/>
      <c r="F627" s="41"/>
      <c r="G627" s="65" t="s">
        <v>8185</v>
      </c>
      <c r="H627" s="14" t="s">
        <v>49</v>
      </c>
      <c r="I627" s="15">
        <v>44805</v>
      </c>
      <c r="J627" t="s">
        <v>2719</v>
      </c>
      <c r="K627" t="s">
        <v>51</v>
      </c>
      <c r="L627" t="s">
        <v>52</v>
      </c>
      <c r="M627" t="s">
        <v>53</v>
      </c>
      <c r="N627" t="s">
        <v>6803</v>
      </c>
      <c r="O627" t="s">
        <v>6804</v>
      </c>
      <c r="P627" t="s">
        <v>56</v>
      </c>
      <c r="Q627" s="21" t="s">
        <v>6805</v>
      </c>
      <c r="R627" s="21"/>
      <c r="S627" t="s">
        <v>6830</v>
      </c>
      <c r="T627" t="s">
        <v>6831</v>
      </c>
      <c r="X627" t="s">
        <v>60</v>
      </c>
      <c r="Z627" s="15"/>
      <c r="AB627">
        <v>29.374410999999998</v>
      </c>
      <c r="AC627">
        <v>-95.576746999999997</v>
      </c>
      <c r="AD627" t="s">
        <v>6832</v>
      </c>
      <c r="AG627" t="s">
        <v>1715</v>
      </c>
      <c r="AH627" t="s">
        <v>63</v>
      </c>
      <c r="AI627" t="s">
        <v>6833</v>
      </c>
      <c r="AJ627">
        <v>194586</v>
      </c>
      <c r="AL627" t="s">
        <v>6834</v>
      </c>
      <c r="AM627" t="s">
        <v>6835</v>
      </c>
      <c r="AN627" t="s">
        <v>6836</v>
      </c>
      <c r="AO627" t="s">
        <v>68</v>
      </c>
      <c r="AQ627" t="s">
        <v>6837</v>
      </c>
      <c r="AR627" t="s">
        <v>6838</v>
      </c>
      <c r="AS627" t="s">
        <v>6839</v>
      </c>
      <c r="AV627" s="14" t="s">
        <v>72</v>
      </c>
      <c r="AW627" s="14" t="s">
        <v>73</v>
      </c>
      <c r="AX627" s="14" t="s">
        <v>74</v>
      </c>
    </row>
    <row r="628" spans="1:50" ht="15" customHeight="1" x14ac:dyDescent="0.4">
      <c r="A628" s="12">
        <v>3916</v>
      </c>
      <c r="B628" s="21" t="s">
        <v>6840</v>
      </c>
      <c r="C628" s="13" t="s">
        <v>6841</v>
      </c>
      <c r="D628" s="25" t="s">
        <v>6841</v>
      </c>
      <c r="E628" s="13"/>
      <c r="F628" s="41"/>
      <c r="G628" s="65" t="s">
        <v>8185</v>
      </c>
      <c r="H628" s="14" t="s">
        <v>49</v>
      </c>
      <c r="I628" s="15">
        <v>44805</v>
      </c>
      <c r="J628" t="s">
        <v>2719</v>
      </c>
      <c r="K628" t="s">
        <v>51</v>
      </c>
      <c r="L628" t="s">
        <v>52</v>
      </c>
      <c r="M628" t="s">
        <v>53</v>
      </c>
      <c r="N628" t="s">
        <v>6803</v>
      </c>
      <c r="O628" t="s">
        <v>6804</v>
      </c>
      <c r="P628" t="s">
        <v>56</v>
      </c>
      <c r="Q628" s="21" t="s">
        <v>6805</v>
      </c>
      <c r="R628" s="21"/>
      <c r="S628" t="s">
        <v>6842</v>
      </c>
      <c r="T628" t="s">
        <v>6843</v>
      </c>
      <c r="X628" t="s">
        <v>60</v>
      </c>
      <c r="Z628" s="15"/>
      <c r="AB628">
        <v>29.375257999999999</v>
      </c>
      <c r="AC628">
        <v>-95.576690999999997</v>
      </c>
      <c r="AD628" t="s">
        <v>6844</v>
      </c>
      <c r="AG628" t="s">
        <v>1715</v>
      </c>
      <c r="AH628" t="s">
        <v>63</v>
      </c>
      <c r="AI628" t="s">
        <v>6845</v>
      </c>
      <c r="AJ628">
        <v>192578</v>
      </c>
      <c r="AL628" t="s">
        <v>6846</v>
      </c>
      <c r="AM628" t="s">
        <v>6847</v>
      </c>
      <c r="AN628" t="s">
        <v>6848</v>
      </c>
      <c r="AO628" t="s">
        <v>68</v>
      </c>
      <c r="AP628" t="s">
        <v>6849</v>
      </c>
      <c r="AQ628" t="s">
        <v>6850</v>
      </c>
      <c r="AR628" t="s">
        <v>6851</v>
      </c>
      <c r="AS628" t="s">
        <v>6852</v>
      </c>
      <c r="AT628" s="31" t="s">
        <v>6853</v>
      </c>
      <c r="AV628" s="14" t="s">
        <v>72</v>
      </c>
      <c r="AW628" s="14" t="s">
        <v>73</v>
      </c>
      <c r="AX628" s="14" t="s">
        <v>74</v>
      </c>
    </row>
    <row r="629" spans="1:50" ht="15" customHeight="1" x14ac:dyDescent="0.4">
      <c r="A629" s="12">
        <v>3917</v>
      </c>
      <c r="B629" s="21" t="s">
        <v>6854</v>
      </c>
      <c r="C629" s="13" t="s">
        <v>6855</v>
      </c>
      <c r="D629" s="25" t="s">
        <v>6855</v>
      </c>
      <c r="E629" s="13"/>
      <c r="F629" s="41"/>
      <c r="G629" s="65" t="s">
        <v>8185</v>
      </c>
      <c r="H629" s="14" t="s">
        <v>1703</v>
      </c>
      <c r="I629" s="15">
        <v>44805</v>
      </c>
      <c r="J629" t="s">
        <v>2719</v>
      </c>
      <c r="K629" t="s">
        <v>51</v>
      </c>
      <c r="L629" t="s">
        <v>52</v>
      </c>
      <c r="M629" t="s">
        <v>53</v>
      </c>
      <c r="N629" t="s">
        <v>6803</v>
      </c>
      <c r="O629" t="s">
        <v>6804</v>
      </c>
      <c r="P629" t="s">
        <v>56</v>
      </c>
      <c r="Q629" s="21" t="s">
        <v>6805</v>
      </c>
      <c r="R629" s="21"/>
      <c r="S629" t="s">
        <v>6856</v>
      </c>
      <c r="T629" t="s">
        <v>6857</v>
      </c>
      <c r="X629" t="s">
        <v>1713</v>
      </c>
      <c r="Z629" s="15"/>
      <c r="AB629">
        <v>29.375263</v>
      </c>
      <c r="AC629">
        <v>-95.585273000000001</v>
      </c>
      <c r="AD629" t="s">
        <v>6858</v>
      </c>
      <c r="AG629" t="s">
        <v>1715</v>
      </c>
      <c r="AH629" t="s">
        <v>63</v>
      </c>
      <c r="AI629" t="s">
        <v>6859</v>
      </c>
      <c r="AJ629">
        <v>193749</v>
      </c>
      <c r="AL629" t="s">
        <v>6860</v>
      </c>
      <c r="AM629" t="s">
        <v>6861</v>
      </c>
      <c r="AN629" t="s">
        <v>6862</v>
      </c>
      <c r="AO629" t="s">
        <v>68</v>
      </c>
      <c r="AQ629" t="s">
        <v>6863</v>
      </c>
      <c r="AR629" t="s">
        <v>6864</v>
      </c>
      <c r="AS629" t="s">
        <v>6865</v>
      </c>
      <c r="AV629" s="14" t="s">
        <v>72</v>
      </c>
      <c r="AW629" s="14" t="s">
        <v>73</v>
      </c>
      <c r="AX629" s="14" t="s">
        <v>1723</v>
      </c>
    </row>
    <row r="630" spans="1:50" ht="15" customHeight="1" x14ac:dyDescent="0.4">
      <c r="A630" s="12">
        <v>3918</v>
      </c>
      <c r="B630" s="21" t="s">
        <v>6866</v>
      </c>
      <c r="C630" s="13" t="s">
        <v>6867</v>
      </c>
      <c r="D630" s="25" t="s">
        <v>6867</v>
      </c>
      <c r="E630" s="13"/>
      <c r="F630" s="41"/>
      <c r="G630" s="65" t="s">
        <v>8185</v>
      </c>
      <c r="H630" s="14" t="s">
        <v>1703</v>
      </c>
      <c r="I630" s="15">
        <v>44805</v>
      </c>
      <c r="J630" t="s">
        <v>2719</v>
      </c>
      <c r="K630" t="s">
        <v>51</v>
      </c>
      <c r="L630" t="s">
        <v>52</v>
      </c>
      <c r="M630" t="s">
        <v>53</v>
      </c>
      <c r="N630" t="s">
        <v>6803</v>
      </c>
      <c r="O630" t="s">
        <v>6804</v>
      </c>
      <c r="P630" t="s">
        <v>56</v>
      </c>
      <c r="Q630" s="21" t="s">
        <v>6805</v>
      </c>
      <c r="R630" s="21"/>
      <c r="S630" t="s">
        <v>6868</v>
      </c>
      <c r="T630" t="s">
        <v>6869</v>
      </c>
      <c r="X630" t="s">
        <v>1713</v>
      </c>
      <c r="Z630" s="15"/>
      <c r="AB630">
        <v>29.374983</v>
      </c>
      <c r="AC630">
        <v>-95.586538000000004</v>
      </c>
      <c r="AD630" t="s">
        <v>6808</v>
      </c>
      <c r="AG630" t="s">
        <v>1715</v>
      </c>
      <c r="AH630" t="s">
        <v>63</v>
      </c>
      <c r="AI630" t="s">
        <v>6870</v>
      </c>
      <c r="AJ630">
        <v>193750</v>
      </c>
      <c r="AL630" t="s">
        <v>6871</v>
      </c>
      <c r="AM630" t="s">
        <v>6872</v>
      </c>
      <c r="AN630" t="s">
        <v>6873</v>
      </c>
      <c r="AO630" t="s">
        <v>68</v>
      </c>
      <c r="AQ630" t="s">
        <v>6874</v>
      </c>
      <c r="AR630" t="s">
        <v>6875</v>
      </c>
      <c r="AS630" t="s">
        <v>6876</v>
      </c>
      <c r="AV630" s="14" t="s">
        <v>72</v>
      </c>
      <c r="AW630" s="14" t="s">
        <v>73</v>
      </c>
      <c r="AX630" s="14" t="s">
        <v>1723</v>
      </c>
    </row>
    <row r="631" spans="1:50" ht="15" customHeight="1" x14ac:dyDescent="0.4">
      <c r="A631" s="12">
        <v>3919</v>
      </c>
      <c r="B631" s="21" t="s">
        <v>6877</v>
      </c>
      <c r="C631" s="13" t="s">
        <v>6878</v>
      </c>
      <c r="D631" s="25" t="s">
        <v>6878</v>
      </c>
      <c r="E631" s="13"/>
      <c r="F631" s="41"/>
      <c r="G631" s="65" t="s">
        <v>8185</v>
      </c>
      <c r="H631" s="14" t="s">
        <v>49</v>
      </c>
      <c r="I631" s="15">
        <v>44805</v>
      </c>
      <c r="J631" t="s">
        <v>2719</v>
      </c>
      <c r="K631" t="s">
        <v>51</v>
      </c>
      <c r="L631" t="s">
        <v>52</v>
      </c>
      <c r="M631" t="s">
        <v>53</v>
      </c>
      <c r="N631" t="s">
        <v>6803</v>
      </c>
      <c r="O631" t="s">
        <v>6804</v>
      </c>
      <c r="P631" t="s">
        <v>56</v>
      </c>
      <c r="Q631" s="21" t="s">
        <v>6805</v>
      </c>
      <c r="R631" s="21"/>
      <c r="S631" t="s">
        <v>6879</v>
      </c>
      <c r="T631" t="s">
        <v>6880</v>
      </c>
      <c r="W631" t="s">
        <v>1758</v>
      </c>
      <c r="X631" t="s">
        <v>60</v>
      </c>
      <c r="Z631" s="15"/>
      <c r="AB631">
        <v>29.378315000000001</v>
      </c>
      <c r="AC631">
        <v>-95.586521000000005</v>
      </c>
      <c r="AD631" t="s">
        <v>6881</v>
      </c>
      <c r="AG631" t="s">
        <v>1715</v>
      </c>
      <c r="AH631" t="s">
        <v>63</v>
      </c>
      <c r="AI631" t="s">
        <v>6882</v>
      </c>
      <c r="AJ631">
        <v>194566</v>
      </c>
      <c r="AL631" t="s">
        <v>6883</v>
      </c>
      <c r="AM631" t="s">
        <v>6884</v>
      </c>
      <c r="AN631" t="s">
        <v>6885</v>
      </c>
      <c r="AO631" t="s">
        <v>68</v>
      </c>
      <c r="AQ631" t="s">
        <v>6886</v>
      </c>
      <c r="AR631" t="s">
        <v>6887</v>
      </c>
      <c r="AS631" t="s">
        <v>6888</v>
      </c>
      <c r="AV631" s="14" t="s">
        <v>72</v>
      </c>
      <c r="AW631" s="14" t="s">
        <v>73</v>
      </c>
      <c r="AX631" s="14" t="s">
        <v>74</v>
      </c>
    </row>
    <row r="632" spans="1:50" ht="15" customHeight="1" x14ac:dyDescent="0.4">
      <c r="A632" s="12">
        <v>3920</v>
      </c>
      <c r="B632" s="21" t="s">
        <v>6889</v>
      </c>
      <c r="C632" s="13" t="s">
        <v>6890</v>
      </c>
      <c r="D632" s="25" t="s">
        <v>6890</v>
      </c>
      <c r="E632" s="13"/>
      <c r="F632" s="41"/>
      <c r="G632" s="65" t="s">
        <v>8185</v>
      </c>
      <c r="H632" s="14" t="s">
        <v>2006</v>
      </c>
      <c r="I632" s="15">
        <v>44805</v>
      </c>
      <c r="J632" t="s">
        <v>2719</v>
      </c>
      <c r="K632" t="s">
        <v>51</v>
      </c>
      <c r="L632" t="s">
        <v>52</v>
      </c>
      <c r="M632" t="s">
        <v>53</v>
      </c>
      <c r="N632" t="s">
        <v>6803</v>
      </c>
      <c r="O632" t="s">
        <v>6804</v>
      </c>
      <c r="P632" t="s">
        <v>56</v>
      </c>
      <c r="Q632" s="21" t="s">
        <v>6805</v>
      </c>
      <c r="R632" s="21"/>
      <c r="S632" t="s">
        <v>6891</v>
      </c>
      <c r="T632" t="s">
        <v>6892</v>
      </c>
      <c r="X632" t="s">
        <v>2009</v>
      </c>
      <c r="Z632" s="15"/>
      <c r="AB632">
        <v>29.373101999999999</v>
      </c>
      <c r="AC632">
        <v>-95.608037999999993</v>
      </c>
      <c r="AD632" t="s">
        <v>6893</v>
      </c>
      <c r="AG632" t="s">
        <v>1715</v>
      </c>
      <c r="AH632" t="s">
        <v>63</v>
      </c>
      <c r="AI632" t="s">
        <v>6894</v>
      </c>
      <c r="AJ632">
        <v>194238</v>
      </c>
      <c r="AL632" t="s">
        <v>6895</v>
      </c>
      <c r="AM632" t="s">
        <v>6896</v>
      </c>
      <c r="AN632" t="s">
        <v>6897</v>
      </c>
      <c r="AO632" t="s">
        <v>68</v>
      </c>
      <c r="AQ632" t="s">
        <v>6898</v>
      </c>
      <c r="AR632" t="s">
        <v>6899</v>
      </c>
      <c r="AS632" t="s">
        <v>6900</v>
      </c>
      <c r="AV632" s="14" t="s">
        <v>72</v>
      </c>
      <c r="AW632" s="14" t="s">
        <v>73</v>
      </c>
      <c r="AX632" s="14" t="s">
        <v>74</v>
      </c>
    </row>
    <row r="633" spans="1:50" ht="15" customHeight="1" x14ac:dyDescent="0.4">
      <c r="A633" s="12">
        <v>3932</v>
      </c>
      <c r="B633" s="21" t="s">
        <v>7032</v>
      </c>
      <c r="C633" s="13" t="s">
        <v>7033</v>
      </c>
      <c r="D633" s="25" t="s">
        <v>7033</v>
      </c>
      <c r="E633" s="13"/>
      <c r="F633" s="46" t="s">
        <v>3178</v>
      </c>
      <c r="G633" s="65" t="s">
        <v>8188</v>
      </c>
      <c r="H633" s="14" t="s">
        <v>1752</v>
      </c>
      <c r="I633" s="15">
        <v>44808</v>
      </c>
      <c r="J633" t="s">
        <v>7034</v>
      </c>
      <c r="K633" t="s">
        <v>51</v>
      </c>
      <c r="L633" t="s">
        <v>52</v>
      </c>
      <c r="M633" t="s">
        <v>53</v>
      </c>
      <c r="N633" t="s">
        <v>6803</v>
      </c>
      <c r="O633" t="s">
        <v>6903</v>
      </c>
      <c r="P633" t="s">
        <v>56</v>
      </c>
      <c r="Q633" s="21" t="s">
        <v>7035</v>
      </c>
      <c r="R633" s="21"/>
      <c r="S633" t="s">
        <v>7036</v>
      </c>
      <c r="T633" t="s">
        <v>7037</v>
      </c>
      <c r="X633" t="s">
        <v>1759</v>
      </c>
      <c r="Z633" s="15"/>
      <c r="AB633">
        <v>32.637725000000003</v>
      </c>
      <c r="AC633">
        <v>-96.977413999999996</v>
      </c>
      <c r="AD633" t="s">
        <v>5854</v>
      </c>
      <c r="AG633" t="s">
        <v>1715</v>
      </c>
      <c r="AH633" t="s">
        <v>63</v>
      </c>
      <c r="AI633" t="s">
        <v>7038</v>
      </c>
      <c r="AJ633">
        <v>193543</v>
      </c>
      <c r="AL633" t="s">
        <v>7039</v>
      </c>
      <c r="AM633" t="s">
        <v>7040</v>
      </c>
      <c r="AN633" t="s">
        <v>7041</v>
      </c>
      <c r="AO633" t="s">
        <v>68</v>
      </c>
      <c r="AQ633" t="s">
        <v>7042</v>
      </c>
      <c r="AR633" t="s">
        <v>7043</v>
      </c>
      <c r="AS633" t="s">
        <v>7044</v>
      </c>
      <c r="AV633" s="14" t="s">
        <v>72</v>
      </c>
      <c r="AW633" s="14" t="s">
        <v>73</v>
      </c>
      <c r="AX633" s="14" t="s">
        <v>1768</v>
      </c>
    </row>
    <row r="634" spans="1:50" ht="15" customHeight="1" x14ac:dyDescent="0.4">
      <c r="A634" s="12">
        <v>3933</v>
      </c>
      <c r="B634" s="21" t="s">
        <v>7045</v>
      </c>
      <c r="C634" s="13" t="s">
        <v>7046</v>
      </c>
      <c r="D634" s="25" t="s">
        <v>7046</v>
      </c>
      <c r="E634" s="13"/>
      <c r="F634" s="46" t="s">
        <v>1752</v>
      </c>
      <c r="G634" s="65" t="s">
        <v>8189</v>
      </c>
      <c r="H634" s="14" t="s">
        <v>1752</v>
      </c>
      <c r="I634" s="15">
        <v>44808</v>
      </c>
      <c r="J634" t="s">
        <v>7034</v>
      </c>
      <c r="K634" t="s">
        <v>51</v>
      </c>
      <c r="L634" t="s">
        <v>52</v>
      </c>
      <c r="M634" t="s">
        <v>53</v>
      </c>
      <c r="N634" t="s">
        <v>6803</v>
      </c>
      <c r="O634" t="s">
        <v>6903</v>
      </c>
      <c r="P634" t="s">
        <v>56</v>
      </c>
      <c r="Q634" s="21" t="s">
        <v>7035</v>
      </c>
      <c r="R634" s="21"/>
      <c r="S634" t="s">
        <v>7047</v>
      </c>
      <c r="T634" t="s">
        <v>7048</v>
      </c>
      <c r="W634" t="s">
        <v>1758</v>
      </c>
      <c r="X634" t="s">
        <v>1759</v>
      </c>
      <c r="Z634" s="15"/>
      <c r="AB634">
        <v>32.638171</v>
      </c>
      <c r="AC634">
        <v>-96.977670000000003</v>
      </c>
      <c r="AD634" t="s">
        <v>7049</v>
      </c>
      <c r="AG634" t="s">
        <v>1715</v>
      </c>
      <c r="AH634" t="s">
        <v>63</v>
      </c>
      <c r="AI634" t="s">
        <v>7050</v>
      </c>
      <c r="AJ634">
        <v>193544</v>
      </c>
      <c r="AL634" t="s">
        <v>7051</v>
      </c>
      <c r="AM634" t="s">
        <v>7052</v>
      </c>
      <c r="AN634" t="s">
        <v>7053</v>
      </c>
      <c r="AO634" t="s">
        <v>68</v>
      </c>
      <c r="AQ634" t="s">
        <v>7054</v>
      </c>
      <c r="AR634" t="s">
        <v>7055</v>
      </c>
      <c r="AS634" t="s">
        <v>7056</v>
      </c>
      <c r="AV634" s="14" t="s">
        <v>72</v>
      </c>
      <c r="AW634" s="14" t="s">
        <v>73</v>
      </c>
      <c r="AX634" s="14" t="s">
        <v>1768</v>
      </c>
    </row>
    <row r="635" spans="1:50" ht="15" customHeight="1" x14ac:dyDescent="0.4">
      <c r="A635" s="12">
        <v>3934</v>
      </c>
      <c r="B635" s="21" t="s">
        <v>7057</v>
      </c>
      <c r="C635" s="13" t="s">
        <v>7058</v>
      </c>
      <c r="D635" s="25" t="s">
        <v>7058</v>
      </c>
      <c r="E635" s="13"/>
      <c r="F635" s="41"/>
      <c r="G635" s="65" t="s">
        <v>8185</v>
      </c>
      <c r="H635" s="14" t="s">
        <v>49</v>
      </c>
      <c r="I635" s="15">
        <v>44808</v>
      </c>
      <c r="J635" t="s">
        <v>7034</v>
      </c>
      <c r="K635" t="s">
        <v>51</v>
      </c>
      <c r="L635" t="s">
        <v>52</v>
      </c>
      <c r="M635" t="s">
        <v>53</v>
      </c>
      <c r="N635" t="s">
        <v>6803</v>
      </c>
      <c r="O635" t="s">
        <v>6903</v>
      </c>
      <c r="P635" t="s">
        <v>56</v>
      </c>
      <c r="Q635" s="21" t="s">
        <v>7035</v>
      </c>
      <c r="R635" s="21"/>
      <c r="S635" t="s">
        <v>7059</v>
      </c>
      <c r="T635" t="s">
        <v>7060</v>
      </c>
      <c r="X635" t="s">
        <v>60</v>
      </c>
      <c r="Z635" s="15"/>
      <c r="AB635">
        <v>32.638187000000002</v>
      </c>
      <c r="AC635">
        <v>-96.975785999999999</v>
      </c>
      <c r="AD635" t="s">
        <v>7061</v>
      </c>
      <c r="AG635" t="s">
        <v>1715</v>
      </c>
      <c r="AH635" t="s">
        <v>63</v>
      </c>
      <c r="AI635" t="s">
        <v>7062</v>
      </c>
      <c r="AJ635">
        <v>193374</v>
      </c>
      <c r="AL635" t="s">
        <v>7063</v>
      </c>
      <c r="AM635" t="s">
        <v>7064</v>
      </c>
      <c r="AN635" t="s">
        <v>7065</v>
      </c>
      <c r="AO635" t="s">
        <v>68</v>
      </c>
      <c r="AQ635" t="s">
        <v>7066</v>
      </c>
      <c r="AR635" t="s">
        <v>7067</v>
      </c>
      <c r="AS635" t="s">
        <v>7068</v>
      </c>
      <c r="AV635" s="14" t="s">
        <v>72</v>
      </c>
      <c r="AW635" s="14" t="s">
        <v>73</v>
      </c>
      <c r="AX635" s="14" t="s">
        <v>74</v>
      </c>
    </row>
    <row r="636" spans="1:50" ht="15" customHeight="1" x14ac:dyDescent="0.4">
      <c r="A636" s="12">
        <v>3935</v>
      </c>
      <c r="B636" s="21" t="s">
        <v>7069</v>
      </c>
      <c r="C636" s="13" t="s">
        <v>7070</v>
      </c>
      <c r="D636" s="25" t="s">
        <v>7070</v>
      </c>
      <c r="E636" s="13"/>
      <c r="F636" s="46" t="s">
        <v>3178</v>
      </c>
      <c r="G636" s="65" t="s">
        <v>8188</v>
      </c>
      <c r="H636" s="14" t="s">
        <v>1752</v>
      </c>
      <c r="I636" s="15">
        <v>44808</v>
      </c>
      <c r="J636" t="s">
        <v>7034</v>
      </c>
      <c r="K636" t="s">
        <v>51</v>
      </c>
      <c r="L636" t="s">
        <v>52</v>
      </c>
      <c r="M636" t="s">
        <v>53</v>
      </c>
      <c r="N636" t="s">
        <v>6803</v>
      </c>
      <c r="O636" t="s">
        <v>6903</v>
      </c>
      <c r="P636" t="s">
        <v>56</v>
      </c>
      <c r="Q636" s="21" t="s">
        <v>7035</v>
      </c>
      <c r="R636" s="21"/>
      <c r="S636" t="s">
        <v>7071</v>
      </c>
      <c r="T636" t="s">
        <v>7072</v>
      </c>
      <c r="W636" t="s">
        <v>1758</v>
      </c>
      <c r="X636" t="s">
        <v>1759</v>
      </c>
      <c r="Z636" s="15"/>
      <c r="AB636">
        <v>32.637915</v>
      </c>
      <c r="AC636">
        <v>-96.978442999999999</v>
      </c>
      <c r="AD636" t="s">
        <v>7073</v>
      </c>
      <c r="AG636" t="s">
        <v>1715</v>
      </c>
      <c r="AH636" t="s">
        <v>63</v>
      </c>
      <c r="AI636" t="s">
        <v>7074</v>
      </c>
      <c r="AJ636">
        <v>193545</v>
      </c>
      <c r="AL636" t="s">
        <v>7075</v>
      </c>
      <c r="AM636" t="s">
        <v>7076</v>
      </c>
      <c r="AN636" t="s">
        <v>7077</v>
      </c>
      <c r="AO636" t="s">
        <v>68</v>
      </c>
      <c r="AQ636" t="s">
        <v>7078</v>
      </c>
      <c r="AR636" t="s">
        <v>7079</v>
      </c>
      <c r="AS636" t="s">
        <v>7080</v>
      </c>
      <c r="AV636" s="14" t="s">
        <v>72</v>
      </c>
      <c r="AW636" s="14" t="s">
        <v>73</v>
      </c>
      <c r="AX636" s="14" t="s">
        <v>1768</v>
      </c>
    </row>
    <row r="637" spans="1:50" ht="15" customHeight="1" x14ac:dyDescent="0.4">
      <c r="A637" s="12">
        <v>3936</v>
      </c>
      <c r="B637" s="21" t="s">
        <v>7081</v>
      </c>
      <c r="C637" s="13" t="s">
        <v>7082</v>
      </c>
      <c r="D637" s="25" t="s">
        <v>7082</v>
      </c>
      <c r="E637" s="13"/>
      <c r="F637" s="46" t="s">
        <v>1752</v>
      </c>
      <c r="G637" s="65" t="s">
        <v>8189</v>
      </c>
      <c r="H637" s="14" t="s">
        <v>1752</v>
      </c>
      <c r="I637" s="15">
        <v>44808</v>
      </c>
      <c r="J637" t="s">
        <v>7034</v>
      </c>
      <c r="K637" t="s">
        <v>51</v>
      </c>
      <c r="L637" t="s">
        <v>52</v>
      </c>
      <c r="M637" t="s">
        <v>53</v>
      </c>
      <c r="N637" t="s">
        <v>6803</v>
      </c>
      <c r="O637" t="s">
        <v>6903</v>
      </c>
      <c r="P637" t="s">
        <v>56</v>
      </c>
      <c r="Q637" s="21" t="s">
        <v>7035</v>
      </c>
      <c r="R637" s="21"/>
      <c r="S637" t="s">
        <v>7083</v>
      </c>
      <c r="T637" t="s">
        <v>7084</v>
      </c>
      <c r="W637" t="s">
        <v>1758</v>
      </c>
      <c r="X637" t="s">
        <v>1759</v>
      </c>
      <c r="Z637" s="15"/>
      <c r="AB637">
        <v>32.638393999999998</v>
      </c>
      <c r="AC637">
        <v>-96.979085999999995</v>
      </c>
      <c r="AD637" t="s">
        <v>7085</v>
      </c>
      <c r="AG637" t="s">
        <v>1715</v>
      </c>
      <c r="AH637" t="s">
        <v>63</v>
      </c>
      <c r="AI637" t="s">
        <v>7086</v>
      </c>
      <c r="AJ637">
        <v>193546</v>
      </c>
      <c r="AL637" t="s">
        <v>7087</v>
      </c>
      <c r="AM637" t="s">
        <v>7088</v>
      </c>
      <c r="AN637" t="s">
        <v>7089</v>
      </c>
      <c r="AO637" t="s">
        <v>68</v>
      </c>
      <c r="AQ637" t="s">
        <v>7090</v>
      </c>
      <c r="AR637" t="s">
        <v>7091</v>
      </c>
      <c r="AS637" t="s">
        <v>7092</v>
      </c>
      <c r="AV637" s="14" t="s">
        <v>72</v>
      </c>
      <c r="AW637" s="14" t="s">
        <v>73</v>
      </c>
      <c r="AX637" s="14" t="s">
        <v>1768</v>
      </c>
    </row>
    <row r="638" spans="1:50" ht="15" customHeight="1" x14ac:dyDescent="0.4">
      <c r="A638" s="12">
        <v>3937</v>
      </c>
      <c r="B638" s="21" t="s">
        <v>7093</v>
      </c>
      <c r="C638" s="13" t="s">
        <v>7094</v>
      </c>
      <c r="D638" s="25" t="s">
        <v>7094</v>
      </c>
      <c r="E638" s="13"/>
      <c r="F638" s="41"/>
      <c r="G638" s="65" t="s">
        <v>8185</v>
      </c>
      <c r="H638" s="14" t="s">
        <v>49</v>
      </c>
      <c r="I638" s="15">
        <v>44808</v>
      </c>
      <c r="J638" t="s">
        <v>7034</v>
      </c>
      <c r="K638" t="s">
        <v>51</v>
      </c>
      <c r="L638" t="s">
        <v>52</v>
      </c>
      <c r="M638" t="s">
        <v>53</v>
      </c>
      <c r="N638" t="s">
        <v>6803</v>
      </c>
      <c r="O638" t="s">
        <v>6903</v>
      </c>
      <c r="P638" t="s">
        <v>56</v>
      </c>
      <c r="Q638" s="21" t="s">
        <v>7035</v>
      </c>
      <c r="R638" s="21"/>
      <c r="S638" t="s">
        <v>7095</v>
      </c>
      <c r="T638" t="s">
        <v>7096</v>
      </c>
      <c r="W638" t="s">
        <v>3765</v>
      </c>
      <c r="X638" t="s">
        <v>60</v>
      </c>
      <c r="Z638" s="15"/>
      <c r="AB638">
        <v>32.635409000000003</v>
      </c>
      <c r="AC638">
        <v>-96.974027000000007</v>
      </c>
      <c r="AD638" t="s">
        <v>7097</v>
      </c>
      <c r="AG638" t="s">
        <v>1715</v>
      </c>
      <c r="AH638" t="s">
        <v>63</v>
      </c>
      <c r="AI638" t="s">
        <v>7098</v>
      </c>
      <c r="AJ638">
        <v>194587</v>
      </c>
      <c r="AL638" t="s">
        <v>7099</v>
      </c>
      <c r="AM638" t="s">
        <v>7100</v>
      </c>
      <c r="AN638" t="s">
        <v>7101</v>
      </c>
      <c r="AO638" t="s">
        <v>68</v>
      </c>
      <c r="AQ638" t="s">
        <v>7102</v>
      </c>
      <c r="AR638" t="s">
        <v>7103</v>
      </c>
      <c r="AS638" t="s">
        <v>7104</v>
      </c>
      <c r="AV638" s="14" t="s">
        <v>72</v>
      </c>
      <c r="AW638" s="14" t="s">
        <v>73</v>
      </c>
      <c r="AX638" s="14" t="s">
        <v>74</v>
      </c>
    </row>
    <row r="639" spans="1:50" ht="15" customHeight="1" x14ac:dyDescent="0.4">
      <c r="A639" s="12">
        <v>3938</v>
      </c>
      <c r="B639" s="21" t="s">
        <v>7105</v>
      </c>
      <c r="C639" s="13" t="s">
        <v>7106</v>
      </c>
      <c r="D639" s="25" t="s">
        <v>7106</v>
      </c>
      <c r="E639" s="13"/>
      <c r="F639" s="46" t="s">
        <v>3178</v>
      </c>
      <c r="G639" s="65" t="s">
        <v>8188</v>
      </c>
      <c r="H639" s="14" t="s">
        <v>1752</v>
      </c>
      <c r="I639" s="15">
        <v>44808</v>
      </c>
      <c r="J639" t="s">
        <v>7034</v>
      </c>
      <c r="K639" t="s">
        <v>51</v>
      </c>
      <c r="L639" t="s">
        <v>52</v>
      </c>
      <c r="M639" t="s">
        <v>53</v>
      </c>
      <c r="N639" t="s">
        <v>6803</v>
      </c>
      <c r="O639" t="s">
        <v>6903</v>
      </c>
      <c r="P639" t="s">
        <v>56</v>
      </c>
      <c r="Q639" s="21" t="s">
        <v>7035</v>
      </c>
      <c r="R639" s="21"/>
      <c r="S639" t="s">
        <v>7107</v>
      </c>
      <c r="T639" t="s">
        <v>7108</v>
      </c>
      <c r="W639" t="s">
        <v>1758</v>
      </c>
      <c r="X639" t="s">
        <v>1759</v>
      </c>
      <c r="Z639" s="15"/>
      <c r="AB639">
        <v>32.634977999999997</v>
      </c>
      <c r="AC639">
        <v>-96.979732999999996</v>
      </c>
      <c r="AD639" t="s">
        <v>5724</v>
      </c>
      <c r="AG639" t="s">
        <v>1715</v>
      </c>
      <c r="AH639" t="s">
        <v>63</v>
      </c>
      <c r="AI639" t="s">
        <v>7109</v>
      </c>
      <c r="AJ639">
        <v>193547</v>
      </c>
      <c r="AL639" t="s">
        <v>7110</v>
      </c>
      <c r="AM639" t="s">
        <v>7111</v>
      </c>
      <c r="AN639" t="s">
        <v>7112</v>
      </c>
      <c r="AO639" t="s">
        <v>68</v>
      </c>
      <c r="AQ639" t="s">
        <v>7113</v>
      </c>
      <c r="AR639" t="s">
        <v>7114</v>
      </c>
      <c r="AS639" t="s">
        <v>7115</v>
      </c>
      <c r="AV639" s="14" t="s">
        <v>72</v>
      </c>
      <c r="AW639" s="14" t="s">
        <v>73</v>
      </c>
      <c r="AX639" s="14" t="s">
        <v>1768</v>
      </c>
    </row>
    <row r="640" spans="1:50" ht="15" customHeight="1" x14ac:dyDescent="0.4">
      <c r="A640" s="12">
        <v>3939</v>
      </c>
      <c r="B640" s="21" t="s">
        <v>7116</v>
      </c>
      <c r="C640" s="13" t="s">
        <v>7117</v>
      </c>
      <c r="D640" s="25" t="s">
        <v>7117</v>
      </c>
      <c r="E640" s="13"/>
      <c r="F640" s="41"/>
      <c r="G640" s="65" t="s">
        <v>8185</v>
      </c>
      <c r="H640" s="14" t="s">
        <v>49</v>
      </c>
      <c r="I640" s="15">
        <v>44808</v>
      </c>
      <c r="J640" t="s">
        <v>7034</v>
      </c>
      <c r="K640" t="s">
        <v>51</v>
      </c>
      <c r="L640" t="s">
        <v>52</v>
      </c>
      <c r="M640" t="s">
        <v>53</v>
      </c>
      <c r="N640" t="s">
        <v>6803</v>
      </c>
      <c r="O640" t="s">
        <v>6903</v>
      </c>
      <c r="P640" t="s">
        <v>56</v>
      </c>
      <c r="Q640" s="21" t="s">
        <v>7035</v>
      </c>
      <c r="R640" s="21"/>
      <c r="S640" t="s">
        <v>7118</v>
      </c>
      <c r="T640" t="s">
        <v>7119</v>
      </c>
      <c r="W640" t="s">
        <v>2452</v>
      </c>
      <c r="X640" t="s">
        <v>60</v>
      </c>
      <c r="Z640" s="15"/>
      <c r="AB640">
        <v>32.632035000000002</v>
      </c>
      <c r="AC640">
        <v>-96.975904</v>
      </c>
      <c r="AD640" t="s">
        <v>7120</v>
      </c>
      <c r="AG640" t="s">
        <v>1715</v>
      </c>
      <c r="AH640" t="s">
        <v>63</v>
      </c>
      <c r="AI640" t="s">
        <v>7121</v>
      </c>
      <c r="AJ640">
        <v>194567</v>
      </c>
      <c r="AL640" t="s">
        <v>7122</v>
      </c>
      <c r="AM640" t="s">
        <v>7123</v>
      </c>
      <c r="AN640" t="s">
        <v>7124</v>
      </c>
      <c r="AO640" t="s">
        <v>68</v>
      </c>
      <c r="AQ640" t="s">
        <v>7125</v>
      </c>
      <c r="AR640" t="s">
        <v>7126</v>
      </c>
      <c r="AS640" t="s">
        <v>7127</v>
      </c>
      <c r="AV640" s="14" t="s">
        <v>72</v>
      </c>
      <c r="AW640" s="14" t="s">
        <v>73</v>
      </c>
      <c r="AX640" s="14" t="s">
        <v>74</v>
      </c>
    </row>
    <row r="641" spans="1:50" ht="15" customHeight="1" x14ac:dyDescent="0.4">
      <c r="A641" s="12">
        <v>3940</v>
      </c>
      <c r="B641" s="21" t="s">
        <v>7128</v>
      </c>
      <c r="C641" s="13" t="s">
        <v>7129</v>
      </c>
      <c r="D641" s="25" t="s">
        <v>7129</v>
      </c>
      <c r="E641" s="13"/>
      <c r="F641" s="41"/>
      <c r="G641" s="65" t="s">
        <v>8185</v>
      </c>
      <c r="H641" s="14" t="s">
        <v>49</v>
      </c>
      <c r="I641" s="15">
        <v>44808</v>
      </c>
      <c r="J641" t="s">
        <v>7034</v>
      </c>
      <c r="K641" t="s">
        <v>51</v>
      </c>
      <c r="L641" t="s">
        <v>52</v>
      </c>
      <c r="M641" t="s">
        <v>53</v>
      </c>
      <c r="N641" t="s">
        <v>6803</v>
      </c>
      <c r="O641" t="s">
        <v>6903</v>
      </c>
      <c r="P641" t="s">
        <v>56</v>
      </c>
      <c r="Q641" s="21" t="s">
        <v>7035</v>
      </c>
      <c r="R641" s="21"/>
      <c r="S641" t="s">
        <v>7130</v>
      </c>
      <c r="T641" t="s">
        <v>7131</v>
      </c>
      <c r="W641" t="s">
        <v>2452</v>
      </c>
      <c r="X641" t="s">
        <v>60</v>
      </c>
      <c r="Z641" s="15"/>
      <c r="AB641">
        <v>32.622964000000003</v>
      </c>
      <c r="AC641">
        <v>-96.979468999999995</v>
      </c>
      <c r="AD641" t="s">
        <v>7132</v>
      </c>
      <c r="AG641" t="s">
        <v>1715</v>
      </c>
      <c r="AH641" t="s">
        <v>63</v>
      </c>
      <c r="AI641" t="s">
        <v>7133</v>
      </c>
      <c r="AJ641">
        <v>194588</v>
      </c>
      <c r="AL641" t="s">
        <v>7134</v>
      </c>
      <c r="AM641" t="s">
        <v>7135</v>
      </c>
      <c r="AN641" t="s">
        <v>7136</v>
      </c>
      <c r="AO641" t="s">
        <v>68</v>
      </c>
      <c r="AQ641" t="s">
        <v>7137</v>
      </c>
      <c r="AR641" t="s">
        <v>7138</v>
      </c>
      <c r="AS641" t="s">
        <v>7139</v>
      </c>
      <c r="AV641" s="14" t="s">
        <v>72</v>
      </c>
      <c r="AW641" s="14" t="s">
        <v>73</v>
      </c>
      <c r="AX641" s="14" t="s">
        <v>74</v>
      </c>
    </row>
    <row r="642" spans="1:50" ht="15" customHeight="1" x14ac:dyDescent="0.4">
      <c r="A642" s="12">
        <v>3941</v>
      </c>
      <c r="B642" s="21" t="s">
        <v>7140</v>
      </c>
      <c r="C642" s="13" t="s">
        <v>7141</v>
      </c>
      <c r="D642" s="25" t="s">
        <v>7141</v>
      </c>
      <c r="E642" s="13"/>
      <c r="F642" s="41"/>
      <c r="G642" s="65" t="s">
        <v>8185</v>
      </c>
      <c r="H642" s="14" t="s">
        <v>6929</v>
      </c>
      <c r="I642" s="15">
        <v>44808</v>
      </c>
      <c r="J642" t="s">
        <v>7034</v>
      </c>
      <c r="K642" t="s">
        <v>51</v>
      </c>
      <c r="L642" t="s">
        <v>52</v>
      </c>
      <c r="M642" t="s">
        <v>53</v>
      </c>
      <c r="N642" t="s">
        <v>6803</v>
      </c>
      <c r="O642" t="s">
        <v>6903</v>
      </c>
      <c r="P642" t="s">
        <v>56</v>
      </c>
      <c r="Q642" s="21" t="s">
        <v>7035</v>
      </c>
      <c r="R642" s="21"/>
      <c r="S642" t="s">
        <v>7142</v>
      </c>
      <c r="T642" t="s">
        <v>7143</v>
      </c>
      <c r="W642" t="s">
        <v>1758</v>
      </c>
      <c r="X642" t="s">
        <v>6932</v>
      </c>
      <c r="Y642" t="s">
        <v>6933</v>
      </c>
      <c r="Z642" s="15">
        <v>45258</v>
      </c>
      <c r="AA642" t="s">
        <v>6934</v>
      </c>
      <c r="AB642">
        <v>32.614038999999998</v>
      </c>
      <c r="AC642">
        <v>-96.996683000000004</v>
      </c>
      <c r="AD642" t="s">
        <v>7132</v>
      </c>
      <c r="AG642" t="s">
        <v>1715</v>
      </c>
      <c r="AH642" t="s">
        <v>63</v>
      </c>
      <c r="AI642" t="s">
        <v>7144</v>
      </c>
      <c r="AJ642">
        <v>193542</v>
      </c>
      <c r="AL642" t="s">
        <v>7145</v>
      </c>
      <c r="AM642" t="s">
        <v>7146</v>
      </c>
      <c r="AN642" t="s">
        <v>7147</v>
      </c>
      <c r="AO642" t="s">
        <v>68</v>
      </c>
      <c r="AQ642" t="s">
        <v>7148</v>
      </c>
      <c r="AR642" t="s">
        <v>7149</v>
      </c>
      <c r="AS642" t="s">
        <v>7150</v>
      </c>
      <c r="AV642" s="14" t="s">
        <v>72</v>
      </c>
      <c r="AW642" s="14" t="s">
        <v>73</v>
      </c>
      <c r="AX642" s="14" t="s">
        <v>1768</v>
      </c>
    </row>
    <row r="643" spans="1:50" ht="15" customHeight="1" x14ac:dyDescent="0.4">
      <c r="A643" s="12">
        <v>3942</v>
      </c>
      <c r="B643" s="21" t="s">
        <v>7151</v>
      </c>
      <c r="C643" s="13" t="s">
        <v>7152</v>
      </c>
      <c r="D643" s="25" t="s">
        <v>7152</v>
      </c>
      <c r="E643" s="13"/>
      <c r="F643" s="41"/>
      <c r="G643" s="65" t="s">
        <v>8185</v>
      </c>
      <c r="H643" s="14" t="s">
        <v>49</v>
      </c>
      <c r="I643" s="15">
        <v>44808</v>
      </c>
      <c r="J643" t="s">
        <v>7034</v>
      </c>
      <c r="K643" t="s">
        <v>51</v>
      </c>
      <c r="L643" t="s">
        <v>52</v>
      </c>
      <c r="M643" t="s">
        <v>53</v>
      </c>
      <c r="N643" t="s">
        <v>6803</v>
      </c>
      <c r="O643" t="s">
        <v>6903</v>
      </c>
      <c r="P643" t="s">
        <v>56</v>
      </c>
      <c r="Q643" s="21" t="s">
        <v>7035</v>
      </c>
      <c r="R643" s="21"/>
      <c r="S643" t="s">
        <v>7153</v>
      </c>
      <c r="T643" t="s">
        <v>7154</v>
      </c>
      <c r="W643" t="s">
        <v>1758</v>
      </c>
      <c r="X643" t="s">
        <v>60</v>
      </c>
      <c r="Z643" s="15"/>
      <c r="AB643">
        <v>32.610726999999997</v>
      </c>
      <c r="AC643">
        <v>-96.991123000000002</v>
      </c>
      <c r="AD643" t="s">
        <v>1773</v>
      </c>
      <c r="AG643" t="s">
        <v>1715</v>
      </c>
      <c r="AH643" t="s">
        <v>63</v>
      </c>
      <c r="AI643" t="s">
        <v>7155</v>
      </c>
      <c r="AJ643">
        <v>194589</v>
      </c>
      <c r="AL643" t="s">
        <v>7156</v>
      </c>
      <c r="AM643" t="s">
        <v>7157</v>
      </c>
      <c r="AN643" t="s">
        <v>7158</v>
      </c>
      <c r="AO643" t="s">
        <v>68</v>
      </c>
      <c r="AQ643" t="s">
        <v>7159</v>
      </c>
      <c r="AR643" t="s">
        <v>7160</v>
      </c>
      <c r="AS643" t="s">
        <v>7161</v>
      </c>
      <c r="AV643" s="14" t="s">
        <v>72</v>
      </c>
      <c r="AW643" s="14" t="s">
        <v>73</v>
      </c>
      <c r="AX643" s="14" t="s">
        <v>74</v>
      </c>
    </row>
    <row r="644" spans="1:50" ht="15" customHeight="1" x14ac:dyDescent="0.4">
      <c r="A644" s="12">
        <v>3921</v>
      </c>
      <c r="B644" s="21" t="s">
        <v>6901</v>
      </c>
      <c r="C644" s="13" t="s">
        <v>6902</v>
      </c>
      <c r="D644" s="25" t="s">
        <v>6902</v>
      </c>
      <c r="E644" s="13"/>
      <c r="F644" s="46" t="s">
        <v>3178</v>
      </c>
      <c r="G644" s="65" t="s">
        <v>8188</v>
      </c>
      <c r="H644" s="14" t="s">
        <v>3178</v>
      </c>
      <c r="I644" s="15">
        <v>44806</v>
      </c>
      <c r="J644" t="s">
        <v>2719</v>
      </c>
      <c r="K644" t="s">
        <v>51</v>
      </c>
      <c r="L644" t="s">
        <v>52</v>
      </c>
      <c r="M644" t="s">
        <v>53</v>
      </c>
      <c r="N644" t="s">
        <v>6803</v>
      </c>
      <c r="O644" t="s">
        <v>6903</v>
      </c>
      <c r="P644" t="s">
        <v>56</v>
      </c>
      <c r="Q644" s="21" t="s">
        <v>6904</v>
      </c>
      <c r="R644" s="21"/>
      <c r="S644" t="s">
        <v>6905</v>
      </c>
      <c r="T644" t="s">
        <v>6906</v>
      </c>
      <c r="X644" t="s">
        <v>6907</v>
      </c>
      <c r="Y644" t="s">
        <v>3181</v>
      </c>
      <c r="Z644" s="15" t="s">
        <v>6908</v>
      </c>
      <c r="AA644" t="s">
        <v>3183</v>
      </c>
      <c r="AB644">
        <v>29.597151</v>
      </c>
      <c r="AC644">
        <v>-97.584878000000003</v>
      </c>
      <c r="AD644" t="s">
        <v>5914</v>
      </c>
      <c r="AG644" t="s">
        <v>1715</v>
      </c>
      <c r="AH644" t="s">
        <v>63</v>
      </c>
      <c r="AI644" t="s">
        <v>6909</v>
      </c>
      <c r="AJ644">
        <v>193691</v>
      </c>
      <c r="AL644" t="s">
        <v>6910</v>
      </c>
      <c r="AM644" t="s">
        <v>6911</v>
      </c>
      <c r="AN644" t="s">
        <v>6912</v>
      </c>
      <c r="AO644" t="s">
        <v>68</v>
      </c>
      <c r="AQ644" t="s">
        <v>6913</v>
      </c>
      <c r="AR644" t="s">
        <v>6914</v>
      </c>
      <c r="AS644" t="s">
        <v>6915</v>
      </c>
      <c r="AV644" s="14" t="e">
        <v>#N/A</v>
      </c>
      <c r="AW644" s="14" t="e">
        <v>#N/A</v>
      </c>
      <c r="AX644" s="14" t="e">
        <v>#N/A</v>
      </c>
    </row>
    <row r="645" spans="1:50" ht="15" customHeight="1" x14ac:dyDescent="0.4">
      <c r="A645" s="12">
        <v>3922</v>
      </c>
      <c r="B645" s="21" t="s">
        <v>6916</v>
      </c>
      <c r="C645" s="13" t="s">
        <v>6917</v>
      </c>
      <c r="D645" s="25" t="s">
        <v>6917</v>
      </c>
      <c r="E645" s="13"/>
      <c r="F645" s="41"/>
      <c r="G645" s="65" t="s">
        <v>8185</v>
      </c>
      <c r="H645" s="14" t="s">
        <v>49</v>
      </c>
      <c r="I645" s="15">
        <v>44806</v>
      </c>
      <c r="J645" t="s">
        <v>2719</v>
      </c>
      <c r="K645" t="s">
        <v>51</v>
      </c>
      <c r="L645" t="s">
        <v>52</v>
      </c>
      <c r="M645" t="s">
        <v>53</v>
      </c>
      <c r="N645" t="s">
        <v>6803</v>
      </c>
      <c r="O645" t="s">
        <v>6903</v>
      </c>
      <c r="P645" t="s">
        <v>56</v>
      </c>
      <c r="Q645" s="21" t="s">
        <v>6904</v>
      </c>
      <c r="R645" s="21"/>
      <c r="S645" t="s">
        <v>6918</v>
      </c>
      <c r="T645" t="s">
        <v>6919</v>
      </c>
      <c r="X645" t="s">
        <v>60</v>
      </c>
      <c r="Z645" s="15"/>
      <c r="AB645">
        <v>29.588172</v>
      </c>
      <c r="AC645">
        <v>-97.583331999999999</v>
      </c>
      <c r="AD645" t="s">
        <v>2103</v>
      </c>
      <c r="AG645" t="s">
        <v>1715</v>
      </c>
      <c r="AH645" t="s">
        <v>63</v>
      </c>
      <c r="AI645" t="s">
        <v>6920</v>
      </c>
      <c r="AJ645">
        <v>192650</v>
      </c>
      <c r="AL645" t="s">
        <v>6921</v>
      </c>
      <c r="AM645" t="s">
        <v>6922</v>
      </c>
      <c r="AN645" t="s">
        <v>6923</v>
      </c>
      <c r="AO645" t="s">
        <v>68</v>
      </c>
      <c r="AQ645" t="s">
        <v>6924</v>
      </c>
      <c r="AR645" t="s">
        <v>6925</v>
      </c>
      <c r="AS645" t="s">
        <v>6926</v>
      </c>
      <c r="AV645" s="14" t="s">
        <v>72</v>
      </c>
      <c r="AW645" s="14" t="s">
        <v>73</v>
      </c>
      <c r="AX645" s="14" t="s">
        <v>74</v>
      </c>
    </row>
    <row r="646" spans="1:50" ht="15" customHeight="1" x14ac:dyDescent="0.4">
      <c r="A646" s="12">
        <v>3923</v>
      </c>
      <c r="B646" s="21" t="s">
        <v>6927</v>
      </c>
      <c r="C646" s="13" t="s">
        <v>6928</v>
      </c>
      <c r="D646" s="25" t="s">
        <v>6928</v>
      </c>
      <c r="E646" s="13"/>
      <c r="F646" s="41"/>
      <c r="G646" s="65" t="s">
        <v>8185</v>
      </c>
      <c r="H646" s="14" t="s">
        <v>6929</v>
      </c>
      <c r="I646" s="15">
        <v>44806</v>
      </c>
      <c r="J646" t="s">
        <v>2719</v>
      </c>
      <c r="K646" t="s">
        <v>51</v>
      </c>
      <c r="L646" t="s">
        <v>52</v>
      </c>
      <c r="M646" t="s">
        <v>53</v>
      </c>
      <c r="N646" t="s">
        <v>6803</v>
      </c>
      <c r="O646" t="s">
        <v>6903</v>
      </c>
      <c r="P646" t="s">
        <v>56</v>
      </c>
      <c r="Q646" s="21" t="s">
        <v>6904</v>
      </c>
      <c r="R646" s="21"/>
      <c r="S646" t="s">
        <v>6930</v>
      </c>
      <c r="T646" t="s">
        <v>6931</v>
      </c>
      <c r="X646" t="s">
        <v>6932</v>
      </c>
      <c r="Y646" t="s">
        <v>6933</v>
      </c>
      <c r="Z646" s="15">
        <v>45258</v>
      </c>
      <c r="AA646" t="s">
        <v>6934</v>
      </c>
      <c r="AB646">
        <v>29.588159000000001</v>
      </c>
      <c r="AC646">
        <v>-97.583341000000004</v>
      </c>
      <c r="AD646" t="s">
        <v>2103</v>
      </c>
      <c r="AG646" t="s">
        <v>1715</v>
      </c>
      <c r="AH646" t="s">
        <v>63</v>
      </c>
      <c r="AI646" t="s">
        <v>6935</v>
      </c>
      <c r="AJ646">
        <v>193537</v>
      </c>
      <c r="AL646" t="s">
        <v>6936</v>
      </c>
      <c r="AM646" t="s">
        <v>6937</v>
      </c>
      <c r="AN646" t="s">
        <v>6938</v>
      </c>
      <c r="AO646" t="s">
        <v>68</v>
      </c>
      <c r="AQ646" t="s">
        <v>6939</v>
      </c>
      <c r="AR646" t="s">
        <v>6940</v>
      </c>
      <c r="AS646" t="s">
        <v>6941</v>
      </c>
      <c r="AV646" s="14" t="s">
        <v>72</v>
      </c>
      <c r="AW646" s="14" t="s">
        <v>73</v>
      </c>
      <c r="AX646" s="14" t="s">
        <v>1768</v>
      </c>
    </row>
    <row r="647" spans="1:50" ht="15" customHeight="1" x14ac:dyDescent="0.4">
      <c r="A647" s="12">
        <v>3924</v>
      </c>
      <c r="B647" s="21" t="s">
        <v>6942</v>
      </c>
      <c r="C647" s="13" t="s">
        <v>6943</v>
      </c>
      <c r="D647" s="25" t="s">
        <v>6943</v>
      </c>
      <c r="E647" s="13"/>
      <c r="F647" s="41"/>
      <c r="G647" s="65" t="s">
        <v>8185</v>
      </c>
      <c r="H647" s="14" t="s">
        <v>49</v>
      </c>
      <c r="I647" s="15">
        <v>44806</v>
      </c>
      <c r="J647" t="s">
        <v>2719</v>
      </c>
      <c r="K647" t="s">
        <v>51</v>
      </c>
      <c r="L647" t="s">
        <v>52</v>
      </c>
      <c r="M647" t="s">
        <v>53</v>
      </c>
      <c r="N647" t="s">
        <v>6803</v>
      </c>
      <c r="O647" t="s">
        <v>6903</v>
      </c>
      <c r="P647" t="s">
        <v>56</v>
      </c>
      <c r="Q647" s="21" t="s">
        <v>6904</v>
      </c>
      <c r="R647" s="21"/>
      <c r="S647" t="s">
        <v>6944</v>
      </c>
      <c r="T647" t="s">
        <v>6945</v>
      </c>
      <c r="X647" t="s">
        <v>60</v>
      </c>
      <c r="Z647" s="15"/>
      <c r="AB647">
        <v>29.587410999999999</v>
      </c>
      <c r="AC647">
        <v>-97.582911999999993</v>
      </c>
      <c r="AD647" t="s">
        <v>6215</v>
      </c>
      <c r="AG647" t="s">
        <v>1715</v>
      </c>
      <c r="AH647" t="s">
        <v>63</v>
      </c>
      <c r="AI647" t="s">
        <v>6946</v>
      </c>
      <c r="AJ647">
        <v>192658</v>
      </c>
      <c r="AL647" t="s">
        <v>6947</v>
      </c>
      <c r="AM647" t="s">
        <v>6948</v>
      </c>
      <c r="AN647" t="s">
        <v>6949</v>
      </c>
      <c r="AO647" t="s">
        <v>68</v>
      </c>
      <c r="AQ647" t="s">
        <v>6950</v>
      </c>
      <c r="AR647" t="s">
        <v>6951</v>
      </c>
      <c r="AS647" t="s">
        <v>6952</v>
      </c>
      <c r="AV647" s="14" t="s">
        <v>72</v>
      </c>
      <c r="AW647" s="14" t="s">
        <v>73</v>
      </c>
      <c r="AX647" s="14" t="s">
        <v>74</v>
      </c>
    </row>
    <row r="648" spans="1:50" ht="15" customHeight="1" x14ac:dyDescent="0.4">
      <c r="A648" s="12">
        <v>3925</v>
      </c>
      <c r="B648" s="21" t="s">
        <v>6953</v>
      </c>
      <c r="C648" s="13" t="s">
        <v>6954</v>
      </c>
      <c r="D648" s="25" t="s">
        <v>6954</v>
      </c>
      <c r="E648" s="13"/>
      <c r="F648" s="41"/>
      <c r="G648" s="65" t="s">
        <v>8185</v>
      </c>
      <c r="H648" s="14" t="s">
        <v>6929</v>
      </c>
      <c r="I648" s="15">
        <v>44806</v>
      </c>
      <c r="J648" t="s">
        <v>2719</v>
      </c>
      <c r="K648" t="s">
        <v>51</v>
      </c>
      <c r="L648" t="s">
        <v>52</v>
      </c>
      <c r="M648" t="s">
        <v>53</v>
      </c>
      <c r="N648" t="s">
        <v>6803</v>
      </c>
      <c r="O648" t="s">
        <v>6903</v>
      </c>
      <c r="P648" t="s">
        <v>56</v>
      </c>
      <c r="Q648" s="21" t="s">
        <v>6904</v>
      </c>
      <c r="R648" s="21"/>
      <c r="S648" t="s">
        <v>6955</v>
      </c>
      <c r="T648" t="s">
        <v>6956</v>
      </c>
      <c r="X648" t="s">
        <v>6932</v>
      </c>
      <c r="Y648" t="s">
        <v>6933</v>
      </c>
      <c r="Z648" s="15">
        <v>45258</v>
      </c>
      <c r="AA648" t="s">
        <v>6934</v>
      </c>
      <c r="AB648">
        <v>29.587609</v>
      </c>
      <c r="AC648">
        <v>-97.583072000000001</v>
      </c>
      <c r="AD648" t="s">
        <v>6957</v>
      </c>
      <c r="AG648" t="s">
        <v>1715</v>
      </c>
      <c r="AH648" t="s">
        <v>63</v>
      </c>
      <c r="AI648" t="s">
        <v>6958</v>
      </c>
      <c r="AJ648">
        <v>193539</v>
      </c>
      <c r="AL648" t="s">
        <v>6959</v>
      </c>
      <c r="AM648" t="s">
        <v>6960</v>
      </c>
      <c r="AN648" t="s">
        <v>6961</v>
      </c>
      <c r="AO648" t="s">
        <v>68</v>
      </c>
      <c r="AQ648" t="s">
        <v>6962</v>
      </c>
      <c r="AR648" t="s">
        <v>6963</v>
      </c>
      <c r="AS648" t="s">
        <v>6964</v>
      </c>
      <c r="AV648" s="14" t="s">
        <v>72</v>
      </c>
      <c r="AW648" s="14" t="s">
        <v>73</v>
      </c>
      <c r="AX648" s="14" t="s">
        <v>1768</v>
      </c>
    </row>
    <row r="649" spans="1:50" ht="15" customHeight="1" x14ac:dyDescent="0.4">
      <c r="A649" s="12">
        <v>3926</v>
      </c>
      <c r="B649" s="21" t="s">
        <v>6965</v>
      </c>
      <c r="C649" s="13" t="s">
        <v>6966</v>
      </c>
      <c r="D649" s="25" t="s">
        <v>6966</v>
      </c>
      <c r="E649" s="13"/>
      <c r="F649" s="41"/>
      <c r="G649" s="65" t="s">
        <v>8185</v>
      </c>
      <c r="H649" s="14" t="s">
        <v>49</v>
      </c>
      <c r="I649" s="15">
        <v>44806</v>
      </c>
      <c r="J649" t="s">
        <v>2719</v>
      </c>
      <c r="K649" t="s">
        <v>51</v>
      </c>
      <c r="L649" t="s">
        <v>52</v>
      </c>
      <c r="M649" t="s">
        <v>53</v>
      </c>
      <c r="N649" t="s">
        <v>6803</v>
      </c>
      <c r="O649" t="s">
        <v>6903</v>
      </c>
      <c r="P649" t="s">
        <v>56</v>
      </c>
      <c r="Q649" s="21" t="s">
        <v>6904</v>
      </c>
      <c r="R649" s="21"/>
      <c r="S649" t="s">
        <v>6967</v>
      </c>
      <c r="T649" t="s">
        <v>6968</v>
      </c>
      <c r="X649" t="s">
        <v>60</v>
      </c>
      <c r="Z649" s="15"/>
      <c r="AB649">
        <v>29.586587999999999</v>
      </c>
      <c r="AC649">
        <v>-97.584186000000003</v>
      </c>
      <c r="AD649" t="s">
        <v>6215</v>
      </c>
      <c r="AG649" t="s">
        <v>1715</v>
      </c>
      <c r="AH649" t="s">
        <v>63</v>
      </c>
      <c r="AI649" t="s">
        <v>6969</v>
      </c>
      <c r="AJ649">
        <v>192657</v>
      </c>
      <c r="AL649" t="s">
        <v>6970</v>
      </c>
      <c r="AM649" t="s">
        <v>6971</v>
      </c>
      <c r="AN649" t="s">
        <v>6972</v>
      </c>
      <c r="AO649" t="s">
        <v>68</v>
      </c>
      <c r="AQ649" t="s">
        <v>6973</v>
      </c>
      <c r="AR649" t="s">
        <v>6974</v>
      </c>
      <c r="AS649" t="s">
        <v>6975</v>
      </c>
      <c r="AV649" s="14" t="s">
        <v>72</v>
      </c>
      <c r="AW649" s="14" t="s">
        <v>73</v>
      </c>
      <c r="AX649" s="14" t="s">
        <v>74</v>
      </c>
    </row>
    <row r="650" spans="1:50" ht="15" customHeight="1" x14ac:dyDescent="0.4">
      <c r="A650" s="12">
        <v>3927</v>
      </c>
      <c r="B650" s="21" t="s">
        <v>6976</v>
      </c>
      <c r="C650" s="13" t="s">
        <v>6977</v>
      </c>
      <c r="D650" s="25" t="s">
        <v>6977</v>
      </c>
      <c r="E650" s="13"/>
      <c r="F650" s="41"/>
      <c r="G650" s="65" t="s">
        <v>8185</v>
      </c>
      <c r="H650" s="14" t="s">
        <v>49</v>
      </c>
      <c r="I650" s="15">
        <v>44806</v>
      </c>
      <c r="J650" t="s">
        <v>2719</v>
      </c>
      <c r="K650" t="s">
        <v>51</v>
      </c>
      <c r="L650" t="s">
        <v>52</v>
      </c>
      <c r="M650" t="s">
        <v>53</v>
      </c>
      <c r="N650" t="s">
        <v>6803</v>
      </c>
      <c r="O650" t="s">
        <v>6903</v>
      </c>
      <c r="P650" t="s">
        <v>56</v>
      </c>
      <c r="Q650" s="21" t="s">
        <v>6904</v>
      </c>
      <c r="R650" s="21"/>
      <c r="S650" t="s">
        <v>6978</v>
      </c>
      <c r="T650" t="s">
        <v>6979</v>
      </c>
      <c r="X650" t="s">
        <v>60</v>
      </c>
      <c r="Z650" s="15"/>
      <c r="AB650">
        <v>29.587539</v>
      </c>
      <c r="AC650">
        <v>-97.584160999999995</v>
      </c>
      <c r="AD650" t="s">
        <v>6957</v>
      </c>
      <c r="AG650" t="s">
        <v>1715</v>
      </c>
      <c r="AH650" t="s">
        <v>63</v>
      </c>
      <c r="AI650" t="s">
        <v>6980</v>
      </c>
      <c r="AJ650">
        <v>193373</v>
      </c>
      <c r="AL650" t="s">
        <v>6981</v>
      </c>
      <c r="AM650" t="s">
        <v>6982</v>
      </c>
      <c r="AN650" t="s">
        <v>6983</v>
      </c>
      <c r="AO650" t="s">
        <v>68</v>
      </c>
      <c r="AQ650" t="s">
        <v>6984</v>
      </c>
      <c r="AR650" t="s">
        <v>6985</v>
      </c>
      <c r="AS650" t="s">
        <v>6986</v>
      </c>
      <c r="AV650" s="14" t="s">
        <v>72</v>
      </c>
      <c r="AW650" s="14" t="s">
        <v>73</v>
      </c>
      <c r="AX650" s="14" t="s">
        <v>74</v>
      </c>
    </row>
    <row r="651" spans="1:50" ht="15" customHeight="1" x14ac:dyDescent="0.4">
      <c r="A651" s="12">
        <v>3928</v>
      </c>
      <c r="B651" s="21" t="s">
        <v>6987</v>
      </c>
      <c r="C651" s="13" t="s">
        <v>6988</v>
      </c>
      <c r="D651" s="25" t="s">
        <v>6988</v>
      </c>
      <c r="E651" s="13"/>
      <c r="F651" s="41"/>
      <c r="G651" s="65" t="s">
        <v>8185</v>
      </c>
      <c r="H651" s="14" t="s">
        <v>6929</v>
      </c>
      <c r="I651" s="15">
        <v>44806</v>
      </c>
      <c r="J651" t="s">
        <v>2719</v>
      </c>
      <c r="K651" t="s">
        <v>51</v>
      </c>
      <c r="L651" t="s">
        <v>52</v>
      </c>
      <c r="M651" t="s">
        <v>53</v>
      </c>
      <c r="N651" t="s">
        <v>6803</v>
      </c>
      <c r="O651" t="s">
        <v>6903</v>
      </c>
      <c r="P651" t="s">
        <v>56</v>
      </c>
      <c r="Q651" s="21" t="s">
        <v>6904</v>
      </c>
      <c r="R651" s="21"/>
      <c r="S651" t="s">
        <v>6989</v>
      </c>
      <c r="T651" t="s">
        <v>6990</v>
      </c>
      <c r="X651" t="s">
        <v>6932</v>
      </c>
      <c r="Y651" t="s">
        <v>6933</v>
      </c>
      <c r="Z651" s="15">
        <v>45258</v>
      </c>
      <c r="AA651" t="s">
        <v>6934</v>
      </c>
      <c r="AB651">
        <v>29.587637000000001</v>
      </c>
      <c r="AC651">
        <v>-97.583995999999999</v>
      </c>
      <c r="AD651" t="s">
        <v>6991</v>
      </c>
      <c r="AG651" t="s">
        <v>1715</v>
      </c>
      <c r="AH651" t="s">
        <v>63</v>
      </c>
      <c r="AI651" t="s">
        <v>6992</v>
      </c>
      <c r="AJ651">
        <v>193538</v>
      </c>
      <c r="AL651" t="s">
        <v>6993</v>
      </c>
      <c r="AM651" t="s">
        <v>6994</v>
      </c>
      <c r="AN651" t="s">
        <v>6995</v>
      </c>
      <c r="AO651" t="s">
        <v>68</v>
      </c>
      <c r="AQ651" t="s">
        <v>6996</v>
      </c>
      <c r="AR651" t="s">
        <v>6997</v>
      </c>
      <c r="AS651" t="s">
        <v>6998</v>
      </c>
      <c r="AV651" s="14" t="s">
        <v>72</v>
      </c>
      <c r="AW651" s="14" t="s">
        <v>73</v>
      </c>
      <c r="AX651" s="14" t="s">
        <v>1768</v>
      </c>
    </row>
    <row r="652" spans="1:50" ht="15" customHeight="1" x14ac:dyDescent="0.4">
      <c r="A652" s="12">
        <v>3929</v>
      </c>
      <c r="B652" s="21" t="s">
        <v>6999</v>
      </c>
      <c r="C652" s="13" t="s">
        <v>7000</v>
      </c>
      <c r="D652" s="25" t="s">
        <v>7000</v>
      </c>
      <c r="E652" s="13"/>
      <c r="F652" s="41"/>
      <c r="G652" s="65" t="s">
        <v>8185</v>
      </c>
      <c r="H652" s="14" t="s">
        <v>6929</v>
      </c>
      <c r="I652" s="15">
        <v>44806</v>
      </c>
      <c r="J652" t="s">
        <v>2719</v>
      </c>
      <c r="K652" t="s">
        <v>51</v>
      </c>
      <c r="L652" t="s">
        <v>52</v>
      </c>
      <c r="M652" t="s">
        <v>53</v>
      </c>
      <c r="N652" t="s">
        <v>6803</v>
      </c>
      <c r="O652" t="s">
        <v>6903</v>
      </c>
      <c r="P652" t="s">
        <v>56</v>
      </c>
      <c r="Q652" s="21" t="s">
        <v>6904</v>
      </c>
      <c r="R652" s="21"/>
      <c r="S652" t="s">
        <v>7001</v>
      </c>
      <c r="T652" t="s">
        <v>7002</v>
      </c>
      <c r="X652" t="s">
        <v>6932</v>
      </c>
      <c r="Y652" t="s">
        <v>6933</v>
      </c>
      <c r="Z652" s="15">
        <v>45258</v>
      </c>
      <c r="AA652" t="s">
        <v>6934</v>
      </c>
      <c r="AB652">
        <v>29.588522999999999</v>
      </c>
      <c r="AC652">
        <v>-97.583477000000002</v>
      </c>
      <c r="AD652" t="s">
        <v>6274</v>
      </c>
      <c r="AG652" t="s">
        <v>1715</v>
      </c>
      <c r="AH652" t="s">
        <v>63</v>
      </c>
      <c r="AI652" t="s">
        <v>7003</v>
      </c>
      <c r="AJ652">
        <v>193540</v>
      </c>
      <c r="AL652" t="s">
        <v>7004</v>
      </c>
      <c r="AM652" t="s">
        <v>7005</v>
      </c>
      <c r="AN652" t="s">
        <v>7006</v>
      </c>
      <c r="AO652" t="s">
        <v>68</v>
      </c>
      <c r="AQ652" t="s">
        <v>7007</v>
      </c>
      <c r="AR652" t="s">
        <v>7008</v>
      </c>
      <c r="AS652" t="s">
        <v>7009</v>
      </c>
      <c r="AV652" s="14" t="s">
        <v>72</v>
      </c>
      <c r="AW652" s="14" t="s">
        <v>73</v>
      </c>
      <c r="AX652" s="14" t="s">
        <v>1768</v>
      </c>
    </row>
    <row r="653" spans="1:50" ht="15" customHeight="1" x14ac:dyDescent="0.4">
      <c r="A653" s="12">
        <v>3930</v>
      </c>
      <c r="B653" s="21" t="s">
        <v>7010</v>
      </c>
      <c r="C653" s="13" t="s">
        <v>7011</v>
      </c>
      <c r="D653" s="25" t="s">
        <v>7011</v>
      </c>
      <c r="E653" s="13"/>
      <c r="F653" s="41"/>
      <c r="G653" s="65" t="s">
        <v>8185</v>
      </c>
      <c r="H653" s="14" t="s">
        <v>6929</v>
      </c>
      <c r="I653" s="15">
        <v>44806</v>
      </c>
      <c r="J653" t="s">
        <v>2719</v>
      </c>
      <c r="K653" t="s">
        <v>51</v>
      </c>
      <c r="L653" t="s">
        <v>52</v>
      </c>
      <c r="M653" t="s">
        <v>53</v>
      </c>
      <c r="N653" t="s">
        <v>6803</v>
      </c>
      <c r="O653" t="s">
        <v>6903</v>
      </c>
      <c r="P653" t="s">
        <v>56</v>
      </c>
      <c r="Q653" s="21" t="s">
        <v>6904</v>
      </c>
      <c r="R653" s="21"/>
      <c r="S653" t="s">
        <v>7012</v>
      </c>
      <c r="T653" t="s">
        <v>7013</v>
      </c>
      <c r="X653" t="s">
        <v>6932</v>
      </c>
      <c r="Y653" t="s">
        <v>6933</v>
      </c>
      <c r="Z653" s="15">
        <v>45258</v>
      </c>
      <c r="AA653" t="s">
        <v>6934</v>
      </c>
      <c r="AB653">
        <v>29.589383999999999</v>
      </c>
      <c r="AC653">
        <v>-97.582702999999995</v>
      </c>
      <c r="AD653" t="s">
        <v>2103</v>
      </c>
      <c r="AG653" t="s">
        <v>1715</v>
      </c>
      <c r="AH653" t="s">
        <v>63</v>
      </c>
      <c r="AI653" t="s">
        <v>7014</v>
      </c>
      <c r="AJ653">
        <v>193541</v>
      </c>
      <c r="AL653" t="s">
        <v>7015</v>
      </c>
      <c r="AM653" t="s">
        <v>7016</v>
      </c>
      <c r="AN653" t="s">
        <v>7017</v>
      </c>
      <c r="AO653" t="s">
        <v>68</v>
      </c>
      <c r="AQ653" t="s">
        <v>7018</v>
      </c>
      <c r="AR653" t="s">
        <v>7019</v>
      </c>
      <c r="AS653" t="s">
        <v>7020</v>
      </c>
      <c r="AV653" s="14" t="s">
        <v>72</v>
      </c>
      <c r="AW653" s="14" t="s">
        <v>73</v>
      </c>
      <c r="AX653" s="14" t="s">
        <v>1768</v>
      </c>
    </row>
    <row r="654" spans="1:50" ht="15" customHeight="1" x14ac:dyDescent="0.4">
      <c r="A654" s="12">
        <v>3931</v>
      </c>
      <c r="B654" s="21" t="s">
        <v>7021</v>
      </c>
      <c r="C654" s="13" t="s">
        <v>7022</v>
      </c>
      <c r="D654" s="25" t="s">
        <v>7022</v>
      </c>
      <c r="E654" s="13"/>
      <c r="F654" s="41"/>
      <c r="G654" s="65" t="s">
        <v>8185</v>
      </c>
      <c r="H654" s="14" t="s">
        <v>49</v>
      </c>
      <c r="I654" s="15">
        <v>44806</v>
      </c>
      <c r="J654" t="s">
        <v>2719</v>
      </c>
      <c r="K654" t="s">
        <v>51</v>
      </c>
      <c r="L654" t="s">
        <v>52</v>
      </c>
      <c r="M654" t="s">
        <v>53</v>
      </c>
      <c r="N654" t="s">
        <v>6803</v>
      </c>
      <c r="O654" t="s">
        <v>6903</v>
      </c>
      <c r="P654" t="s">
        <v>56</v>
      </c>
      <c r="Q654" s="21" t="s">
        <v>6904</v>
      </c>
      <c r="R654" s="21"/>
      <c r="S654" t="s">
        <v>7023</v>
      </c>
      <c r="T654" t="s">
        <v>7024</v>
      </c>
      <c r="X654" t="s">
        <v>60</v>
      </c>
      <c r="Z654" s="15"/>
      <c r="AB654">
        <v>29.588875999999999</v>
      </c>
      <c r="AC654">
        <v>-97.583517000000001</v>
      </c>
      <c r="AD654" t="s">
        <v>6262</v>
      </c>
      <c r="AG654" t="s">
        <v>1715</v>
      </c>
      <c r="AH654" t="s">
        <v>63</v>
      </c>
      <c r="AI654" t="s">
        <v>7025</v>
      </c>
      <c r="AJ654">
        <v>192646</v>
      </c>
      <c r="AL654" t="s">
        <v>7026</v>
      </c>
      <c r="AM654" t="s">
        <v>7027</v>
      </c>
      <c r="AN654" t="s">
        <v>7028</v>
      </c>
      <c r="AO654" t="s">
        <v>68</v>
      </c>
      <c r="AQ654" t="s">
        <v>7029</v>
      </c>
      <c r="AR654" t="s">
        <v>7030</v>
      </c>
      <c r="AS654" t="s">
        <v>7031</v>
      </c>
      <c r="AV654" s="14" t="s">
        <v>72</v>
      </c>
      <c r="AW654" s="14" t="s">
        <v>73</v>
      </c>
      <c r="AX654" s="14" t="s">
        <v>74</v>
      </c>
    </row>
    <row r="655" spans="1:50" ht="15" customHeight="1" x14ac:dyDescent="0.4">
      <c r="A655" s="12">
        <v>3844</v>
      </c>
      <c r="B655" s="21" t="s">
        <v>5991</v>
      </c>
      <c r="C655" s="13" t="s">
        <v>5992</v>
      </c>
      <c r="D655" s="25" t="s">
        <v>5992</v>
      </c>
      <c r="E655" s="13"/>
      <c r="F655" s="41"/>
      <c r="G655" s="65" t="s">
        <v>8185</v>
      </c>
      <c r="H655" s="14" t="s">
        <v>1878</v>
      </c>
      <c r="I655" s="15">
        <v>44791</v>
      </c>
      <c r="J655" t="s">
        <v>2719</v>
      </c>
      <c r="K655" t="s">
        <v>51</v>
      </c>
      <c r="L655" t="s">
        <v>52</v>
      </c>
      <c r="M655" t="s">
        <v>53</v>
      </c>
      <c r="N655" t="s">
        <v>5993</v>
      </c>
      <c r="O655" t="s">
        <v>5994</v>
      </c>
      <c r="P655" t="s">
        <v>56</v>
      </c>
      <c r="Q655" s="21" t="s">
        <v>5995</v>
      </c>
      <c r="R655" s="21"/>
      <c r="S655" t="s">
        <v>5996</v>
      </c>
      <c r="T655" t="s">
        <v>5997</v>
      </c>
      <c r="X655" t="s">
        <v>1881</v>
      </c>
      <c r="Z655" s="15"/>
      <c r="AB655">
        <v>43.604565999999998</v>
      </c>
      <c r="AC655">
        <v>-73.180250999999998</v>
      </c>
      <c r="AD655" t="s">
        <v>5998</v>
      </c>
      <c r="AG655" t="s">
        <v>1715</v>
      </c>
      <c r="AH655" t="s">
        <v>63</v>
      </c>
      <c r="AI655" t="s">
        <v>5999</v>
      </c>
      <c r="AJ655">
        <v>192586</v>
      </c>
      <c r="AL655" t="s">
        <v>6000</v>
      </c>
      <c r="AM655" t="s">
        <v>6001</v>
      </c>
      <c r="AN655" t="s">
        <v>6002</v>
      </c>
      <c r="AO655" t="s">
        <v>68</v>
      </c>
      <c r="AQ655" t="s">
        <v>6003</v>
      </c>
      <c r="AR655" t="s">
        <v>6004</v>
      </c>
      <c r="AS655" t="s">
        <v>6005</v>
      </c>
      <c r="AV655" s="14" t="s">
        <v>72</v>
      </c>
      <c r="AW655" s="14" t="s">
        <v>73</v>
      </c>
      <c r="AX655" s="14" t="s">
        <v>1723</v>
      </c>
    </row>
    <row r="656" spans="1:50" ht="15" customHeight="1" x14ac:dyDescent="0.4">
      <c r="A656" s="12">
        <v>3845</v>
      </c>
      <c r="B656" s="21" t="s">
        <v>6006</v>
      </c>
      <c r="C656" s="13" t="s">
        <v>6007</v>
      </c>
      <c r="D656" s="25" t="s">
        <v>6007</v>
      </c>
      <c r="E656" s="13"/>
      <c r="F656" s="45" t="s">
        <v>49</v>
      </c>
      <c r="G656" s="65" t="s">
        <v>8159</v>
      </c>
      <c r="H656" s="14" t="s">
        <v>49</v>
      </c>
      <c r="I656" s="15">
        <v>44791</v>
      </c>
      <c r="J656" t="s">
        <v>2719</v>
      </c>
      <c r="K656" t="s">
        <v>51</v>
      </c>
      <c r="L656" t="s">
        <v>52</v>
      </c>
      <c r="M656" t="s">
        <v>53</v>
      </c>
      <c r="N656" t="s">
        <v>5993</v>
      </c>
      <c r="O656" t="s">
        <v>5994</v>
      </c>
      <c r="P656" t="s">
        <v>56</v>
      </c>
      <c r="Q656" s="21" t="s">
        <v>5995</v>
      </c>
      <c r="R656" s="21"/>
      <c r="S656" t="s">
        <v>6008</v>
      </c>
      <c r="T656" t="s">
        <v>6009</v>
      </c>
      <c r="X656" t="s">
        <v>60</v>
      </c>
      <c r="Z656" s="15"/>
      <c r="AB656">
        <v>43.601897000000001</v>
      </c>
      <c r="AC656">
        <v>-73.181962999999996</v>
      </c>
      <c r="AD656" t="s">
        <v>6010</v>
      </c>
      <c r="AG656" t="s">
        <v>1715</v>
      </c>
      <c r="AH656" t="s">
        <v>63</v>
      </c>
      <c r="AI656" t="s">
        <v>6011</v>
      </c>
      <c r="AJ656">
        <v>192566</v>
      </c>
      <c r="AL656" t="s">
        <v>6012</v>
      </c>
      <c r="AM656" t="s">
        <v>6013</v>
      </c>
      <c r="AN656" t="s">
        <v>6014</v>
      </c>
      <c r="AO656" t="s">
        <v>68</v>
      </c>
      <c r="AQ656" t="s">
        <v>6015</v>
      </c>
      <c r="AR656" t="s">
        <v>6016</v>
      </c>
      <c r="AS656" t="s">
        <v>6017</v>
      </c>
      <c r="AV656" s="14" t="s">
        <v>72</v>
      </c>
      <c r="AW656" s="14" t="s">
        <v>73</v>
      </c>
      <c r="AX656" s="14" t="s">
        <v>74</v>
      </c>
    </row>
    <row r="657" spans="1:50" ht="15" customHeight="1" x14ac:dyDescent="0.4">
      <c r="A657" s="12">
        <v>3846</v>
      </c>
      <c r="B657" s="21" t="s">
        <v>6018</v>
      </c>
      <c r="C657" s="13" t="s">
        <v>6019</v>
      </c>
      <c r="D657" s="25" t="s">
        <v>6019</v>
      </c>
      <c r="E657" s="13"/>
      <c r="F657" s="45" t="s">
        <v>49</v>
      </c>
      <c r="G657" s="65" t="s">
        <v>8164</v>
      </c>
      <c r="H657" s="14" t="s">
        <v>49</v>
      </c>
      <c r="I657" s="15">
        <v>44791</v>
      </c>
      <c r="J657" t="s">
        <v>2719</v>
      </c>
      <c r="K657" t="s">
        <v>51</v>
      </c>
      <c r="L657" t="s">
        <v>52</v>
      </c>
      <c r="M657" t="s">
        <v>53</v>
      </c>
      <c r="N657" t="s">
        <v>5993</v>
      </c>
      <c r="O657" t="s">
        <v>5994</v>
      </c>
      <c r="P657" t="s">
        <v>56</v>
      </c>
      <c r="Q657" s="21" t="s">
        <v>5995</v>
      </c>
      <c r="R657" s="21"/>
      <c r="S657" t="s">
        <v>6020</v>
      </c>
      <c r="T657" t="s">
        <v>6021</v>
      </c>
      <c r="X657" t="s">
        <v>60</v>
      </c>
      <c r="Z657" s="15"/>
      <c r="AB657">
        <v>43.600834999999996</v>
      </c>
      <c r="AC657">
        <v>-73.182905000000005</v>
      </c>
      <c r="AD657" t="s">
        <v>6022</v>
      </c>
      <c r="AG657" t="s">
        <v>1715</v>
      </c>
      <c r="AH657" t="s">
        <v>63</v>
      </c>
      <c r="AI657" t="s">
        <v>6023</v>
      </c>
      <c r="AJ657">
        <v>192547</v>
      </c>
      <c r="AL657" t="s">
        <v>6024</v>
      </c>
      <c r="AM657" t="s">
        <v>6025</v>
      </c>
      <c r="AN657" t="s">
        <v>6026</v>
      </c>
      <c r="AO657" t="s">
        <v>68</v>
      </c>
      <c r="AQ657" t="s">
        <v>6027</v>
      </c>
      <c r="AR657" t="s">
        <v>6028</v>
      </c>
      <c r="AS657" t="s">
        <v>6029</v>
      </c>
      <c r="AV657" s="14" t="s">
        <v>72</v>
      </c>
      <c r="AW657" s="14" t="s">
        <v>73</v>
      </c>
      <c r="AX657" s="14" t="s">
        <v>74</v>
      </c>
    </row>
    <row r="658" spans="1:50" ht="15" customHeight="1" x14ac:dyDescent="0.4">
      <c r="A658" s="12">
        <v>3847</v>
      </c>
      <c r="B658" s="21" t="s">
        <v>6030</v>
      </c>
      <c r="C658" s="13" t="s">
        <v>6031</v>
      </c>
      <c r="D658" s="25" t="s">
        <v>6031</v>
      </c>
      <c r="E658" s="13"/>
      <c r="F658" s="41"/>
      <c r="G658" s="65" t="s">
        <v>8185</v>
      </c>
      <c r="H658" s="14" t="s">
        <v>1878</v>
      </c>
      <c r="I658" s="15">
        <v>44791</v>
      </c>
      <c r="J658" t="s">
        <v>2719</v>
      </c>
      <c r="K658" t="s">
        <v>51</v>
      </c>
      <c r="L658" t="s">
        <v>52</v>
      </c>
      <c r="M658" t="s">
        <v>53</v>
      </c>
      <c r="N658" t="s">
        <v>5993</v>
      </c>
      <c r="O658" t="s">
        <v>5994</v>
      </c>
      <c r="P658" t="s">
        <v>56</v>
      </c>
      <c r="Q658" s="21" t="s">
        <v>5995</v>
      </c>
      <c r="R658" s="21"/>
      <c r="S658" t="s">
        <v>6032</v>
      </c>
      <c r="T658" t="s">
        <v>6033</v>
      </c>
      <c r="X658" t="s">
        <v>1881</v>
      </c>
      <c r="Z658" s="15"/>
      <c r="AB658">
        <v>43.600448</v>
      </c>
      <c r="AC658">
        <v>-73.183369999999996</v>
      </c>
      <c r="AD658" t="s">
        <v>4222</v>
      </c>
      <c r="AG658" t="s">
        <v>1715</v>
      </c>
      <c r="AH658" t="s">
        <v>63</v>
      </c>
      <c r="AI658" t="s">
        <v>6034</v>
      </c>
      <c r="AJ658">
        <v>193946</v>
      </c>
      <c r="AL658" t="s">
        <v>6035</v>
      </c>
      <c r="AM658" t="s">
        <v>6036</v>
      </c>
      <c r="AN658" t="s">
        <v>6037</v>
      </c>
      <c r="AO658" t="s">
        <v>68</v>
      </c>
      <c r="AQ658" t="s">
        <v>6038</v>
      </c>
      <c r="AR658" t="s">
        <v>6039</v>
      </c>
      <c r="AS658" t="s">
        <v>6040</v>
      </c>
      <c r="AV658" s="14" t="s">
        <v>72</v>
      </c>
      <c r="AW658" s="14" t="s">
        <v>73</v>
      </c>
      <c r="AX658" s="14" t="s">
        <v>1723</v>
      </c>
    </row>
    <row r="659" spans="1:50" ht="15" customHeight="1" x14ac:dyDescent="0.4">
      <c r="A659" s="12">
        <v>3848</v>
      </c>
      <c r="B659" s="21" t="s">
        <v>6041</v>
      </c>
      <c r="C659" s="13" t="s">
        <v>6042</v>
      </c>
      <c r="D659" s="25" t="s">
        <v>6042</v>
      </c>
      <c r="E659" s="13"/>
      <c r="F659" s="41"/>
      <c r="G659" s="65" t="s">
        <v>8160</v>
      </c>
      <c r="H659" s="14" t="s">
        <v>49</v>
      </c>
      <c r="I659" s="15">
        <v>44791</v>
      </c>
      <c r="J659" t="s">
        <v>2719</v>
      </c>
      <c r="K659" t="s">
        <v>51</v>
      </c>
      <c r="L659" t="s">
        <v>52</v>
      </c>
      <c r="M659" t="s">
        <v>53</v>
      </c>
      <c r="N659" t="s">
        <v>5993</v>
      </c>
      <c r="O659" t="s">
        <v>5994</v>
      </c>
      <c r="P659" t="s">
        <v>56</v>
      </c>
      <c r="Q659" s="21" t="s">
        <v>5995</v>
      </c>
      <c r="R659" s="21"/>
      <c r="S659" t="s">
        <v>6043</v>
      </c>
      <c r="T659" t="s">
        <v>6044</v>
      </c>
      <c r="X659" t="s">
        <v>60</v>
      </c>
      <c r="Z659" s="15"/>
      <c r="AB659">
        <v>43.6</v>
      </c>
      <c r="AC659">
        <v>-73.183676000000006</v>
      </c>
      <c r="AD659" t="s">
        <v>6010</v>
      </c>
      <c r="AG659" t="s">
        <v>1715</v>
      </c>
      <c r="AH659" t="s">
        <v>63</v>
      </c>
      <c r="AI659" t="s">
        <v>6045</v>
      </c>
      <c r="AJ659">
        <v>192612</v>
      </c>
      <c r="AL659" t="s">
        <v>6046</v>
      </c>
      <c r="AM659" t="s">
        <v>6047</v>
      </c>
      <c r="AN659" t="s">
        <v>6048</v>
      </c>
      <c r="AO659" t="s">
        <v>68</v>
      </c>
      <c r="AQ659" t="s">
        <v>6049</v>
      </c>
      <c r="AR659" t="s">
        <v>6050</v>
      </c>
      <c r="AS659" t="s">
        <v>6051</v>
      </c>
      <c r="AV659" s="14" t="s">
        <v>72</v>
      </c>
      <c r="AW659" s="14" t="s">
        <v>73</v>
      </c>
      <c r="AX659" s="14" t="s">
        <v>74</v>
      </c>
    </row>
    <row r="660" spans="1:50" ht="15" customHeight="1" x14ac:dyDescent="0.4">
      <c r="A660" s="12">
        <v>3849</v>
      </c>
      <c r="B660" s="21" t="s">
        <v>6052</v>
      </c>
      <c r="C660" s="13" t="s">
        <v>6053</v>
      </c>
      <c r="D660" s="25" t="s">
        <v>6053</v>
      </c>
      <c r="E660" s="13"/>
      <c r="F660" s="41"/>
      <c r="G660" s="65" t="s">
        <v>8153</v>
      </c>
      <c r="H660" s="14" t="s">
        <v>49</v>
      </c>
      <c r="I660" s="15">
        <v>44791</v>
      </c>
      <c r="J660" t="s">
        <v>2719</v>
      </c>
      <c r="K660" t="s">
        <v>51</v>
      </c>
      <c r="L660" t="s">
        <v>52</v>
      </c>
      <c r="M660" t="s">
        <v>53</v>
      </c>
      <c r="N660" t="s">
        <v>5993</v>
      </c>
      <c r="O660" t="s">
        <v>5994</v>
      </c>
      <c r="P660" t="s">
        <v>56</v>
      </c>
      <c r="Q660" s="21" t="s">
        <v>5995</v>
      </c>
      <c r="R660" s="21"/>
      <c r="S660" t="s">
        <v>6054</v>
      </c>
      <c r="T660" t="s">
        <v>6055</v>
      </c>
      <c r="X660" t="s">
        <v>60</v>
      </c>
      <c r="Z660" s="15"/>
      <c r="AB660">
        <v>43.599099000000002</v>
      </c>
      <c r="AC660">
        <v>-73.184667000000005</v>
      </c>
      <c r="AD660" t="s">
        <v>3539</v>
      </c>
      <c r="AG660" t="s">
        <v>1715</v>
      </c>
      <c r="AH660" t="s">
        <v>63</v>
      </c>
      <c r="AI660" t="s">
        <v>6056</v>
      </c>
      <c r="AJ660">
        <v>194448</v>
      </c>
      <c r="AL660" t="s">
        <v>6057</v>
      </c>
      <c r="AM660" t="s">
        <v>6058</v>
      </c>
      <c r="AN660" t="s">
        <v>6059</v>
      </c>
      <c r="AO660" t="s">
        <v>68</v>
      </c>
      <c r="AQ660" t="s">
        <v>6060</v>
      </c>
      <c r="AR660" t="s">
        <v>6061</v>
      </c>
      <c r="AS660" t="s">
        <v>6062</v>
      </c>
      <c r="AV660" s="14" t="s">
        <v>72</v>
      </c>
      <c r="AW660" s="14" t="s">
        <v>73</v>
      </c>
      <c r="AX660" s="14" t="s">
        <v>74</v>
      </c>
    </row>
    <row r="661" spans="1:50" ht="15" customHeight="1" x14ac:dyDescent="0.4">
      <c r="A661" s="12">
        <v>3850</v>
      </c>
      <c r="B661" s="21" t="s">
        <v>6063</v>
      </c>
      <c r="C661" s="13" t="s">
        <v>6064</v>
      </c>
      <c r="D661" s="25" t="s">
        <v>6064</v>
      </c>
      <c r="E661" s="13"/>
      <c r="F661" s="41"/>
      <c r="G661" s="65" t="s">
        <v>8185</v>
      </c>
      <c r="H661" s="14" t="s">
        <v>1878</v>
      </c>
      <c r="I661" s="15">
        <v>44791</v>
      </c>
      <c r="J661" t="s">
        <v>2719</v>
      </c>
      <c r="K661" t="s">
        <v>51</v>
      </c>
      <c r="L661" t="s">
        <v>52</v>
      </c>
      <c r="M661" t="s">
        <v>53</v>
      </c>
      <c r="N661" t="s">
        <v>5993</v>
      </c>
      <c r="O661" t="s">
        <v>5994</v>
      </c>
      <c r="P661" t="s">
        <v>56</v>
      </c>
      <c r="Q661" s="21" t="s">
        <v>5995</v>
      </c>
      <c r="R661" s="21"/>
      <c r="S661" t="s">
        <v>6065</v>
      </c>
      <c r="T661" t="s">
        <v>6066</v>
      </c>
      <c r="X661" t="s">
        <v>1881</v>
      </c>
      <c r="Z661" s="15"/>
      <c r="AB661">
        <v>43.598788999999996</v>
      </c>
      <c r="AC661">
        <v>-73.185412999999997</v>
      </c>
      <c r="AD661" t="s">
        <v>6067</v>
      </c>
      <c r="AG661" t="s">
        <v>1715</v>
      </c>
      <c r="AH661" t="s">
        <v>63</v>
      </c>
      <c r="AI661" t="s">
        <v>6068</v>
      </c>
      <c r="AJ661">
        <v>193947</v>
      </c>
      <c r="AL661" t="s">
        <v>6069</v>
      </c>
      <c r="AM661" t="s">
        <v>6070</v>
      </c>
      <c r="AN661" t="s">
        <v>6071</v>
      </c>
      <c r="AO661" t="s">
        <v>68</v>
      </c>
      <c r="AQ661" t="s">
        <v>6072</v>
      </c>
      <c r="AR661" t="s">
        <v>6073</v>
      </c>
      <c r="AS661" t="s">
        <v>6074</v>
      </c>
      <c r="AV661" s="14" t="s">
        <v>72</v>
      </c>
      <c r="AW661" s="14" t="s">
        <v>73</v>
      </c>
      <c r="AX661" s="14" t="s">
        <v>1723</v>
      </c>
    </row>
    <row r="662" spans="1:50" ht="15" customHeight="1" x14ac:dyDescent="0.4">
      <c r="A662" s="12">
        <v>3851</v>
      </c>
      <c r="B662" s="21" t="s">
        <v>6075</v>
      </c>
      <c r="C662" s="13" t="s">
        <v>6076</v>
      </c>
      <c r="D662" s="25" t="s">
        <v>6076</v>
      </c>
      <c r="E662" s="13"/>
      <c r="F662" s="43" t="s">
        <v>49</v>
      </c>
      <c r="G662" s="65" t="s">
        <v>8185</v>
      </c>
      <c r="H662" s="14" t="s">
        <v>49</v>
      </c>
      <c r="I662" s="15">
        <v>44791</v>
      </c>
      <c r="J662" t="s">
        <v>2719</v>
      </c>
      <c r="K662" t="s">
        <v>51</v>
      </c>
      <c r="L662" t="s">
        <v>52</v>
      </c>
      <c r="M662" t="s">
        <v>53</v>
      </c>
      <c r="N662" t="s">
        <v>5993</v>
      </c>
      <c r="O662" t="s">
        <v>5994</v>
      </c>
      <c r="P662" t="s">
        <v>56</v>
      </c>
      <c r="Q662" s="21" t="s">
        <v>5995</v>
      </c>
      <c r="R662" s="21"/>
      <c r="S662" t="s">
        <v>6077</v>
      </c>
      <c r="T662" t="s">
        <v>6078</v>
      </c>
      <c r="X662" t="s">
        <v>60</v>
      </c>
      <c r="Z662" s="15"/>
      <c r="AB662">
        <v>43.598002999999999</v>
      </c>
      <c r="AC662">
        <v>-73.186823000000004</v>
      </c>
      <c r="AD662" t="s">
        <v>6079</v>
      </c>
      <c r="AG662" t="s">
        <v>1715</v>
      </c>
      <c r="AH662" t="s">
        <v>63</v>
      </c>
      <c r="AI662" t="s">
        <v>6080</v>
      </c>
      <c r="AJ662">
        <v>194449</v>
      </c>
      <c r="AL662" t="s">
        <v>6081</v>
      </c>
      <c r="AM662" t="s">
        <v>6082</v>
      </c>
      <c r="AN662" t="s">
        <v>6083</v>
      </c>
      <c r="AO662" t="s">
        <v>68</v>
      </c>
      <c r="AQ662" t="s">
        <v>6084</v>
      </c>
      <c r="AR662" t="s">
        <v>6085</v>
      </c>
      <c r="AS662" t="s">
        <v>6086</v>
      </c>
      <c r="AV662" s="14" t="s">
        <v>72</v>
      </c>
      <c r="AW662" s="14" t="s">
        <v>73</v>
      </c>
      <c r="AX662" s="14" t="s">
        <v>74</v>
      </c>
    </row>
    <row r="663" spans="1:50" ht="15" customHeight="1" x14ac:dyDescent="0.4">
      <c r="A663" s="12">
        <v>3852</v>
      </c>
      <c r="B663" s="21" t="s">
        <v>6087</v>
      </c>
      <c r="C663" s="13" t="s">
        <v>6088</v>
      </c>
      <c r="D663" s="25" t="s">
        <v>6088</v>
      </c>
      <c r="E663" s="13"/>
      <c r="F663" s="41"/>
      <c r="G663" s="65" t="s">
        <v>8185</v>
      </c>
      <c r="H663" s="14" t="s">
        <v>1878</v>
      </c>
      <c r="I663" s="15">
        <v>44791</v>
      </c>
      <c r="J663" t="s">
        <v>2719</v>
      </c>
      <c r="K663" t="s">
        <v>51</v>
      </c>
      <c r="L663" t="s">
        <v>52</v>
      </c>
      <c r="M663" t="s">
        <v>53</v>
      </c>
      <c r="N663" t="s">
        <v>5993</v>
      </c>
      <c r="O663" t="s">
        <v>5994</v>
      </c>
      <c r="P663" t="s">
        <v>56</v>
      </c>
      <c r="Q663" s="21" t="s">
        <v>5995</v>
      </c>
      <c r="R663" s="21"/>
      <c r="S663" t="s">
        <v>6020</v>
      </c>
      <c r="T663" t="s">
        <v>6089</v>
      </c>
      <c r="X663" t="s">
        <v>1881</v>
      </c>
      <c r="Z663" s="15"/>
      <c r="AB663">
        <v>43.600133</v>
      </c>
      <c r="AC663">
        <v>-73.183418000000003</v>
      </c>
      <c r="AD663" t="s">
        <v>6090</v>
      </c>
      <c r="AG663" t="s">
        <v>1715</v>
      </c>
      <c r="AH663" t="s">
        <v>63</v>
      </c>
      <c r="AI663" t="s">
        <v>6091</v>
      </c>
      <c r="AJ663">
        <v>192531</v>
      </c>
      <c r="AL663" t="s">
        <v>6092</v>
      </c>
      <c r="AM663" t="s">
        <v>6093</v>
      </c>
      <c r="AN663" t="s">
        <v>6094</v>
      </c>
      <c r="AO663" t="s">
        <v>68</v>
      </c>
      <c r="AQ663" t="s">
        <v>6095</v>
      </c>
      <c r="AR663" t="s">
        <v>6096</v>
      </c>
      <c r="AS663" t="s">
        <v>6097</v>
      </c>
      <c r="AV663" s="14" t="s">
        <v>72</v>
      </c>
      <c r="AW663" s="14" t="s">
        <v>73</v>
      </c>
      <c r="AX663" s="14" t="s">
        <v>1723</v>
      </c>
    </row>
    <row r="664" spans="1:50" ht="15" customHeight="1" x14ac:dyDescent="0.4">
      <c r="A664" s="12">
        <v>3714</v>
      </c>
      <c r="B664" s="21" t="s">
        <v>4465</v>
      </c>
      <c r="C664" s="13" t="s">
        <v>4466</v>
      </c>
      <c r="D664" s="25" t="s">
        <v>4466</v>
      </c>
      <c r="E664" s="13"/>
      <c r="F664" s="41" t="s">
        <v>8119</v>
      </c>
      <c r="G664" s="65" t="s">
        <v>8185</v>
      </c>
      <c r="H664" s="14" t="s">
        <v>1878</v>
      </c>
      <c r="I664" s="15">
        <v>44763</v>
      </c>
      <c r="J664" t="s">
        <v>2719</v>
      </c>
      <c r="K664" t="s">
        <v>51</v>
      </c>
      <c r="L664" t="s">
        <v>52</v>
      </c>
      <c r="M664" t="s">
        <v>53</v>
      </c>
      <c r="N664" t="s">
        <v>574</v>
      </c>
      <c r="O664" t="s">
        <v>4467</v>
      </c>
      <c r="P664" t="s">
        <v>56</v>
      </c>
      <c r="Q664" s="21" t="s">
        <v>4468</v>
      </c>
      <c r="R664" s="21"/>
      <c r="S664" t="s">
        <v>4469</v>
      </c>
      <c r="T664" t="s">
        <v>4470</v>
      </c>
      <c r="W664" t="s">
        <v>1758</v>
      </c>
      <c r="X664" t="s">
        <v>1881</v>
      </c>
      <c r="Z664" s="15"/>
      <c r="AB664">
        <v>46.332048</v>
      </c>
      <c r="AC664">
        <v>-91.507300999999998</v>
      </c>
      <c r="AD664" t="s">
        <v>4471</v>
      </c>
      <c r="AG664" t="s">
        <v>1715</v>
      </c>
      <c r="AH664" t="s">
        <v>63</v>
      </c>
      <c r="AI664" t="s">
        <v>4472</v>
      </c>
      <c r="AJ664">
        <v>192554</v>
      </c>
      <c r="AL664" t="s">
        <v>4473</v>
      </c>
      <c r="AM664" t="s">
        <v>4474</v>
      </c>
      <c r="AN664" t="s">
        <v>4475</v>
      </c>
      <c r="AO664" t="s">
        <v>68</v>
      </c>
      <c r="AQ664" t="s">
        <v>4476</v>
      </c>
      <c r="AR664" t="s">
        <v>4477</v>
      </c>
      <c r="AS664" t="s">
        <v>4478</v>
      </c>
      <c r="AV664" s="14" t="s">
        <v>72</v>
      </c>
      <c r="AW664" s="14" t="s">
        <v>73</v>
      </c>
      <c r="AX664" s="14" t="s">
        <v>1723</v>
      </c>
    </row>
    <row r="665" spans="1:50" ht="15" customHeight="1" x14ac:dyDescent="0.4">
      <c r="A665" s="33">
        <v>3715</v>
      </c>
      <c r="B665" s="37" t="s">
        <v>4479</v>
      </c>
      <c r="C665" s="35" t="s">
        <v>4480</v>
      </c>
      <c r="D665" s="55" t="s">
        <v>4480</v>
      </c>
      <c r="E665" s="35"/>
      <c r="F665" s="42" t="s">
        <v>8119</v>
      </c>
      <c r="G665" s="65" t="s">
        <v>8185</v>
      </c>
      <c r="H665" s="34" t="s">
        <v>1878</v>
      </c>
      <c r="I665" s="36">
        <v>44763</v>
      </c>
      <c r="J665" s="34" t="s">
        <v>2719</v>
      </c>
      <c r="K665" s="34" t="s">
        <v>51</v>
      </c>
      <c r="L665" s="34" t="s">
        <v>52</v>
      </c>
      <c r="M665" s="34" t="s">
        <v>53</v>
      </c>
      <c r="N665" s="34" t="s">
        <v>574</v>
      </c>
      <c r="O665" s="34" t="s">
        <v>4467</v>
      </c>
      <c r="P665" s="34" t="s">
        <v>56</v>
      </c>
      <c r="Q665" s="37" t="s">
        <v>4468</v>
      </c>
      <c r="R665" s="37"/>
      <c r="S665" s="34" t="s">
        <v>4469</v>
      </c>
      <c r="T665" s="34" t="s">
        <v>4481</v>
      </c>
      <c r="U665" s="34"/>
      <c r="V665" s="34"/>
      <c r="W665" s="34" t="s">
        <v>1758</v>
      </c>
      <c r="X665" s="34" t="s">
        <v>1881</v>
      </c>
      <c r="Y665" s="34"/>
      <c r="Z665" s="36"/>
      <c r="AA665" s="34"/>
      <c r="AB665" s="34">
        <v>46.332273000000001</v>
      </c>
      <c r="AC665" s="34">
        <v>-91.507436999999996</v>
      </c>
      <c r="AD665" s="34" t="s">
        <v>4482</v>
      </c>
      <c r="AE665" s="34"/>
      <c r="AF665" s="34"/>
      <c r="AG665" s="34" t="s">
        <v>1715</v>
      </c>
      <c r="AH665" s="34" t="s">
        <v>63</v>
      </c>
      <c r="AI665" s="34" t="s">
        <v>4483</v>
      </c>
      <c r="AJ665" s="34">
        <v>192555</v>
      </c>
      <c r="AK665" s="34"/>
      <c r="AL665" s="34" t="s">
        <v>4484</v>
      </c>
      <c r="AM665" s="34" t="s">
        <v>4485</v>
      </c>
      <c r="AN665" s="34" t="s">
        <v>4486</v>
      </c>
      <c r="AO665" s="34" t="s">
        <v>68</v>
      </c>
      <c r="AP665" s="34"/>
      <c r="AQ665" s="34" t="s">
        <v>4487</v>
      </c>
      <c r="AR665" s="34" t="s">
        <v>4488</v>
      </c>
      <c r="AS665" s="34" t="s">
        <v>4489</v>
      </c>
      <c r="AT665" s="34"/>
      <c r="AU665" s="34"/>
      <c r="AV665" s="34" t="s">
        <v>72</v>
      </c>
      <c r="AW665" s="34" t="s">
        <v>73</v>
      </c>
      <c r="AX665" s="34" t="s">
        <v>1723</v>
      </c>
    </row>
    <row r="666" spans="1:50" ht="15" customHeight="1" x14ac:dyDescent="0.4">
      <c r="A666" s="12">
        <v>3716</v>
      </c>
      <c r="B666" s="21" t="s">
        <v>4490</v>
      </c>
      <c r="C666" s="13" t="s">
        <v>4491</v>
      </c>
      <c r="D666" s="25" t="s">
        <v>4491</v>
      </c>
      <c r="E666" s="13"/>
      <c r="F666" s="43" t="s">
        <v>1878</v>
      </c>
      <c r="G666" s="65" t="s">
        <v>8149</v>
      </c>
      <c r="H666" s="14" t="s">
        <v>1878</v>
      </c>
      <c r="I666" s="15">
        <v>44763</v>
      </c>
      <c r="J666" t="s">
        <v>2719</v>
      </c>
      <c r="K666" t="s">
        <v>51</v>
      </c>
      <c r="L666" t="s">
        <v>52</v>
      </c>
      <c r="M666" t="s">
        <v>53</v>
      </c>
      <c r="N666" t="s">
        <v>574</v>
      </c>
      <c r="O666" t="s">
        <v>4467</v>
      </c>
      <c r="P666" t="s">
        <v>56</v>
      </c>
      <c r="Q666" s="21" t="s">
        <v>4468</v>
      </c>
      <c r="R666" s="21"/>
      <c r="S666" t="s">
        <v>4469</v>
      </c>
      <c r="T666" t="s">
        <v>4492</v>
      </c>
      <c r="W666" t="s">
        <v>1758</v>
      </c>
      <c r="X666" t="s">
        <v>1881</v>
      </c>
      <c r="Z666" s="15"/>
      <c r="AB666">
        <v>46.332523000000002</v>
      </c>
      <c r="AC666">
        <v>-91.507718999999994</v>
      </c>
      <c r="AD666" t="s">
        <v>4493</v>
      </c>
      <c r="AG666" t="s">
        <v>1715</v>
      </c>
      <c r="AH666" t="s">
        <v>63</v>
      </c>
      <c r="AI666" t="s">
        <v>4494</v>
      </c>
      <c r="AJ666">
        <v>194221</v>
      </c>
      <c r="AL666" t="s">
        <v>4495</v>
      </c>
      <c r="AM666" t="s">
        <v>4496</v>
      </c>
      <c r="AN666" t="s">
        <v>4497</v>
      </c>
      <c r="AO666" t="s">
        <v>68</v>
      </c>
      <c r="AQ666" t="s">
        <v>4498</v>
      </c>
      <c r="AR666" t="s">
        <v>4499</v>
      </c>
      <c r="AS666" t="s">
        <v>4500</v>
      </c>
      <c r="AV666" s="14" t="s">
        <v>72</v>
      </c>
      <c r="AW666" s="14" t="s">
        <v>73</v>
      </c>
      <c r="AX666" s="14" t="s">
        <v>1723</v>
      </c>
    </row>
    <row r="667" spans="1:50" ht="15" customHeight="1" x14ac:dyDescent="0.4">
      <c r="A667" s="12">
        <v>3717</v>
      </c>
      <c r="B667" s="21" t="s">
        <v>4501</v>
      </c>
      <c r="C667" s="13" t="s">
        <v>4502</v>
      </c>
      <c r="D667" s="25" t="s">
        <v>4502</v>
      </c>
      <c r="E667" s="13"/>
      <c r="F667" s="45" t="s">
        <v>49</v>
      </c>
      <c r="G667" s="65" t="s">
        <v>8159</v>
      </c>
      <c r="H667" s="14" t="s">
        <v>1878</v>
      </c>
      <c r="I667" s="15">
        <v>44763</v>
      </c>
      <c r="J667" t="s">
        <v>2719</v>
      </c>
      <c r="K667" t="s">
        <v>51</v>
      </c>
      <c r="L667" t="s">
        <v>52</v>
      </c>
      <c r="M667" t="s">
        <v>53</v>
      </c>
      <c r="N667" t="s">
        <v>574</v>
      </c>
      <c r="O667" t="s">
        <v>4467</v>
      </c>
      <c r="P667" t="s">
        <v>56</v>
      </c>
      <c r="Q667" s="21" t="s">
        <v>4468</v>
      </c>
      <c r="R667" s="21"/>
      <c r="S667" t="s">
        <v>4469</v>
      </c>
      <c r="T667" t="s">
        <v>4503</v>
      </c>
      <c r="W667" t="s">
        <v>2321</v>
      </c>
      <c r="X667" t="s">
        <v>1881</v>
      </c>
      <c r="Z667" s="15"/>
      <c r="AB667">
        <v>46.331696999999998</v>
      </c>
      <c r="AC667">
        <v>-91.507323999999997</v>
      </c>
      <c r="AD667" t="s">
        <v>4504</v>
      </c>
      <c r="AG667" t="s">
        <v>1715</v>
      </c>
      <c r="AH667" t="s">
        <v>63</v>
      </c>
      <c r="AI667" t="s">
        <v>4505</v>
      </c>
      <c r="AJ667">
        <v>192553</v>
      </c>
      <c r="AL667" t="s">
        <v>4506</v>
      </c>
      <c r="AM667" t="s">
        <v>4507</v>
      </c>
      <c r="AN667" t="s">
        <v>4508</v>
      </c>
      <c r="AO667" t="s">
        <v>68</v>
      </c>
      <c r="AQ667" t="s">
        <v>4509</v>
      </c>
      <c r="AR667" t="s">
        <v>4510</v>
      </c>
      <c r="AS667" t="s">
        <v>4511</v>
      </c>
      <c r="AV667" s="14" t="s">
        <v>72</v>
      </c>
      <c r="AW667" s="14" t="s">
        <v>73</v>
      </c>
      <c r="AX667" s="14" t="s">
        <v>1723</v>
      </c>
    </row>
    <row r="668" spans="1:50" ht="15" customHeight="1" x14ac:dyDescent="0.4">
      <c r="A668" s="12">
        <v>3718</v>
      </c>
      <c r="B668" s="21" t="s">
        <v>4512</v>
      </c>
      <c r="C668" s="13" t="s">
        <v>4513</v>
      </c>
      <c r="D668" s="25" t="s">
        <v>4513</v>
      </c>
      <c r="E668" s="13"/>
      <c r="F668" s="41"/>
      <c r="G668" s="65" t="s">
        <v>8185</v>
      </c>
      <c r="H668" s="14" t="s">
        <v>49</v>
      </c>
      <c r="I668" s="15">
        <v>44763</v>
      </c>
      <c r="J668" t="s">
        <v>2719</v>
      </c>
      <c r="K668" t="s">
        <v>51</v>
      </c>
      <c r="L668" t="s">
        <v>52</v>
      </c>
      <c r="M668" t="s">
        <v>53</v>
      </c>
      <c r="N668" t="s">
        <v>574</v>
      </c>
      <c r="O668" t="s">
        <v>4467</v>
      </c>
      <c r="P668" t="s">
        <v>56</v>
      </c>
      <c r="Q668" s="21" t="s">
        <v>4468</v>
      </c>
      <c r="R668" s="21"/>
      <c r="S668" t="s">
        <v>4469</v>
      </c>
      <c r="T668" t="s">
        <v>4514</v>
      </c>
      <c r="W668" t="s">
        <v>2336</v>
      </c>
      <c r="X668" t="s">
        <v>60</v>
      </c>
      <c r="Z668" s="15"/>
      <c r="AB668">
        <v>46.331710999999999</v>
      </c>
      <c r="AC668">
        <v>-91.507253000000006</v>
      </c>
      <c r="AD668" t="s">
        <v>4515</v>
      </c>
      <c r="AG668" t="s">
        <v>1715</v>
      </c>
      <c r="AH668" t="s">
        <v>63</v>
      </c>
      <c r="AI668" t="s">
        <v>4516</v>
      </c>
      <c r="AJ668">
        <v>194470</v>
      </c>
      <c r="AL668" t="s">
        <v>4517</v>
      </c>
      <c r="AM668" t="s">
        <v>4518</v>
      </c>
      <c r="AN668" t="s">
        <v>4519</v>
      </c>
      <c r="AO668" t="s">
        <v>68</v>
      </c>
      <c r="AQ668" t="s">
        <v>4520</v>
      </c>
      <c r="AR668" t="s">
        <v>4521</v>
      </c>
      <c r="AS668" t="s">
        <v>4522</v>
      </c>
      <c r="AV668" s="14" t="s">
        <v>72</v>
      </c>
      <c r="AW668" s="14" t="s">
        <v>73</v>
      </c>
      <c r="AX668" s="14" t="s">
        <v>74</v>
      </c>
    </row>
    <row r="669" spans="1:50" ht="15" customHeight="1" x14ac:dyDescent="0.4">
      <c r="A669" s="12">
        <v>3719</v>
      </c>
      <c r="B669" s="21" t="s">
        <v>4523</v>
      </c>
      <c r="C669" s="13" t="s">
        <v>4524</v>
      </c>
      <c r="D669" s="25" t="s">
        <v>4524</v>
      </c>
      <c r="E669" s="13"/>
      <c r="F669" s="41"/>
      <c r="G669" s="65" t="s">
        <v>8185</v>
      </c>
      <c r="H669" s="14" t="s">
        <v>49</v>
      </c>
      <c r="I669" s="15">
        <v>44763</v>
      </c>
      <c r="J669" t="s">
        <v>2719</v>
      </c>
      <c r="K669" t="s">
        <v>51</v>
      </c>
      <c r="L669" t="s">
        <v>52</v>
      </c>
      <c r="M669" t="s">
        <v>53</v>
      </c>
      <c r="N669" t="s">
        <v>574</v>
      </c>
      <c r="O669" t="s">
        <v>4467</v>
      </c>
      <c r="P669" t="s">
        <v>56</v>
      </c>
      <c r="Q669" s="21" t="s">
        <v>4468</v>
      </c>
      <c r="R669" s="21"/>
      <c r="S669" t="s">
        <v>4469</v>
      </c>
      <c r="T669" t="s">
        <v>4525</v>
      </c>
      <c r="W669" t="s">
        <v>2321</v>
      </c>
      <c r="X669" t="s">
        <v>60</v>
      </c>
      <c r="Z669" s="15"/>
      <c r="AB669">
        <v>46.330843999999999</v>
      </c>
      <c r="AC669">
        <v>-91.506894000000003</v>
      </c>
      <c r="AD669" t="s">
        <v>4493</v>
      </c>
      <c r="AG669" t="s">
        <v>1715</v>
      </c>
      <c r="AH669" t="s">
        <v>63</v>
      </c>
      <c r="AI669" t="s">
        <v>4526</v>
      </c>
      <c r="AJ669">
        <v>192576</v>
      </c>
      <c r="AL669" t="s">
        <v>4527</v>
      </c>
      <c r="AM669" t="s">
        <v>4528</v>
      </c>
      <c r="AN669" t="s">
        <v>4529</v>
      </c>
      <c r="AO669" t="s">
        <v>68</v>
      </c>
      <c r="AP669" t="s">
        <v>4530</v>
      </c>
      <c r="AQ669" t="s">
        <v>4531</v>
      </c>
      <c r="AR669" t="s">
        <v>4532</v>
      </c>
      <c r="AS669" t="s">
        <v>4533</v>
      </c>
      <c r="AT669" s="31" t="s">
        <v>4534</v>
      </c>
      <c r="AV669" s="14" t="s">
        <v>72</v>
      </c>
      <c r="AW669" s="14" t="s">
        <v>73</v>
      </c>
      <c r="AX669" s="14" t="s">
        <v>74</v>
      </c>
    </row>
    <row r="670" spans="1:50" ht="15" customHeight="1" x14ac:dyDescent="0.4">
      <c r="A670" s="12">
        <v>3720</v>
      </c>
      <c r="B670" s="21" t="s">
        <v>4535</v>
      </c>
      <c r="C670" s="13" t="s">
        <v>4536</v>
      </c>
      <c r="D670" s="25" t="s">
        <v>4536</v>
      </c>
      <c r="E670" s="13"/>
      <c r="F670" s="41"/>
      <c r="G670" s="65" t="s">
        <v>8185</v>
      </c>
      <c r="H670" s="14" t="s">
        <v>49</v>
      </c>
      <c r="I670" s="15">
        <v>44763</v>
      </c>
      <c r="J670" t="s">
        <v>2719</v>
      </c>
      <c r="K670" t="s">
        <v>51</v>
      </c>
      <c r="L670" t="s">
        <v>52</v>
      </c>
      <c r="M670" t="s">
        <v>53</v>
      </c>
      <c r="N670" t="s">
        <v>574</v>
      </c>
      <c r="O670" t="s">
        <v>4467</v>
      </c>
      <c r="P670" t="s">
        <v>56</v>
      </c>
      <c r="Q670" s="21" t="s">
        <v>4468</v>
      </c>
      <c r="R670" s="21"/>
      <c r="S670" t="s">
        <v>4469</v>
      </c>
      <c r="T670" t="s">
        <v>4537</v>
      </c>
      <c r="W670" t="s">
        <v>2321</v>
      </c>
      <c r="X670" t="s">
        <v>60</v>
      </c>
      <c r="Z670" s="15"/>
      <c r="AB670">
        <v>46.331659000000002</v>
      </c>
      <c r="AC670">
        <v>-91.506574000000001</v>
      </c>
      <c r="AD670" t="s">
        <v>4538</v>
      </c>
      <c r="AG670" t="s">
        <v>1715</v>
      </c>
      <c r="AH670" t="s">
        <v>63</v>
      </c>
      <c r="AI670" t="s">
        <v>4539</v>
      </c>
      <c r="AJ670">
        <v>192656</v>
      </c>
      <c r="AL670" t="s">
        <v>4540</v>
      </c>
      <c r="AM670" t="s">
        <v>4541</v>
      </c>
      <c r="AN670" t="s">
        <v>4542</v>
      </c>
      <c r="AO670" t="s">
        <v>68</v>
      </c>
      <c r="AQ670" t="s">
        <v>4543</v>
      </c>
      <c r="AR670" t="s">
        <v>4544</v>
      </c>
      <c r="AS670" t="s">
        <v>4545</v>
      </c>
      <c r="AV670" s="14" t="s">
        <v>72</v>
      </c>
      <c r="AW670" s="14" t="s">
        <v>73</v>
      </c>
      <c r="AX670" s="14" t="s">
        <v>74</v>
      </c>
    </row>
    <row r="671" spans="1:50" ht="15" customHeight="1" x14ac:dyDescent="0.4">
      <c r="A671" s="12">
        <v>3721</v>
      </c>
      <c r="B671" s="21" t="s">
        <v>4546</v>
      </c>
      <c r="C671" s="13" t="s">
        <v>4547</v>
      </c>
      <c r="D671" s="25" t="s">
        <v>4547</v>
      </c>
      <c r="E671" s="13"/>
      <c r="F671" s="41"/>
      <c r="G671" s="65" t="s">
        <v>8185</v>
      </c>
      <c r="H671" s="14" t="s">
        <v>49</v>
      </c>
      <c r="I671" s="15">
        <v>44763</v>
      </c>
      <c r="J671" t="s">
        <v>2719</v>
      </c>
      <c r="K671" t="s">
        <v>51</v>
      </c>
      <c r="L671" t="s">
        <v>52</v>
      </c>
      <c r="M671" t="s">
        <v>53</v>
      </c>
      <c r="N671" t="s">
        <v>574</v>
      </c>
      <c r="O671" t="s">
        <v>4467</v>
      </c>
      <c r="P671" t="s">
        <v>56</v>
      </c>
      <c r="Q671" s="21" t="s">
        <v>4468</v>
      </c>
      <c r="R671" s="21"/>
      <c r="S671" t="s">
        <v>4548</v>
      </c>
      <c r="T671" t="s">
        <v>4549</v>
      </c>
      <c r="W671" t="s">
        <v>2321</v>
      </c>
      <c r="X671" t="s">
        <v>60</v>
      </c>
      <c r="Z671" s="15"/>
      <c r="AB671">
        <v>46.330621999999998</v>
      </c>
      <c r="AC671">
        <v>-91.506962000000001</v>
      </c>
      <c r="AD671" t="s">
        <v>4550</v>
      </c>
      <c r="AG671" t="s">
        <v>1715</v>
      </c>
      <c r="AH671" t="s">
        <v>63</v>
      </c>
      <c r="AI671" t="s">
        <v>4551</v>
      </c>
      <c r="AJ671">
        <v>192537</v>
      </c>
      <c r="AL671" t="s">
        <v>4552</v>
      </c>
      <c r="AM671" t="s">
        <v>4553</v>
      </c>
      <c r="AN671" t="s">
        <v>4554</v>
      </c>
      <c r="AO671" t="s">
        <v>68</v>
      </c>
      <c r="AQ671" t="s">
        <v>4555</v>
      </c>
      <c r="AR671" t="s">
        <v>4556</v>
      </c>
      <c r="AS671" t="s">
        <v>4557</v>
      </c>
      <c r="AV671" s="14" t="s">
        <v>72</v>
      </c>
      <c r="AW671" s="14" t="s">
        <v>73</v>
      </c>
      <c r="AX671" s="14" t="s">
        <v>74</v>
      </c>
    </row>
    <row r="672" spans="1:50" ht="15" customHeight="1" x14ac:dyDescent="0.4">
      <c r="A672" s="12">
        <v>3722</v>
      </c>
      <c r="B672" s="21" t="s">
        <v>4558</v>
      </c>
      <c r="C672" s="13" t="s">
        <v>4559</v>
      </c>
      <c r="D672" s="25" t="s">
        <v>4559</v>
      </c>
      <c r="E672" s="13"/>
      <c r="F672" s="41"/>
      <c r="G672" s="65" t="s">
        <v>8185</v>
      </c>
      <c r="H672" s="14" t="s">
        <v>49</v>
      </c>
      <c r="I672" s="15">
        <v>44763</v>
      </c>
      <c r="J672" t="s">
        <v>2719</v>
      </c>
      <c r="K672" t="s">
        <v>51</v>
      </c>
      <c r="L672" t="s">
        <v>52</v>
      </c>
      <c r="M672" t="s">
        <v>53</v>
      </c>
      <c r="N672" t="s">
        <v>574</v>
      </c>
      <c r="O672" t="s">
        <v>4467</v>
      </c>
      <c r="P672" t="s">
        <v>56</v>
      </c>
      <c r="Q672" s="21" t="s">
        <v>4468</v>
      </c>
      <c r="R672" s="21"/>
      <c r="S672" t="s">
        <v>4548</v>
      </c>
      <c r="T672" t="s">
        <v>4560</v>
      </c>
      <c r="W672" t="s">
        <v>2321</v>
      </c>
      <c r="X672" t="s">
        <v>60</v>
      </c>
      <c r="Z672" s="15"/>
      <c r="AB672">
        <v>46.330665000000003</v>
      </c>
      <c r="AC672">
        <v>-91.507785999999996</v>
      </c>
      <c r="AD672" t="s">
        <v>4561</v>
      </c>
      <c r="AG672" t="s">
        <v>1715</v>
      </c>
      <c r="AH672" t="s">
        <v>63</v>
      </c>
      <c r="AI672" t="s">
        <v>4562</v>
      </c>
      <c r="AJ672">
        <v>194469</v>
      </c>
      <c r="AL672" t="s">
        <v>4563</v>
      </c>
      <c r="AM672" t="s">
        <v>4564</v>
      </c>
      <c r="AN672" t="s">
        <v>4565</v>
      </c>
      <c r="AO672" t="s">
        <v>68</v>
      </c>
      <c r="AQ672" t="s">
        <v>4566</v>
      </c>
      <c r="AR672" t="s">
        <v>4567</v>
      </c>
      <c r="AS672" t="s">
        <v>4568</v>
      </c>
      <c r="AV672" s="14" t="s">
        <v>72</v>
      </c>
      <c r="AW672" s="14" t="s">
        <v>73</v>
      </c>
      <c r="AX672" s="14" t="s">
        <v>74</v>
      </c>
    </row>
    <row r="673" spans="1:50" ht="15" customHeight="1" x14ac:dyDescent="0.4">
      <c r="A673" s="12">
        <v>3700</v>
      </c>
      <c r="B673" s="21" t="s">
        <v>4299</v>
      </c>
      <c r="C673" s="13" t="s">
        <v>4300</v>
      </c>
      <c r="D673" s="25" t="s">
        <v>4300</v>
      </c>
      <c r="E673" s="13"/>
      <c r="F673" s="41"/>
      <c r="G673" s="65" t="s">
        <v>8185</v>
      </c>
      <c r="H673" s="14" t="s">
        <v>49</v>
      </c>
      <c r="I673" s="15">
        <v>44761</v>
      </c>
      <c r="J673" t="s">
        <v>2719</v>
      </c>
      <c r="K673" t="s">
        <v>51</v>
      </c>
      <c r="L673" t="s">
        <v>52</v>
      </c>
      <c r="M673" t="s">
        <v>53</v>
      </c>
      <c r="N673" t="s">
        <v>574</v>
      </c>
      <c r="O673" t="s">
        <v>2435</v>
      </c>
      <c r="P673" t="s">
        <v>56</v>
      </c>
      <c r="Q673" s="21" t="s">
        <v>4301</v>
      </c>
      <c r="R673" s="21"/>
      <c r="S673" t="s">
        <v>4302</v>
      </c>
      <c r="T673" t="s">
        <v>4303</v>
      </c>
      <c r="X673" t="s">
        <v>60</v>
      </c>
      <c r="Z673" s="15"/>
      <c r="AB673">
        <v>43.148663999999997</v>
      </c>
      <c r="AC673">
        <v>-90.043608000000006</v>
      </c>
      <c r="AD673" t="s">
        <v>3079</v>
      </c>
      <c r="AG673" t="s">
        <v>1715</v>
      </c>
      <c r="AH673" t="s">
        <v>63</v>
      </c>
      <c r="AI673" t="s">
        <v>4304</v>
      </c>
      <c r="AJ673">
        <v>192653</v>
      </c>
      <c r="AL673" t="s">
        <v>4305</v>
      </c>
      <c r="AM673" t="s">
        <v>4306</v>
      </c>
      <c r="AN673" t="s">
        <v>4307</v>
      </c>
      <c r="AO673" t="s">
        <v>68</v>
      </c>
      <c r="AQ673" t="s">
        <v>4308</v>
      </c>
      <c r="AR673" t="s">
        <v>4309</v>
      </c>
      <c r="AS673" t="s">
        <v>4310</v>
      </c>
      <c r="AV673" s="14" t="s">
        <v>72</v>
      </c>
      <c r="AW673" s="14" t="s">
        <v>73</v>
      </c>
      <c r="AX673" s="14" t="s">
        <v>74</v>
      </c>
    </row>
    <row r="674" spans="1:50" ht="15" customHeight="1" x14ac:dyDescent="0.4">
      <c r="A674" s="12">
        <v>3701</v>
      </c>
      <c r="B674" s="21" t="s">
        <v>4311</v>
      </c>
      <c r="C674" s="13" t="s">
        <v>4312</v>
      </c>
      <c r="D674" s="25" t="s">
        <v>4312</v>
      </c>
      <c r="E674" s="13"/>
      <c r="F674" s="41"/>
      <c r="G674" s="65" t="s">
        <v>8185</v>
      </c>
      <c r="H674" s="14" t="s">
        <v>1878</v>
      </c>
      <c r="I674" s="15">
        <v>44761</v>
      </c>
      <c r="J674" t="s">
        <v>2719</v>
      </c>
      <c r="K674" t="s">
        <v>51</v>
      </c>
      <c r="L674" t="s">
        <v>52</v>
      </c>
      <c r="M674" t="s">
        <v>53</v>
      </c>
      <c r="N674" t="s">
        <v>574</v>
      </c>
      <c r="O674" t="s">
        <v>2435</v>
      </c>
      <c r="P674" t="s">
        <v>56</v>
      </c>
      <c r="Q674" s="21" t="s">
        <v>4301</v>
      </c>
      <c r="R674" s="21"/>
      <c r="S674" t="s">
        <v>4313</v>
      </c>
      <c r="T674" t="s">
        <v>4314</v>
      </c>
      <c r="X674" t="s">
        <v>1881</v>
      </c>
      <c r="Z674" s="15"/>
      <c r="AB674">
        <v>43.148147000000002</v>
      </c>
      <c r="AC674">
        <v>-90.041259999999994</v>
      </c>
      <c r="AD674" t="s">
        <v>4315</v>
      </c>
      <c r="AG674" t="s">
        <v>1715</v>
      </c>
      <c r="AH674" t="s">
        <v>63</v>
      </c>
      <c r="AI674" t="s">
        <v>4316</v>
      </c>
      <c r="AJ674">
        <v>194179</v>
      </c>
      <c r="AL674" t="s">
        <v>4317</v>
      </c>
      <c r="AM674" t="s">
        <v>4318</v>
      </c>
      <c r="AN674" t="s">
        <v>4319</v>
      </c>
      <c r="AO674" t="s">
        <v>68</v>
      </c>
      <c r="AQ674" t="s">
        <v>4320</v>
      </c>
      <c r="AR674" t="s">
        <v>4321</v>
      </c>
      <c r="AS674" t="s">
        <v>4322</v>
      </c>
      <c r="AV674" s="14" t="s">
        <v>72</v>
      </c>
      <c r="AW674" s="14" t="s">
        <v>73</v>
      </c>
      <c r="AX674" s="14" t="s">
        <v>1723</v>
      </c>
    </row>
    <row r="675" spans="1:50" ht="15" customHeight="1" x14ac:dyDescent="0.4">
      <c r="A675" s="12">
        <v>3702</v>
      </c>
      <c r="B675" s="21" t="s">
        <v>4323</v>
      </c>
      <c r="C675" s="13" t="s">
        <v>4324</v>
      </c>
      <c r="D675" s="25" t="s">
        <v>4324</v>
      </c>
      <c r="E675" s="13"/>
      <c r="F675" s="41"/>
      <c r="G675" s="65" t="s">
        <v>8185</v>
      </c>
      <c r="H675" s="14" t="s">
        <v>1878</v>
      </c>
      <c r="I675" s="15">
        <v>44761</v>
      </c>
      <c r="J675" t="s">
        <v>2719</v>
      </c>
      <c r="K675" t="s">
        <v>51</v>
      </c>
      <c r="L675" t="s">
        <v>52</v>
      </c>
      <c r="M675" t="s">
        <v>53</v>
      </c>
      <c r="N675" t="s">
        <v>574</v>
      </c>
      <c r="O675" t="s">
        <v>2435</v>
      </c>
      <c r="P675" t="s">
        <v>56</v>
      </c>
      <c r="Q675" s="21" t="s">
        <v>4301</v>
      </c>
      <c r="R675" s="21"/>
      <c r="S675" t="s">
        <v>4325</v>
      </c>
      <c r="T675" t="s">
        <v>4326</v>
      </c>
      <c r="X675" t="s">
        <v>1881</v>
      </c>
      <c r="Z675" s="15"/>
      <c r="AB675">
        <v>43.148617000000002</v>
      </c>
      <c r="AC675">
        <v>-90.041292999999996</v>
      </c>
      <c r="AD675" t="s">
        <v>4327</v>
      </c>
      <c r="AG675" t="s">
        <v>1715</v>
      </c>
      <c r="AH675" t="s">
        <v>63</v>
      </c>
      <c r="AI675" t="s">
        <v>4328</v>
      </c>
      <c r="AJ675">
        <v>194180</v>
      </c>
      <c r="AL675" t="s">
        <v>4329</v>
      </c>
      <c r="AM675" t="s">
        <v>4330</v>
      </c>
      <c r="AN675" t="s">
        <v>4331</v>
      </c>
      <c r="AO675" t="s">
        <v>68</v>
      </c>
      <c r="AQ675" t="s">
        <v>4332</v>
      </c>
      <c r="AR675" t="s">
        <v>4333</v>
      </c>
      <c r="AS675" t="s">
        <v>4334</v>
      </c>
      <c r="AV675" s="14" t="s">
        <v>72</v>
      </c>
      <c r="AW675" s="14" t="s">
        <v>73</v>
      </c>
      <c r="AX675" s="14" t="s">
        <v>1723</v>
      </c>
    </row>
    <row r="676" spans="1:50" ht="15" customHeight="1" x14ac:dyDescent="0.4">
      <c r="A676" s="12">
        <v>3703</v>
      </c>
      <c r="B676" s="21" t="s">
        <v>4335</v>
      </c>
      <c r="C676" s="13" t="s">
        <v>4336</v>
      </c>
      <c r="D676" s="25" t="s">
        <v>4336</v>
      </c>
      <c r="E676" s="13"/>
      <c r="F676" s="41"/>
      <c r="G676" s="65" t="s">
        <v>8185</v>
      </c>
      <c r="H676" s="14" t="s">
        <v>1878</v>
      </c>
      <c r="I676" s="15">
        <v>44761</v>
      </c>
      <c r="J676" t="s">
        <v>2719</v>
      </c>
      <c r="K676" t="s">
        <v>51</v>
      </c>
      <c r="L676" t="s">
        <v>52</v>
      </c>
      <c r="M676" t="s">
        <v>53</v>
      </c>
      <c r="N676" t="s">
        <v>574</v>
      </c>
      <c r="O676" t="s">
        <v>2435</v>
      </c>
      <c r="P676" t="s">
        <v>56</v>
      </c>
      <c r="Q676" s="21" t="s">
        <v>4301</v>
      </c>
      <c r="R676" s="21"/>
      <c r="S676" t="s">
        <v>4337</v>
      </c>
      <c r="T676" t="s">
        <v>4338</v>
      </c>
      <c r="W676" t="s">
        <v>2440</v>
      </c>
      <c r="X676" t="s">
        <v>1881</v>
      </c>
      <c r="Z676" s="15"/>
      <c r="AB676">
        <v>43.150036</v>
      </c>
      <c r="AC676">
        <v>-90.041292999999996</v>
      </c>
      <c r="AD676" t="s">
        <v>4339</v>
      </c>
      <c r="AG676" t="s">
        <v>1715</v>
      </c>
      <c r="AH676" t="s">
        <v>63</v>
      </c>
      <c r="AI676" t="s">
        <v>4340</v>
      </c>
      <c r="AJ676">
        <v>194181</v>
      </c>
      <c r="AL676" t="s">
        <v>4341</v>
      </c>
      <c r="AM676" t="s">
        <v>4342</v>
      </c>
      <c r="AN676" t="s">
        <v>4343</v>
      </c>
      <c r="AO676" t="s">
        <v>68</v>
      </c>
      <c r="AQ676" t="s">
        <v>4344</v>
      </c>
      <c r="AR676" t="s">
        <v>4345</v>
      </c>
      <c r="AS676" t="s">
        <v>4346</v>
      </c>
      <c r="AV676" s="14" t="s">
        <v>72</v>
      </c>
      <c r="AW676" s="14" t="s">
        <v>73</v>
      </c>
      <c r="AX676" s="14" t="s">
        <v>1723</v>
      </c>
    </row>
    <row r="677" spans="1:50" ht="15" customHeight="1" x14ac:dyDescent="0.4">
      <c r="A677" s="12">
        <v>3704</v>
      </c>
      <c r="B677" s="21" t="s">
        <v>4347</v>
      </c>
      <c r="C677" s="13" t="s">
        <v>4348</v>
      </c>
      <c r="D677" s="25" t="s">
        <v>4348</v>
      </c>
      <c r="E677" s="13"/>
      <c r="F677" s="41"/>
      <c r="G677" s="65" t="s">
        <v>8185</v>
      </c>
      <c r="H677" s="14" t="s">
        <v>1878</v>
      </c>
      <c r="I677" s="15">
        <v>44761</v>
      </c>
      <c r="J677" t="s">
        <v>2719</v>
      </c>
      <c r="K677" t="s">
        <v>51</v>
      </c>
      <c r="L677" t="s">
        <v>52</v>
      </c>
      <c r="M677" t="s">
        <v>53</v>
      </c>
      <c r="N677" t="s">
        <v>574</v>
      </c>
      <c r="O677" t="s">
        <v>2435</v>
      </c>
      <c r="P677" t="s">
        <v>56</v>
      </c>
      <c r="Q677" s="21" t="s">
        <v>4301</v>
      </c>
      <c r="R677" s="21"/>
      <c r="S677" t="s">
        <v>4349</v>
      </c>
      <c r="T677" t="s">
        <v>4350</v>
      </c>
      <c r="W677" t="s">
        <v>2440</v>
      </c>
      <c r="X677" t="s">
        <v>1881</v>
      </c>
      <c r="Z677" s="15"/>
      <c r="AB677">
        <v>43.150426000000003</v>
      </c>
      <c r="AC677">
        <v>-90.045288999999997</v>
      </c>
      <c r="AD677" t="s">
        <v>4351</v>
      </c>
      <c r="AG677" t="s">
        <v>1715</v>
      </c>
      <c r="AH677" t="s">
        <v>63</v>
      </c>
      <c r="AI677" t="s">
        <v>4352</v>
      </c>
      <c r="AJ677">
        <v>194220</v>
      </c>
      <c r="AL677" t="s">
        <v>4353</v>
      </c>
      <c r="AM677" t="s">
        <v>4354</v>
      </c>
      <c r="AN677" t="s">
        <v>4355</v>
      </c>
      <c r="AO677" t="s">
        <v>68</v>
      </c>
      <c r="AQ677" t="s">
        <v>4356</v>
      </c>
      <c r="AR677" t="s">
        <v>4357</v>
      </c>
      <c r="AS677" t="s">
        <v>4358</v>
      </c>
      <c r="AV677" s="14" t="s">
        <v>72</v>
      </c>
      <c r="AW677" s="14" t="s">
        <v>73</v>
      </c>
      <c r="AX677" s="14" t="s">
        <v>1723</v>
      </c>
    </row>
    <row r="678" spans="1:50" ht="15" customHeight="1" x14ac:dyDescent="0.4">
      <c r="A678" s="12">
        <v>3705</v>
      </c>
      <c r="B678" s="21" t="s">
        <v>4359</v>
      </c>
      <c r="C678" s="13" t="s">
        <v>4360</v>
      </c>
      <c r="D678" s="25" t="s">
        <v>4360</v>
      </c>
      <c r="E678" s="13"/>
      <c r="F678" s="41"/>
      <c r="G678" s="65" t="s">
        <v>8185</v>
      </c>
      <c r="H678" s="14" t="s">
        <v>49</v>
      </c>
      <c r="I678" s="15">
        <v>44761</v>
      </c>
      <c r="J678" t="s">
        <v>2719</v>
      </c>
      <c r="K678" t="s">
        <v>51</v>
      </c>
      <c r="L678" t="s">
        <v>52</v>
      </c>
      <c r="M678" t="s">
        <v>53</v>
      </c>
      <c r="N678" t="s">
        <v>574</v>
      </c>
      <c r="O678" t="s">
        <v>2435</v>
      </c>
      <c r="P678" t="s">
        <v>56</v>
      </c>
      <c r="Q678" s="21" t="s">
        <v>4301</v>
      </c>
      <c r="R678" s="21"/>
      <c r="S678" t="s">
        <v>4361</v>
      </c>
      <c r="T678" t="s">
        <v>4362</v>
      </c>
      <c r="X678" t="s">
        <v>60</v>
      </c>
      <c r="Z678" s="15"/>
      <c r="AB678">
        <v>43.148781</v>
      </c>
      <c r="AC678">
        <v>-90.043418000000003</v>
      </c>
      <c r="AD678" t="s">
        <v>3079</v>
      </c>
      <c r="AG678" t="s">
        <v>1715</v>
      </c>
      <c r="AH678" t="s">
        <v>63</v>
      </c>
      <c r="AI678" t="s">
        <v>4363</v>
      </c>
      <c r="AJ678">
        <v>194472</v>
      </c>
      <c r="AL678" t="s">
        <v>4364</v>
      </c>
      <c r="AM678" t="s">
        <v>4365</v>
      </c>
      <c r="AN678" t="s">
        <v>4366</v>
      </c>
      <c r="AO678" t="s">
        <v>68</v>
      </c>
      <c r="AQ678" t="s">
        <v>4367</v>
      </c>
      <c r="AR678" t="s">
        <v>4368</v>
      </c>
      <c r="AS678" t="s">
        <v>4369</v>
      </c>
      <c r="AV678" s="14" t="s">
        <v>72</v>
      </c>
      <c r="AW678" s="14" t="s">
        <v>73</v>
      </c>
      <c r="AX678" s="14" t="s">
        <v>74</v>
      </c>
    </row>
    <row r="679" spans="1:50" ht="15" customHeight="1" x14ac:dyDescent="0.4">
      <c r="A679" s="12">
        <v>3723</v>
      </c>
      <c r="B679" s="21" t="s">
        <v>4569</v>
      </c>
      <c r="C679" s="13" t="s">
        <v>4570</v>
      </c>
      <c r="D679" s="25" t="s">
        <v>4570</v>
      </c>
      <c r="E679" s="13"/>
      <c r="F679" s="41"/>
      <c r="G679" s="65" t="s">
        <v>8185</v>
      </c>
      <c r="H679" s="14" t="s">
        <v>49</v>
      </c>
      <c r="I679" s="15">
        <v>44764</v>
      </c>
      <c r="J679" t="s">
        <v>2719</v>
      </c>
      <c r="K679" t="s">
        <v>51</v>
      </c>
      <c r="L679" t="s">
        <v>52</v>
      </c>
      <c r="M679" t="s">
        <v>53</v>
      </c>
      <c r="N679" t="s">
        <v>574</v>
      </c>
      <c r="O679" t="s">
        <v>4571</v>
      </c>
      <c r="P679" t="s">
        <v>56</v>
      </c>
      <c r="Q679" s="21" t="s">
        <v>4572</v>
      </c>
      <c r="R679" s="21"/>
      <c r="S679" t="s">
        <v>4573</v>
      </c>
      <c r="T679" t="s">
        <v>4574</v>
      </c>
      <c r="W679" t="s">
        <v>2321</v>
      </c>
      <c r="X679" t="s">
        <v>60</v>
      </c>
      <c r="Z679" s="15"/>
      <c r="AB679">
        <v>43.016382999999998</v>
      </c>
      <c r="AC679">
        <v>-88.438509999999994</v>
      </c>
      <c r="AD679" t="s">
        <v>4575</v>
      </c>
      <c r="AG679" t="s">
        <v>1715</v>
      </c>
      <c r="AH679" t="s">
        <v>63</v>
      </c>
      <c r="AI679" t="s">
        <v>4576</v>
      </c>
      <c r="AJ679">
        <v>194463</v>
      </c>
      <c r="AL679" t="s">
        <v>4577</v>
      </c>
      <c r="AM679" t="s">
        <v>4578</v>
      </c>
      <c r="AN679" t="s">
        <v>4579</v>
      </c>
      <c r="AO679" t="s">
        <v>68</v>
      </c>
      <c r="AQ679" t="s">
        <v>4580</v>
      </c>
      <c r="AR679" t="s">
        <v>4581</v>
      </c>
      <c r="AS679" t="s">
        <v>4582</v>
      </c>
      <c r="AV679" s="14" t="s">
        <v>72</v>
      </c>
      <c r="AW679" s="14" t="s">
        <v>73</v>
      </c>
      <c r="AX679" s="14" t="s">
        <v>74</v>
      </c>
    </row>
    <row r="680" spans="1:50" ht="15" customHeight="1" x14ac:dyDescent="0.4">
      <c r="A680" s="12">
        <v>3724</v>
      </c>
      <c r="B680" s="21" t="s">
        <v>4583</v>
      </c>
      <c r="C680" s="13" t="s">
        <v>4584</v>
      </c>
      <c r="D680" s="25" t="s">
        <v>4584</v>
      </c>
      <c r="E680" s="13"/>
      <c r="F680" s="41"/>
      <c r="G680" s="65" t="s">
        <v>8185</v>
      </c>
      <c r="H680" s="14" t="s">
        <v>49</v>
      </c>
      <c r="I680" s="15">
        <v>44764</v>
      </c>
      <c r="J680" t="s">
        <v>2719</v>
      </c>
      <c r="K680" t="s">
        <v>51</v>
      </c>
      <c r="L680" t="s">
        <v>52</v>
      </c>
      <c r="M680" t="s">
        <v>53</v>
      </c>
      <c r="N680" t="s">
        <v>574</v>
      </c>
      <c r="O680" t="s">
        <v>4571</v>
      </c>
      <c r="P680" t="s">
        <v>56</v>
      </c>
      <c r="Q680" s="21" t="s">
        <v>4572</v>
      </c>
      <c r="R680" s="21"/>
      <c r="S680" t="s">
        <v>4585</v>
      </c>
      <c r="T680" t="s">
        <v>4586</v>
      </c>
      <c r="W680" t="s">
        <v>1758</v>
      </c>
      <c r="X680" t="s">
        <v>60</v>
      </c>
      <c r="Z680" s="15"/>
      <c r="AB680">
        <v>43.016533000000003</v>
      </c>
      <c r="AC680">
        <v>-88.434152999999995</v>
      </c>
      <c r="AD680" t="s">
        <v>4587</v>
      </c>
      <c r="AG680" t="s">
        <v>1715</v>
      </c>
      <c r="AH680" t="s">
        <v>63</v>
      </c>
      <c r="AI680" t="s">
        <v>4588</v>
      </c>
      <c r="AJ680">
        <v>192669</v>
      </c>
      <c r="AL680" t="s">
        <v>4589</v>
      </c>
      <c r="AM680" t="s">
        <v>4590</v>
      </c>
      <c r="AN680" t="s">
        <v>4591</v>
      </c>
      <c r="AO680" t="s">
        <v>68</v>
      </c>
      <c r="AQ680" t="s">
        <v>4592</v>
      </c>
      <c r="AR680" t="s">
        <v>4593</v>
      </c>
      <c r="AS680" t="s">
        <v>4594</v>
      </c>
      <c r="AV680" s="14" t="s">
        <v>72</v>
      </c>
      <c r="AW680" s="14" t="s">
        <v>73</v>
      </c>
      <c r="AX680" s="14" t="s">
        <v>74</v>
      </c>
    </row>
    <row r="681" spans="1:50" ht="15" customHeight="1" x14ac:dyDescent="0.4">
      <c r="A681" s="12">
        <v>3725</v>
      </c>
      <c r="B681" s="21" t="s">
        <v>4595</v>
      </c>
      <c r="C681" s="13" t="s">
        <v>4596</v>
      </c>
      <c r="D681" s="25" t="s">
        <v>4596</v>
      </c>
      <c r="E681" s="13"/>
      <c r="F681" s="41"/>
      <c r="G681" s="65" t="s">
        <v>8185</v>
      </c>
      <c r="H681" s="14" t="s">
        <v>49</v>
      </c>
      <c r="I681" s="15">
        <v>44764</v>
      </c>
      <c r="J681" t="s">
        <v>2719</v>
      </c>
      <c r="K681" t="s">
        <v>51</v>
      </c>
      <c r="L681" t="s">
        <v>52</v>
      </c>
      <c r="M681" t="s">
        <v>53</v>
      </c>
      <c r="N681" t="s">
        <v>574</v>
      </c>
      <c r="O681" t="s">
        <v>4571</v>
      </c>
      <c r="P681" t="s">
        <v>56</v>
      </c>
      <c r="Q681" s="21" t="s">
        <v>4572</v>
      </c>
      <c r="R681" s="21"/>
      <c r="S681" t="s">
        <v>4573</v>
      </c>
      <c r="T681" t="s">
        <v>4597</v>
      </c>
      <c r="W681" t="s">
        <v>2321</v>
      </c>
      <c r="X681" t="s">
        <v>60</v>
      </c>
      <c r="Z681" s="15"/>
      <c r="AB681">
        <v>43.016871000000002</v>
      </c>
      <c r="AC681">
        <v>-88.435539000000006</v>
      </c>
      <c r="AD681" t="s">
        <v>4598</v>
      </c>
      <c r="AG681" t="s">
        <v>1715</v>
      </c>
      <c r="AH681" t="s">
        <v>63</v>
      </c>
      <c r="AI681" t="s">
        <v>4599</v>
      </c>
      <c r="AJ681">
        <v>194465</v>
      </c>
      <c r="AL681" t="s">
        <v>4600</v>
      </c>
      <c r="AM681" t="s">
        <v>4601</v>
      </c>
      <c r="AN681" t="s">
        <v>4602</v>
      </c>
      <c r="AO681" t="s">
        <v>68</v>
      </c>
      <c r="AQ681" t="s">
        <v>4603</v>
      </c>
      <c r="AR681" t="s">
        <v>4604</v>
      </c>
      <c r="AS681" t="s">
        <v>4605</v>
      </c>
      <c r="AV681" s="14" t="s">
        <v>72</v>
      </c>
      <c r="AW681" s="14" t="s">
        <v>73</v>
      </c>
      <c r="AX681" s="14" t="s">
        <v>74</v>
      </c>
    </row>
    <row r="682" spans="1:50" ht="15" customHeight="1" x14ac:dyDescent="0.4">
      <c r="A682" s="12">
        <v>3726</v>
      </c>
      <c r="B682" s="21" t="s">
        <v>4606</v>
      </c>
      <c r="C682" s="13" t="s">
        <v>4607</v>
      </c>
      <c r="D682" s="25" t="s">
        <v>4607</v>
      </c>
      <c r="E682" s="13"/>
      <c r="F682" s="41"/>
      <c r="G682" s="65" t="s">
        <v>8185</v>
      </c>
      <c r="H682" s="14" t="s">
        <v>49</v>
      </c>
      <c r="I682" s="15">
        <v>44764</v>
      </c>
      <c r="J682" t="s">
        <v>2719</v>
      </c>
      <c r="K682" t="s">
        <v>51</v>
      </c>
      <c r="L682" t="s">
        <v>52</v>
      </c>
      <c r="M682" t="s">
        <v>53</v>
      </c>
      <c r="N682" t="s">
        <v>574</v>
      </c>
      <c r="O682" t="s">
        <v>4571</v>
      </c>
      <c r="P682" t="s">
        <v>56</v>
      </c>
      <c r="Q682" s="21" t="s">
        <v>4572</v>
      </c>
      <c r="R682" s="21"/>
      <c r="S682" t="s">
        <v>4573</v>
      </c>
      <c r="T682" t="s">
        <v>4608</v>
      </c>
      <c r="X682" t="s">
        <v>60</v>
      </c>
      <c r="Z682" s="15"/>
      <c r="AB682">
        <v>43.017411000000003</v>
      </c>
      <c r="AC682">
        <v>-88.436648000000005</v>
      </c>
      <c r="AD682" t="s">
        <v>4609</v>
      </c>
      <c r="AG682" t="s">
        <v>1715</v>
      </c>
      <c r="AH682" t="s">
        <v>63</v>
      </c>
      <c r="AI682" t="s">
        <v>4610</v>
      </c>
      <c r="AJ682">
        <v>194468</v>
      </c>
      <c r="AL682" t="s">
        <v>4611</v>
      </c>
      <c r="AM682" t="s">
        <v>4612</v>
      </c>
      <c r="AN682" t="s">
        <v>4613</v>
      </c>
      <c r="AO682" t="s">
        <v>68</v>
      </c>
      <c r="AQ682" t="s">
        <v>4614</v>
      </c>
      <c r="AR682" t="s">
        <v>4615</v>
      </c>
      <c r="AS682" t="s">
        <v>4616</v>
      </c>
      <c r="AV682" s="14" t="s">
        <v>72</v>
      </c>
      <c r="AW682" s="14" t="s">
        <v>73</v>
      </c>
      <c r="AX682" s="14" t="s">
        <v>74</v>
      </c>
    </row>
    <row r="683" spans="1:50" ht="15" customHeight="1" x14ac:dyDescent="0.4">
      <c r="A683" s="12">
        <v>3727</v>
      </c>
      <c r="B683" s="21" t="s">
        <v>4617</v>
      </c>
      <c r="C683" s="13" t="s">
        <v>4618</v>
      </c>
      <c r="D683" s="25" t="s">
        <v>4618</v>
      </c>
      <c r="E683" s="13"/>
      <c r="F683" s="41"/>
      <c r="G683" s="65" t="s">
        <v>8185</v>
      </c>
      <c r="H683" s="14" t="s">
        <v>1878</v>
      </c>
      <c r="I683" s="15">
        <v>44764</v>
      </c>
      <c r="J683" t="s">
        <v>2719</v>
      </c>
      <c r="K683" t="s">
        <v>51</v>
      </c>
      <c r="L683" t="s">
        <v>52</v>
      </c>
      <c r="M683" t="s">
        <v>53</v>
      </c>
      <c r="N683" t="s">
        <v>574</v>
      </c>
      <c r="O683" t="s">
        <v>4571</v>
      </c>
      <c r="P683" t="s">
        <v>56</v>
      </c>
      <c r="Q683" s="21" t="s">
        <v>4572</v>
      </c>
      <c r="R683" s="21"/>
      <c r="S683" t="s">
        <v>4573</v>
      </c>
      <c r="T683" t="s">
        <v>4619</v>
      </c>
      <c r="W683" t="s">
        <v>2321</v>
      </c>
      <c r="X683" t="s">
        <v>1881</v>
      </c>
      <c r="Z683" s="15"/>
      <c r="AB683">
        <v>43.017992999999997</v>
      </c>
      <c r="AC683">
        <v>-88.43768</v>
      </c>
      <c r="AD683" t="s">
        <v>4620</v>
      </c>
      <c r="AG683" t="s">
        <v>1715</v>
      </c>
      <c r="AH683" t="s">
        <v>63</v>
      </c>
      <c r="AI683" t="s">
        <v>4621</v>
      </c>
      <c r="AJ683">
        <v>194222</v>
      </c>
      <c r="AL683" t="s">
        <v>4622</v>
      </c>
      <c r="AM683" t="s">
        <v>4623</v>
      </c>
      <c r="AN683" t="s">
        <v>4624</v>
      </c>
      <c r="AO683" t="s">
        <v>68</v>
      </c>
      <c r="AQ683" t="s">
        <v>4625</v>
      </c>
      <c r="AR683" t="s">
        <v>4626</v>
      </c>
      <c r="AS683" t="s">
        <v>4627</v>
      </c>
      <c r="AV683" s="14" t="s">
        <v>72</v>
      </c>
      <c r="AW683" s="14" t="s">
        <v>73</v>
      </c>
      <c r="AX683" s="14" t="s">
        <v>1723</v>
      </c>
    </row>
    <row r="684" spans="1:50" ht="15" customHeight="1" x14ac:dyDescent="0.4">
      <c r="A684" s="12">
        <v>3728</v>
      </c>
      <c r="B684" s="21" t="s">
        <v>4628</v>
      </c>
      <c r="C684" s="13" t="s">
        <v>4629</v>
      </c>
      <c r="D684" s="25" t="s">
        <v>4629</v>
      </c>
      <c r="E684" s="13"/>
      <c r="F684" s="41"/>
      <c r="G684" s="65" t="s">
        <v>8185</v>
      </c>
      <c r="H684" s="14" t="s">
        <v>1878</v>
      </c>
      <c r="I684" s="15">
        <v>44764</v>
      </c>
      <c r="J684" t="s">
        <v>2719</v>
      </c>
      <c r="K684" t="s">
        <v>51</v>
      </c>
      <c r="L684" t="s">
        <v>52</v>
      </c>
      <c r="M684" t="s">
        <v>53</v>
      </c>
      <c r="N684" t="s">
        <v>574</v>
      </c>
      <c r="O684" t="s">
        <v>4571</v>
      </c>
      <c r="P684" t="s">
        <v>56</v>
      </c>
      <c r="Q684" s="21" t="s">
        <v>4572</v>
      </c>
      <c r="R684" s="21"/>
      <c r="S684" t="s">
        <v>4573</v>
      </c>
      <c r="T684" t="s">
        <v>4630</v>
      </c>
      <c r="W684" t="s">
        <v>1758</v>
      </c>
      <c r="X684" t="s">
        <v>1881</v>
      </c>
      <c r="Z684" s="15"/>
      <c r="AB684">
        <v>43.017924999999998</v>
      </c>
      <c r="AC684">
        <v>-88.438305</v>
      </c>
      <c r="AD684" t="s">
        <v>4631</v>
      </c>
      <c r="AG684" t="s">
        <v>1715</v>
      </c>
      <c r="AH684" t="s">
        <v>63</v>
      </c>
      <c r="AI684" t="s">
        <v>4632</v>
      </c>
      <c r="AJ684">
        <v>194207</v>
      </c>
      <c r="AL684" t="s">
        <v>4633</v>
      </c>
      <c r="AM684" t="s">
        <v>4634</v>
      </c>
      <c r="AN684" t="s">
        <v>4635</v>
      </c>
      <c r="AO684" t="s">
        <v>68</v>
      </c>
      <c r="AQ684" t="s">
        <v>4636</v>
      </c>
      <c r="AR684" t="s">
        <v>4637</v>
      </c>
      <c r="AS684" t="s">
        <v>4638</v>
      </c>
      <c r="AV684" s="14" t="s">
        <v>72</v>
      </c>
      <c r="AW684" s="14" t="s">
        <v>73</v>
      </c>
      <c r="AX684" s="14" t="s">
        <v>1723</v>
      </c>
    </row>
    <row r="685" spans="1:50" ht="15" customHeight="1" x14ac:dyDescent="0.4">
      <c r="A685" s="12">
        <v>3729</v>
      </c>
      <c r="B685" s="21" t="s">
        <v>4639</v>
      </c>
      <c r="C685" s="13" t="s">
        <v>4640</v>
      </c>
      <c r="D685" s="25" t="s">
        <v>4640</v>
      </c>
      <c r="E685" s="13"/>
      <c r="F685" s="41"/>
      <c r="G685" s="65" t="s">
        <v>8185</v>
      </c>
      <c r="H685" s="14" t="s">
        <v>1878</v>
      </c>
      <c r="I685" s="15">
        <v>44764</v>
      </c>
      <c r="J685" t="s">
        <v>2719</v>
      </c>
      <c r="K685" t="s">
        <v>51</v>
      </c>
      <c r="L685" t="s">
        <v>52</v>
      </c>
      <c r="M685" t="s">
        <v>53</v>
      </c>
      <c r="N685" t="s">
        <v>574</v>
      </c>
      <c r="O685" t="s">
        <v>4571</v>
      </c>
      <c r="P685" t="s">
        <v>56</v>
      </c>
      <c r="Q685" s="21" t="s">
        <v>4572</v>
      </c>
      <c r="R685" s="21"/>
      <c r="S685" t="s">
        <v>4641</v>
      </c>
      <c r="T685" t="s">
        <v>4642</v>
      </c>
      <c r="X685" t="s">
        <v>1881</v>
      </c>
      <c r="Z685" s="15"/>
      <c r="AB685">
        <v>43.018248</v>
      </c>
      <c r="AC685">
        <v>-88.439409999999995</v>
      </c>
      <c r="AD685" t="s">
        <v>4643</v>
      </c>
      <c r="AG685" t="s">
        <v>1715</v>
      </c>
      <c r="AH685" t="s">
        <v>63</v>
      </c>
      <c r="AI685" t="s">
        <v>4644</v>
      </c>
      <c r="AJ685">
        <v>194141</v>
      </c>
      <c r="AL685" t="s">
        <v>4645</v>
      </c>
      <c r="AM685" t="s">
        <v>4646</v>
      </c>
      <c r="AN685" t="s">
        <v>4647</v>
      </c>
      <c r="AO685" t="s">
        <v>68</v>
      </c>
      <c r="AQ685" t="s">
        <v>4648</v>
      </c>
      <c r="AR685" t="s">
        <v>4649</v>
      </c>
      <c r="AS685" t="s">
        <v>4650</v>
      </c>
      <c r="AV685" s="14" t="s">
        <v>72</v>
      </c>
      <c r="AW685" s="14" t="s">
        <v>73</v>
      </c>
      <c r="AX685" s="14" t="s">
        <v>1723</v>
      </c>
    </row>
    <row r="686" spans="1:50" ht="15" customHeight="1" x14ac:dyDescent="0.4">
      <c r="A686" s="12">
        <v>3730</v>
      </c>
      <c r="B686" s="21" t="s">
        <v>4651</v>
      </c>
      <c r="C686" s="13" t="s">
        <v>4652</v>
      </c>
      <c r="D686" s="25" t="s">
        <v>4652</v>
      </c>
      <c r="E686" s="13"/>
      <c r="F686" s="41"/>
      <c r="G686" s="65" t="s">
        <v>8185</v>
      </c>
      <c r="H686" s="14" t="s">
        <v>1878</v>
      </c>
      <c r="I686" s="15">
        <v>44764</v>
      </c>
      <c r="J686" t="s">
        <v>2719</v>
      </c>
      <c r="K686" t="s">
        <v>51</v>
      </c>
      <c r="L686" t="s">
        <v>52</v>
      </c>
      <c r="M686" t="s">
        <v>53</v>
      </c>
      <c r="N686" t="s">
        <v>574</v>
      </c>
      <c r="O686" t="s">
        <v>4571</v>
      </c>
      <c r="P686" t="s">
        <v>56</v>
      </c>
      <c r="Q686" s="21" t="s">
        <v>4572</v>
      </c>
      <c r="R686" s="21"/>
      <c r="S686" t="s">
        <v>4653</v>
      </c>
      <c r="T686" t="s">
        <v>4654</v>
      </c>
      <c r="X686" t="s">
        <v>1881</v>
      </c>
      <c r="Z686" s="15"/>
      <c r="AB686">
        <v>43.017823999999997</v>
      </c>
      <c r="AC686">
        <v>-88.440448000000004</v>
      </c>
      <c r="AD686" t="s">
        <v>4655</v>
      </c>
      <c r="AG686" t="s">
        <v>1715</v>
      </c>
      <c r="AH686" t="s">
        <v>63</v>
      </c>
      <c r="AI686" t="s">
        <v>4656</v>
      </c>
      <c r="AJ686">
        <v>194239</v>
      </c>
      <c r="AL686" t="s">
        <v>4657</v>
      </c>
      <c r="AM686" t="s">
        <v>4658</v>
      </c>
      <c r="AN686" t="s">
        <v>4659</v>
      </c>
      <c r="AO686" t="s">
        <v>68</v>
      </c>
      <c r="AQ686" t="s">
        <v>4660</v>
      </c>
      <c r="AR686" t="s">
        <v>4661</v>
      </c>
      <c r="AS686" t="s">
        <v>4662</v>
      </c>
      <c r="AV686" s="14" t="s">
        <v>72</v>
      </c>
      <c r="AW686" s="14" t="s">
        <v>73</v>
      </c>
      <c r="AX686" s="14" t="s">
        <v>1723</v>
      </c>
    </row>
    <row r="687" spans="1:50" ht="15" customHeight="1" x14ac:dyDescent="0.4">
      <c r="A687" s="12">
        <v>3731</v>
      </c>
      <c r="B687" s="21" t="s">
        <v>4663</v>
      </c>
      <c r="C687" s="13" t="s">
        <v>4664</v>
      </c>
      <c r="D687" s="25" t="s">
        <v>4664</v>
      </c>
      <c r="E687" s="13"/>
      <c r="F687" s="41"/>
      <c r="G687" s="65" t="s">
        <v>8185</v>
      </c>
      <c r="H687" s="14" t="s">
        <v>49</v>
      </c>
      <c r="I687" s="15">
        <v>44764</v>
      </c>
      <c r="J687" t="s">
        <v>2719</v>
      </c>
      <c r="K687" t="s">
        <v>51</v>
      </c>
      <c r="L687" t="s">
        <v>52</v>
      </c>
      <c r="M687" t="s">
        <v>53</v>
      </c>
      <c r="N687" t="s">
        <v>574</v>
      </c>
      <c r="O687" t="s">
        <v>4571</v>
      </c>
      <c r="P687" t="s">
        <v>56</v>
      </c>
      <c r="Q687" s="21" t="s">
        <v>4572</v>
      </c>
      <c r="R687" s="21"/>
      <c r="S687" t="s">
        <v>4665</v>
      </c>
      <c r="T687" t="s">
        <v>4666</v>
      </c>
      <c r="W687" t="s">
        <v>1758</v>
      </c>
      <c r="X687" t="s">
        <v>60</v>
      </c>
      <c r="Z687" s="15"/>
      <c r="AB687">
        <v>43.017806999999998</v>
      </c>
      <c r="AC687">
        <v>-88.440777999999995</v>
      </c>
      <c r="AD687" t="s">
        <v>4667</v>
      </c>
      <c r="AG687" t="s">
        <v>1715</v>
      </c>
      <c r="AH687" t="s">
        <v>63</v>
      </c>
      <c r="AI687" t="s">
        <v>4668</v>
      </c>
      <c r="AJ687">
        <v>194466</v>
      </c>
      <c r="AL687" t="s">
        <v>4669</v>
      </c>
      <c r="AM687" t="s">
        <v>4670</v>
      </c>
      <c r="AN687" t="s">
        <v>4671</v>
      </c>
      <c r="AO687" t="s">
        <v>68</v>
      </c>
      <c r="AQ687" t="s">
        <v>4672</v>
      </c>
      <c r="AR687" t="s">
        <v>4673</v>
      </c>
      <c r="AS687" t="s">
        <v>4674</v>
      </c>
      <c r="AV687" s="14" t="s">
        <v>72</v>
      </c>
      <c r="AW687" s="14" t="s">
        <v>73</v>
      </c>
      <c r="AX687" s="14" t="s">
        <v>74</v>
      </c>
    </row>
    <row r="688" spans="1:50" ht="15" customHeight="1" x14ac:dyDescent="0.4">
      <c r="A688" s="12">
        <v>3732</v>
      </c>
      <c r="B688" s="21" t="s">
        <v>4675</v>
      </c>
      <c r="C688" s="13" t="s">
        <v>4676</v>
      </c>
      <c r="D688" s="25" t="s">
        <v>4676</v>
      </c>
      <c r="E688" s="13"/>
      <c r="F688" s="41"/>
      <c r="G688" s="65" t="s">
        <v>8185</v>
      </c>
      <c r="H688" s="14" t="s">
        <v>1878</v>
      </c>
      <c r="I688" s="15">
        <v>44764</v>
      </c>
      <c r="J688" t="s">
        <v>2719</v>
      </c>
      <c r="K688" t="s">
        <v>51</v>
      </c>
      <c r="L688" t="s">
        <v>52</v>
      </c>
      <c r="M688" t="s">
        <v>53</v>
      </c>
      <c r="N688" t="s">
        <v>574</v>
      </c>
      <c r="O688" t="s">
        <v>4571</v>
      </c>
      <c r="P688" t="s">
        <v>56</v>
      </c>
      <c r="Q688" s="21" t="s">
        <v>4572</v>
      </c>
      <c r="R688" s="21"/>
      <c r="S688" t="s">
        <v>4677</v>
      </c>
      <c r="T688" t="s">
        <v>4678</v>
      </c>
      <c r="X688" t="s">
        <v>1881</v>
      </c>
      <c r="Z688" s="15"/>
      <c r="AB688">
        <v>43.017679999999999</v>
      </c>
      <c r="AC688">
        <v>-88.441062000000002</v>
      </c>
      <c r="AD688" t="s">
        <v>4679</v>
      </c>
      <c r="AG688" t="s">
        <v>1715</v>
      </c>
      <c r="AH688" t="s">
        <v>63</v>
      </c>
      <c r="AI688" t="s">
        <v>4680</v>
      </c>
      <c r="AJ688">
        <v>194215</v>
      </c>
      <c r="AL688" t="s">
        <v>4681</v>
      </c>
      <c r="AM688" t="s">
        <v>4682</v>
      </c>
      <c r="AN688" t="s">
        <v>4683</v>
      </c>
      <c r="AO688" t="s">
        <v>68</v>
      </c>
      <c r="AQ688" t="s">
        <v>4684</v>
      </c>
      <c r="AR688" t="s">
        <v>4685</v>
      </c>
      <c r="AS688" t="s">
        <v>4686</v>
      </c>
      <c r="AV688" s="14" t="s">
        <v>72</v>
      </c>
      <c r="AW688" s="14" t="s">
        <v>73</v>
      </c>
      <c r="AX688" s="14" t="s">
        <v>1723</v>
      </c>
    </row>
    <row r="689" spans="1:50" s="34" customFormat="1" ht="15" customHeight="1" x14ac:dyDescent="0.4">
      <c r="A689" s="12">
        <v>1980</v>
      </c>
      <c r="B689" t="s">
        <v>572</v>
      </c>
      <c r="C689"/>
      <c r="D689" t="s">
        <v>573</v>
      </c>
      <c r="E689" s="13"/>
      <c r="F689" s="41"/>
      <c r="G689" s="65" t="s">
        <v>8185</v>
      </c>
      <c r="H689" s="14" t="s">
        <v>49</v>
      </c>
      <c r="I689" s="15">
        <v>42925</v>
      </c>
      <c r="J689" t="s">
        <v>174</v>
      </c>
      <c r="K689" t="s">
        <v>51</v>
      </c>
      <c r="L689" t="s">
        <v>52</v>
      </c>
      <c r="M689" t="s">
        <v>53</v>
      </c>
      <c r="N689" t="s">
        <v>574</v>
      </c>
      <c r="O689" t="s">
        <v>575</v>
      </c>
      <c r="P689" t="s">
        <v>56</v>
      </c>
      <c r="Q689" t="s">
        <v>576</v>
      </c>
      <c r="R689" s="16" t="s">
        <v>577</v>
      </c>
      <c r="S689" t="s">
        <v>578</v>
      </c>
      <c r="T689"/>
      <c r="U689"/>
      <c r="V689"/>
      <c r="W689"/>
      <c r="X689" t="s">
        <v>78</v>
      </c>
      <c r="Y689" t="s">
        <v>79</v>
      </c>
      <c r="Z689" s="15">
        <v>45597</v>
      </c>
      <c r="AA689" t="s">
        <v>48</v>
      </c>
      <c r="AB689" s="17">
        <v>46.023829999999997</v>
      </c>
      <c r="AC689" s="17">
        <v>-91.145570000000006</v>
      </c>
      <c r="AD689" t="s">
        <v>579</v>
      </c>
      <c r="AE689"/>
      <c r="AF689"/>
      <c r="AG689" t="s">
        <v>62</v>
      </c>
      <c r="AH689" t="s">
        <v>63</v>
      </c>
      <c r="AI689" t="s">
        <v>580</v>
      </c>
      <c r="AJ689">
        <v>184816</v>
      </c>
      <c r="AK689"/>
      <c r="AL689" t="s">
        <v>581</v>
      </c>
      <c r="AM689" t="s">
        <v>582</v>
      </c>
      <c r="AN689" t="s">
        <v>583</v>
      </c>
      <c r="AO689" t="s">
        <v>68</v>
      </c>
      <c r="AP689"/>
      <c r="AQ689" t="s">
        <v>584</v>
      </c>
      <c r="AR689" t="s">
        <v>585</v>
      </c>
      <c r="AS689" t="s">
        <v>586</v>
      </c>
      <c r="AT689" s="31" t="s">
        <v>587</v>
      </c>
      <c r="AU689" s="31" t="s">
        <v>85</v>
      </c>
      <c r="AV689" s="14" t="s">
        <v>72</v>
      </c>
      <c r="AW689" s="14" t="s">
        <v>73</v>
      </c>
      <c r="AX689" s="14" t="s">
        <v>74</v>
      </c>
    </row>
    <row r="690" spans="1:50" ht="15" customHeight="1" x14ac:dyDescent="0.4">
      <c r="A690" s="12">
        <v>1981</v>
      </c>
      <c r="B690" t="s">
        <v>588</v>
      </c>
      <c r="D690" t="s">
        <v>589</v>
      </c>
      <c r="E690" s="13"/>
      <c r="F690" s="41"/>
      <c r="G690" s="65" t="s">
        <v>8185</v>
      </c>
      <c r="H690" s="14" t="s">
        <v>49</v>
      </c>
      <c r="I690" s="15">
        <v>42925</v>
      </c>
      <c r="J690" t="s">
        <v>174</v>
      </c>
      <c r="K690" t="s">
        <v>51</v>
      </c>
      <c r="L690" t="s">
        <v>52</v>
      </c>
      <c r="M690" t="s">
        <v>53</v>
      </c>
      <c r="N690" t="s">
        <v>574</v>
      </c>
      <c r="O690" t="s">
        <v>575</v>
      </c>
      <c r="P690" t="s">
        <v>56</v>
      </c>
      <c r="Q690" t="s">
        <v>576</v>
      </c>
      <c r="R690" s="16" t="s">
        <v>577</v>
      </c>
      <c r="S690" t="s">
        <v>590</v>
      </c>
      <c r="T690" t="s">
        <v>591</v>
      </c>
      <c r="X690" t="s">
        <v>60</v>
      </c>
      <c r="Z690" s="15"/>
      <c r="AB690" s="17">
        <v>46.021949999999997</v>
      </c>
      <c r="AC690" s="17">
        <v>-91.145589999999999</v>
      </c>
      <c r="AD690" t="s">
        <v>592</v>
      </c>
      <c r="AG690" t="s">
        <v>62</v>
      </c>
      <c r="AH690" t="s">
        <v>63</v>
      </c>
      <c r="AI690" t="s">
        <v>593</v>
      </c>
      <c r="AJ690">
        <v>184817</v>
      </c>
      <c r="AL690" t="s">
        <v>594</v>
      </c>
      <c r="AM690" t="s">
        <v>595</v>
      </c>
      <c r="AN690" t="s">
        <v>596</v>
      </c>
      <c r="AO690" t="s">
        <v>68</v>
      </c>
      <c r="AQ690" t="s">
        <v>597</v>
      </c>
      <c r="AR690" t="s">
        <v>598</v>
      </c>
      <c r="AS690" t="s">
        <v>599</v>
      </c>
      <c r="AV690" s="14" t="s">
        <v>72</v>
      </c>
      <c r="AW690" s="14" t="s">
        <v>73</v>
      </c>
      <c r="AX690" s="14" t="s">
        <v>74</v>
      </c>
    </row>
    <row r="691" spans="1:50" ht="15" customHeight="1" x14ac:dyDescent="0.4">
      <c r="A691" s="12">
        <v>1982</v>
      </c>
      <c r="B691" t="s">
        <v>600</v>
      </c>
      <c r="D691" t="s">
        <v>601</v>
      </c>
      <c r="E691" s="13"/>
      <c r="F691" s="41"/>
      <c r="G691" s="65" t="s">
        <v>8185</v>
      </c>
      <c r="H691" s="14" t="s">
        <v>49</v>
      </c>
      <c r="I691" s="15">
        <v>42925</v>
      </c>
      <c r="J691" t="s">
        <v>174</v>
      </c>
      <c r="K691" t="s">
        <v>51</v>
      </c>
      <c r="L691" t="s">
        <v>52</v>
      </c>
      <c r="M691" t="s">
        <v>53</v>
      </c>
      <c r="N691" t="s">
        <v>574</v>
      </c>
      <c r="O691" t="s">
        <v>575</v>
      </c>
      <c r="P691" t="s">
        <v>56</v>
      </c>
      <c r="Q691" t="s">
        <v>576</v>
      </c>
      <c r="R691" s="16" t="s">
        <v>577</v>
      </c>
      <c r="S691" t="s">
        <v>602</v>
      </c>
      <c r="T691" t="s">
        <v>603</v>
      </c>
      <c r="X691" t="s">
        <v>78</v>
      </c>
      <c r="Y691" t="s">
        <v>79</v>
      </c>
      <c r="Z691" s="15">
        <v>45597</v>
      </c>
      <c r="AA691" t="s">
        <v>48</v>
      </c>
      <c r="AB691" s="17">
        <v>46.0259</v>
      </c>
      <c r="AC691" s="17">
        <v>-91.142880000000005</v>
      </c>
      <c r="AD691" t="s">
        <v>604</v>
      </c>
      <c r="AG691" t="s">
        <v>62</v>
      </c>
      <c r="AH691" t="s">
        <v>63</v>
      </c>
      <c r="AI691" t="s">
        <v>605</v>
      </c>
      <c r="AJ691">
        <v>184818</v>
      </c>
      <c r="AL691" t="s">
        <v>606</v>
      </c>
      <c r="AM691" t="s">
        <v>607</v>
      </c>
      <c r="AN691" t="s">
        <v>608</v>
      </c>
      <c r="AO691" t="s">
        <v>68</v>
      </c>
      <c r="AQ691" t="s">
        <v>609</v>
      </c>
      <c r="AR691" t="s">
        <v>610</v>
      </c>
      <c r="AS691" t="s">
        <v>611</v>
      </c>
      <c r="AT691" s="31" t="s">
        <v>612</v>
      </c>
      <c r="AU691" s="31" t="s">
        <v>85</v>
      </c>
      <c r="AV691" s="14" t="s">
        <v>72</v>
      </c>
      <c r="AW691" s="14" t="s">
        <v>73</v>
      </c>
      <c r="AX691" s="14" t="s">
        <v>74</v>
      </c>
    </row>
    <row r="692" spans="1:50" ht="15" customHeight="1" x14ac:dyDescent="0.4">
      <c r="A692" s="12">
        <v>1983</v>
      </c>
      <c r="B692" t="s">
        <v>613</v>
      </c>
      <c r="D692" t="s">
        <v>614</v>
      </c>
      <c r="E692" s="13"/>
      <c r="F692" s="41"/>
      <c r="G692" s="65" t="s">
        <v>8185</v>
      </c>
      <c r="H692" s="14" t="s">
        <v>49</v>
      </c>
      <c r="I692" s="15">
        <v>42925</v>
      </c>
      <c r="J692" t="s">
        <v>174</v>
      </c>
      <c r="K692" t="s">
        <v>51</v>
      </c>
      <c r="L692" t="s">
        <v>52</v>
      </c>
      <c r="M692" t="s">
        <v>53</v>
      </c>
      <c r="N692" t="s">
        <v>574</v>
      </c>
      <c r="O692" t="s">
        <v>575</v>
      </c>
      <c r="P692" t="s">
        <v>56</v>
      </c>
      <c r="Q692" t="s">
        <v>576</v>
      </c>
      <c r="R692" s="16" t="s">
        <v>577</v>
      </c>
      <c r="S692" t="s">
        <v>602</v>
      </c>
      <c r="X692" t="s">
        <v>60</v>
      </c>
      <c r="Z692" s="15"/>
      <c r="AB692" s="17">
        <v>46.026310000000002</v>
      </c>
      <c r="AC692" s="17">
        <v>-91.141679999999994</v>
      </c>
      <c r="AD692" t="s">
        <v>615</v>
      </c>
      <c r="AG692" t="s">
        <v>62</v>
      </c>
      <c r="AH692" t="s">
        <v>63</v>
      </c>
      <c r="AI692" t="s">
        <v>616</v>
      </c>
      <c r="AJ692">
        <v>184819</v>
      </c>
      <c r="AL692" t="s">
        <v>617</v>
      </c>
      <c r="AM692" t="s">
        <v>618</v>
      </c>
      <c r="AN692" t="s">
        <v>619</v>
      </c>
      <c r="AO692" t="s">
        <v>68</v>
      </c>
      <c r="AQ692" t="s">
        <v>620</v>
      </c>
      <c r="AR692" t="s">
        <v>621</v>
      </c>
      <c r="AS692" t="s">
        <v>622</v>
      </c>
      <c r="AV692" s="14" t="s">
        <v>72</v>
      </c>
      <c r="AW692" s="14" t="s">
        <v>73</v>
      </c>
      <c r="AX692" s="14" t="s">
        <v>74</v>
      </c>
    </row>
    <row r="693" spans="1:50" ht="15" customHeight="1" x14ac:dyDescent="0.4">
      <c r="A693" s="12">
        <v>1984</v>
      </c>
      <c r="B693" t="s">
        <v>623</v>
      </c>
      <c r="D693" t="s">
        <v>624</v>
      </c>
      <c r="E693" s="13"/>
      <c r="F693" s="41"/>
      <c r="G693" s="65" t="s">
        <v>8185</v>
      </c>
      <c r="H693" s="14" t="s">
        <v>49</v>
      </c>
      <c r="I693" s="15">
        <v>42925</v>
      </c>
      <c r="J693" t="s">
        <v>174</v>
      </c>
      <c r="K693" t="s">
        <v>51</v>
      </c>
      <c r="L693" t="s">
        <v>52</v>
      </c>
      <c r="M693" t="s">
        <v>53</v>
      </c>
      <c r="N693" t="s">
        <v>574</v>
      </c>
      <c r="O693" t="s">
        <v>575</v>
      </c>
      <c r="P693" t="s">
        <v>56</v>
      </c>
      <c r="Q693" t="s">
        <v>576</v>
      </c>
      <c r="R693" s="16" t="s">
        <v>577</v>
      </c>
      <c r="S693" t="s">
        <v>625</v>
      </c>
      <c r="T693" t="s">
        <v>626</v>
      </c>
      <c r="X693" t="s">
        <v>60</v>
      </c>
      <c r="Z693" s="15"/>
      <c r="AB693" s="17">
        <v>46.024509999999999</v>
      </c>
      <c r="AC693" s="17">
        <v>-91.128280000000004</v>
      </c>
      <c r="AD693" t="s">
        <v>627</v>
      </c>
      <c r="AG693" t="s">
        <v>62</v>
      </c>
      <c r="AH693" t="s">
        <v>63</v>
      </c>
      <c r="AI693" t="s">
        <v>628</v>
      </c>
      <c r="AJ693">
        <v>184820</v>
      </c>
      <c r="AL693" t="s">
        <v>629</v>
      </c>
      <c r="AM693" t="s">
        <v>630</v>
      </c>
      <c r="AN693" t="s">
        <v>631</v>
      </c>
      <c r="AO693" t="s">
        <v>68</v>
      </c>
      <c r="AQ693" t="s">
        <v>632</v>
      </c>
      <c r="AR693" t="s">
        <v>633</v>
      </c>
      <c r="AS693" t="s">
        <v>634</v>
      </c>
      <c r="AV693" s="14" t="s">
        <v>72</v>
      </c>
      <c r="AW693" s="14" t="s">
        <v>73</v>
      </c>
      <c r="AX693" s="14" t="s">
        <v>74</v>
      </c>
    </row>
    <row r="694" spans="1:50" ht="15" customHeight="1" x14ac:dyDescent="0.4">
      <c r="A694" s="12">
        <v>1985</v>
      </c>
      <c r="B694" t="s">
        <v>635</v>
      </c>
      <c r="D694" t="s">
        <v>636</v>
      </c>
      <c r="E694" s="13"/>
      <c r="F694" s="41"/>
      <c r="G694" s="65" t="s">
        <v>8185</v>
      </c>
      <c r="H694" s="14" t="s">
        <v>49</v>
      </c>
      <c r="I694" s="15">
        <v>42925</v>
      </c>
      <c r="J694" t="s">
        <v>174</v>
      </c>
      <c r="K694" t="s">
        <v>51</v>
      </c>
      <c r="L694" t="s">
        <v>52</v>
      </c>
      <c r="M694" t="s">
        <v>53</v>
      </c>
      <c r="N694" t="s">
        <v>574</v>
      </c>
      <c r="O694" t="s">
        <v>575</v>
      </c>
      <c r="P694" t="s">
        <v>56</v>
      </c>
      <c r="Q694" t="s">
        <v>576</v>
      </c>
      <c r="R694" s="16" t="s">
        <v>577</v>
      </c>
      <c r="S694" t="s">
        <v>637</v>
      </c>
      <c r="X694" t="s">
        <v>78</v>
      </c>
      <c r="Y694" t="s">
        <v>79</v>
      </c>
      <c r="Z694" s="15">
        <v>45597</v>
      </c>
      <c r="AA694" t="s">
        <v>48</v>
      </c>
      <c r="AB694" s="17">
        <v>46.0244</v>
      </c>
      <c r="AC694" s="17">
        <v>-91.129450000000006</v>
      </c>
      <c r="AD694" t="s">
        <v>638</v>
      </c>
      <c r="AG694" t="s">
        <v>62</v>
      </c>
      <c r="AH694" t="s">
        <v>63</v>
      </c>
      <c r="AI694" t="s">
        <v>639</v>
      </c>
      <c r="AJ694">
        <v>184821</v>
      </c>
      <c r="AL694" t="s">
        <v>640</v>
      </c>
      <c r="AM694" t="s">
        <v>641</v>
      </c>
      <c r="AN694" t="s">
        <v>642</v>
      </c>
      <c r="AO694" t="s">
        <v>68</v>
      </c>
      <c r="AQ694" t="s">
        <v>643</v>
      </c>
      <c r="AR694" t="s">
        <v>644</v>
      </c>
      <c r="AS694" t="s">
        <v>645</v>
      </c>
      <c r="AT694" s="31" t="s">
        <v>646</v>
      </c>
      <c r="AU694" s="31" t="s">
        <v>85</v>
      </c>
      <c r="AV694" s="14" t="s">
        <v>72</v>
      </c>
      <c r="AW694" s="14" t="s">
        <v>73</v>
      </c>
      <c r="AX694" s="14" t="s">
        <v>74</v>
      </c>
    </row>
  </sheetData>
  <conditionalFormatting sqref="AT1:AT694">
    <cfRule type="duplicateValues" dxfId="23" priority="9"/>
  </conditionalFormatting>
  <conditionalFormatting sqref="A1:A694">
    <cfRule type="duplicateValues" dxfId="22" priority="8"/>
  </conditionalFormatting>
  <conditionalFormatting sqref="B1:B694">
    <cfRule type="duplicateValues" dxfId="21" priority="5"/>
    <cfRule type="duplicateValues" dxfId="20" priority="6"/>
    <cfRule type="duplicateValues" dxfId="19" priority="10"/>
    <cfRule type="duplicateValues" dxfId="18" priority="11"/>
  </conditionalFormatting>
  <conditionalFormatting sqref="X197:X694 Y142 X80:X150 X1:X69">
    <cfRule type="containsText" dxfId="17" priority="7" operator="containsText" text="|">
      <formula>NOT(ISERROR(SEARCH("|",X1)))</formula>
    </cfRule>
  </conditionalFormatting>
  <conditionalFormatting sqref="D198:D683 D1:D196">
    <cfRule type="duplicateValues" dxfId="16" priority="12"/>
  </conditionalFormatting>
  <conditionalFormatting sqref="Y142 X1:X694">
    <cfRule type="containsText" dxfId="15" priority="4" operator="containsText" text="|">
      <formula>NOT(ISERROR(SEARCH("|",X1)))</formula>
    </cfRule>
  </conditionalFormatting>
  <conditionalFormatting sqref="C1:C694">
    <cfRule type="duplicateValues" dxfId="14" priority="3"/>
  </conditionalFormatting>
  <conditionalFormatting sqref="D1:D694">
    <cfRule type="duplicateValues" dxfId="13" priority="2"/>
  </conditionalFormatting>
  <conditionalFormatting sqref="D1:D694">
    <cfRule type="duplicateValues" dxfId="12" priority="1"/>
  </conditionalFormatting>
  <hyperlinks>
    <hyperlink ref="AN599" r:id="rId1" xr:uid="{7EF5790A-6D32-4134-AFC7-6B0DFCFCD34C}"/>
    <hyperlink ref="AN438" r:id="rId2" xr:uid="{62A6C0A6-3296-47C1-BB55-1322F1CBEA16}"/>
    <hyperlink ref="AN423" r:id="rId3" xr:uid="{2C8F3421-BF00-487E-BA4B-00E2AF65E23A}"/>
    <hyperlink ref="AN538" r:id="rId4" xr:uid="{AF6A7015-3E3B-4552-BB47-C8D1D729CF2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F825-44BF-4C8C-8B62-BCFC0E80A433}">
  <dimension ref="A1:K56"/>
  <sheetViews>
    <sheetView topLeftCell="A40" workbookViewId="0">
      <selection activeCell="A47" sqref="A47:K56"/>
    </sheetView>
  </sheetViews>
  <sheetFormatPr defaultRowHeight="14.6" x14ac:dyDescent="0.4"/>
  <cols>
    <col min="1" max="1" width="16.765625" bestFit="1" customWidth="1"/>
  </cols>
  <sheetData>
    <row r="1" spans="1:11" x14ac:dyDescent="0.4">
      <c r="A1" t="s">
        <v>6201</v>
      </c>
      <c r="B1" t="s">
        <v>3096</v>
      </c>
      <c r="C1" t="s">
        <v>3096</v>
      </c>
      <c r="E1">
        <v>0.92869999999999997</v>
      </c>
      <c r="F1" t="s">
        <v>49</v>
      </c>
      <c r="G1">
        <v>5.0791000000000003E-2</v>
      </c>
      <c r="H1" t="s">
        <v>8148</v>
      </c>
      <c r="K1" t="s">
        <v>8149</v>
      </c>
    </row>
    <row r="2" spans="1:11" x14ac:dyDescent="0.4">
      <c r="A2" t="s">
        <v>6271</v>
      </c>
      <c r="B2" t="s">
        <v>3096</v>
      </c>
      <c r="C2" t="s">
        <v>3096</v>
      </c>
      <c r="E2">
        <v>0.91139999999999999</v>
      </c>
      <c r="F2" t="s">
        <v>49</v>
      </c>
      <c r="G2">
        <v>4.9382000000000002E-2</v>
      </c>
      <c r="H2" t="s">
        <v>8148</v>
      </c>
      <c r="K2" t="s">
        <v>8149</v>
      </c>
    </row>
    <row r="3" spans="1:11" x14ac:dyDescent="0.4">
      <c r="A3" t="s">
        <v>6175</v>
      </c>
      <c r="B3" t="s">
        <v>3096</v>
      </c>
      <c r="C3" t="s">
        <v>3096</v>
      </c>
      <c r="E3">
        <v>0.90980000000000005</v>
      </c>
      <c r="F3" t="s">
        <v>49</v>
      </c>
      <c r="G3">
        <v>6.8681000000000006E-2</v>
      </c>
      <c r="H3" t="s">
        <v>8148</v>
      </c>
      <c r="K3" t="s">
        <v>8149</v>
      </c>
    </row>
    <row r="4" spans="1:11" x14ac:dyDescent="0.4">
      <c r="A4" t="s">
        <v>6224</v>
      </c>
      <c r="B4" t="s">
        <v>3096</v>
      </c>
      <c r="C4" t="s">
        <v>3096</v>
      </c>
      <c r="E4">
        <v>0.89890000000000003</v>
      </c>
      <c r="F4" t="s">
        <v>49</v>
      </c>
      <c r="G4">
        <v>7.3413000000000006E-2</v>
      </c>
      <c r="H4" t="s">
        <v>8148</v>
      </c>
      <c r="K4" t="s">
        <v>8149</v>
      </c>
    </row>
    <row r="5" spans="1:11" x14ac:dyDescent="0.4">
      <c r="A5" t="s">
        <v>5827</v>
      </c>
      <c r="B5" t="s">
        <v>60</v>
      </c>
      <c r="C5" t="s">
        <v>60</v>
      </c>
      <c r="E5">
        <v>0.68628400000000001</v>
      </c>
      <c r="F5" t="s">
        <v>1829</v>
      </c>
      <c r="G5">
        <v>0.19020000000000001</v>
      </c>
      <c r="H5" t="s">
        <v>8150</v>
      </c>
      <c r="I5" t="s">
        <v>2222</v>
      </c>
      <c r="J5">
        <v>0.1235</v>
      </c>
      <c r="K5" t="s">
        <v>8163</v>
      </c>
    </row>
    <row r="6" spans="1:11" x14ac:dyDescent="0.4">
      <c r="A6" t="s">
        <v>8036</v>
      </c>
      <c r="B6" t="s">
        <v>1881</v>
      </c>
      <c r="C6" t="s">
        <v>1881</v>
      </c>
      <c r="E6">
        <v>0.86960000000000004</v>
      </c>
      <c r="F6" t="s">
        <v>8151</v>
      </c>
      <c r="G6">
        <v>7.7399999999999997E-2</v>
      </c>
      <c r="H6" t="s">
        <v>8148</v>
      </c>
      <c r="K6" t="s">
        <v>8152</v>
      </c>
    </row>
    <row r="7" spans="1:11" x14ac:dyDescent="0.4">
      <c r="A7" t="s">
        <v>1616</v>
      </c>
      <c r="B7" t="s">
        <v>60</v>
      </c>
      <c r="C7" t="s">
        <v>60</v>
      </c>
      <c r="E7">
        <v>0.90497700000000003</v>
      </c>
      <c r="F7" t="s">
        <v>8151</v>
      </c>
      <c r="G7">
        <v>5.8000000000000003E-2</v>
      </c>
      <c r="H7" t="s">
        <v>8148</v>
      </c>
      <c r="K7" t="s">
        <v>8152</v>
      </c>
    </row>
    <row r="8" spans="1:11" x14ac:dyDescent="0.4">
      <c r="A8" t="s">
        <v>986</v>
      </c>
      <c r="B8" t="s">
        <v>60</v>
      </c>
      <c r="C8" t="s">
        <v>60</v>
      </c>
      <c r="E8">
        <v>0.93289200000000005</v>
      </c>
      <c r="F8" t="s">
        <v>2222</v>
      </c>
      <c r="G8">
        <v>3.2500000000000001E-2</v>
      </c>
      <c r="H8" t="s">
        <v>8148</v>
      </c>
      <c r="K8" t="s">
        <v>8153</v>
      </c>
    </row>
    <row r="9" spans="1:11" x14ac:dyDescent="0.4">
      <c r="A9" t="s">
        <v>1677</v>
      </c>
      <c r="B9" t="s">
        <v>60</v>
      </c>
      <c r="C9" t="s">
        <v>60</v>
      </c>
      <c r="E9">
        <v>0.88100400000000001</v>
      </c>
      <c r="F9" t="s">
        <v>8151</v>
      </c>
      <c r="G9">
        <v>9.9199999999999997E-2</v>
      </c>
      <c r="H9" t="s">
        <v>8148</v>
      </c>
      <c r="K9" t="s">
        <v>8152</v>
      </c>
    </row>
    <row r="10" spans="1:11" x14ac:dyDescent="0.4">
      <c r="A10" t="s">
        <v>3263</v>
      </c>
      <c r="B10" t="s">
        <v>8154</v>
      </c>
      <c r="C10" t="s">
        <v>8154</v>
      </c>
      <c r="E10">
        <v>0.80689999999999995</v>
      </c>
      <c r="F10" t="s">
        <v>8155</v>
      </c>
      <c r="G10">
        <v>7.4300000000000005E-2</v>
      </c>
      <c r="H10" t="s">
        <v>8148</v>
      </c>
      <c r="K10" t="s">
        <v>8156</v>
      </c>
    </row>
    <row r="11" spans="1:11" x14ac:dyDescent="0.4">
      <c r="A11" t="s">
        <v>1606</v>
      </c>
      <c r="B11" t="s">
        <v>60</v>
      </c>
      <c r="C11" t="s">
        <v>60</v>
      </c>
      <c r="E11">
        <v>0.87433799999999995</v>
      </c>
      <c r="F11" t="s">
        <v>8151</v>
      </c>
      <c r="G11">
        <v>0.11700000000000001</v>
      </c>
      <c r="H11" t="s">
        <v>8150</v>
      </c>
      <c r="K11" t="s">
        <v>8157</v>
      </c>
    </row>
    <row r="12" spans="1:11" x14ac:dyDescent="0.4">
      <c r="A12" t="s">
        <v>1642</v>
      </c>
      <c r="B12" t="s">
        <v>60</v>
      </c>
      <c r="C12" t="s">
        <v>60</v>
      </c>
      <c r="E12">
        <v>0.866479</v>
      </c>
      <c r="F12" t="s">
        <v>8151</v>
      </c>
      <c r="G12">
        <v>0.1295</v>
      </c>
      <c r="H12" t="s">
        <v>8150</v>
      </c>
      <c r="K12" t="s">
        <v>8157</v>
      </c>
    </row>
    <row r="13" spans="1:11" x14ac:dyDescent="0.4">
      <c r="A13" t="s">
        <v>4491</v>
      </c>
      <c r="B13" t="s">
        <v>1881</v>
      </c>
      <c r="C13" t="s">
        <v>1881</v>
      </c>
      <c r="E13">
        <v>0.92349999999999999</v>
      </c>
      <c r="F13" t="s">
        <v>49</v>
      </c>
      <c r="G13">
        <v>7.6481999999999994E-2</v>
      </c>
      <c r="H13" t="s">
        <v>8148</v>
      </c>
      <c r="K13" t="s">
        <v>8149</v>
      </c>
    </row>
    <row r="14" spans="1:11" x14ac:dyDescent="0.4">
      <c r="A14" t="s">
        <v>5957</v>
      </c>
      <c r="B14" t="s">
        <v>1881</v>
      </c>
      <c r="C14" t="s">
        <v>1881</v>
      </c>
      <c r="E14">
        <v>0.879</v>
      </c>
      <c r="F14" t="s">
        <v>49</v>
      </c>
      <c r="G14">
        <v>0.120957</v>
      </c>
      <c r="H14" t="s">
        <v>8150</v>
      </c>
      <c r="K14" t="s">
        <v>8158</v>
      </c>
    </row>
    <row r="15" spans="1:11" x14ac:dyDescent="0.4">
      <c r="A15" t="s">
        <v>5650</v>
      </c>
      <c r="B15" t="s">
        <v>2225</v>
      </c>
      <c r="C15" t="s">
        <v>2225</v>
      </c>
      <c r="E15">
        <v>0.70589999999999997</v>
      </c>
      <c r="F15" t="s">
        <v>1878</v>
      </c>
      <c r="G15">
        <v>0.25800000000000001</v>
      </c>
      <c r="H15" t="s">
        <v>8150</v>
      </c>
      <c r="K15" t="s">
        <v>8159</v>
      </c>
    </row>
    <row r="16" spans="1:11" x14ac:dyDescent="0.4">
      <c r="A16" t="s">
        <v>6019</v>
      </c>
      <c r="B16" t="s">
        <v>60</v>
      </c>
      <c r="C16" t="s">
        <v>60</v>
      </c>
      <c r="E16">
        <v>0.679678</v>
      </c>
      <c r="F16" t="s">
        <v>1878</v>
      </c>
      <c r="G16">
        <v>0.17230000000000001</v>
      </c>
      <c r="H16" t="s">
        <v>8150</v>
      </c>
      <c r="I16" t="s">
        <v>2222</v>
      </c>
      <c r="J16">
        <v>0.14799999999999999</v>
      </c>
      <c r="K16" t="s">
        <v>8164</v>
      </c>
    </row>
    <row r="17" spans="1:11" x14ac:dyDescent="0.4">
      <c r="A17" t="s">
        <v>6007</v>
      </c>
      <c r="B17" t="s">
        <v>60</v>
      </c>
      <c r="C17" t="s">
        <v>60</v>
      </c>
      <c r="E17">
        <v>0.82361499999999999</v>
      </c>
      <c r="F17" t="s">
        <v>1878</v>
      </c>
      <c r="G17">
        <v>0.15709999999999999</v>
      </c>
      <c r="H17" t="s">
        <v>8150</v>
      </c>
      <c r="K17" t="s">
        <v>8159</v>
      </c>
    </row>
    <row r="18" spans="1:11" x14ac:dyDescent="0.4">
      <c r="A18" t="s">
        <v>4502</v>
      </c>
      <c r="B18" t="s">
        <v>60</v>
      </c>
      <c r="C18" t="s">
        <v>60</v>
      </c>
      <c r="E18">
        <v>0.848248</v>
      </c>
      <c r="F18" t="s">
        <v>1878</v>
      </c>
      <c r="G18">
        <v>0.1517</v>
      </c>
      <c r="H18" t="s">
        <v>8150</v>
      </c>
      <c r="K18" t="s">
        <v>8159</v>
      </c>
    </row>
    <row r="19" spans="1:11" x14ac:dyDescent="0.4">
      <c r="A19" t="s">
        <v>6042</v>
      </c>
      <c r="B19" t="s">
        <v>60</v>
      </c>
      <c r="C19" t="s">
        <v>60</v>
      </c>
      <c r="E19">
        <v>0.87158899999999995</v>
      </c>
      <c r="F19" t="s">
        <v>1878</v>
      </c>
      <c r="G19">
        <v>8.9499999999999996E-2</v>
      </c>
      <c r="H19" t="s">
        <v>8148</v>
      </c>
      <c r="K19" t="s">
        <v>8160</v>
      </c>
    </row>
    <row r="20" spans="1:11" x14ac:dyDescent="0.4">
      <c r="A20" t="s">
        <v>6385</v>
      </c>
      <c r="B20" t="s">
        <v>60</v>
      </c>
      <c r="C20" t="s">
        <v>60</v>
      </c>
      <c r="E20">
        <v>0.91570499999999999</v>
      </c>
      <c r="F20" t="s">
        <v>1878</v>
      </c>
      <c r="G20">
        <v>6.3600000000000004E-2</v>
      </c>
      <c r="H20" t="s">
        <v>8148</v>
      </c>
      <c r="K20" t="s">
        <v>8160</v>
      </c>
    </row>
    <row r="21" spans="1:11" x14ac:dyDescent="0.4">
      <c r="A21" t="s">
        <v>2210</v>
      </c>
      <c r="B21" t="s">
        <v>1713</v>
      </c>
      <c r="C21" t="s">
        <v>1713</v>
      </c>
      <c r="E21">
        <v>0.81720000000000004</v>
      </c>
      <c r="F21" t="s">
        <v>49</v>
      </c>
      <c r="G21">
        <v>0.124475</v>
      </c>
      <c r="H21" t="s">
        <v>8150</v>
      </c>
      <c r="K21" t="s">
        <v>8158</v>
      </c>
    </row>
    <row r="22" spans="1:11" x14ac:dyDescent="0.4">
      <c r="A22" t="s">
        <v>1630</v>
      </c>
      <c r="B22" t="s">
        <v>60</v>
      </c>
      <c r="C22" t="s">
        <v>60</v>
      </c>
      <c r="E22">
        <v>0.89008799999999999</v>
      </c>
      <c r="F22" t="s">
        <v>8151</v>
      </c>
      <c r="G22">
        <v>9.8199999999999996E-2</v>
      </c>
      <c r="H22" t="s">
        <v>8148</v>
      </c>
      <c r="K22" t="s">
        <v>8152</v>
      </c>
    </row>
    <row r="23" spans="1:11" x14ac:dyDescent="0.4">
      <c r="A23" t="s">
        <v>6363</v>
      </c>
      <c r="B23" t="s">
        <v>60</v>
      </c>
      <c r="C23" t="s">
        <v>60</v>
      </c>
      <c r="E23">
        <v>0.91030999999999995</v>
      </c>
      <c r="F23" t="s">
        <v>2222</v>
      </c>
      <c r="G23">
        <v>8.1600000000000006E-2</v>
      </c>
      <c r="H23" t="s">
        <v>8148</v>
      </c>
      <c r="K23" t="s">
        <v>8153</v>
      </c>
    </row>
    <row r="24" spans="1:11" x14ac:dyDescent="0.4">
      <c r="A24" t="s">
        <v>6497</v>
      </c>
      <c r="B24" t="s">
        <v>60</v>
      </c>
      <c r="C24" t="s">
        <v>60</v>
      </c>
      <c r="E24">
        <v>0.77554800000000002</v>
      </c>
      <c r="F24" t="s">
        <v>2222</v>
      </c>
      <c r="G24">
        <v>0.2172</v>
      </c>
      <c r="H24" t="s">
        <v>8150</v>
      </c>
      <c r="K24" t="s">
        <v>8161</v>
      </c>
    </row>
    <row r="25" spans="1:11" x14ac:dyDescent="0.4">
      <c r="A25" t="s">
        <v>2245</v>
      </c>
      <c r="B25" t="s">
        <v>60</v>
      </c>
      <c r="C25" t="s">
        <v>60</v>
      </c>
      <c r="E25">
        <v>0.87180400000000002</v>
      </c>
      <c r="F25" t="s">
        <v>1703</v>
      </c>
      <c r="G25">
        <v>0.121</v>
      </c>
      <c r="H25" t="s">
        <v>8150</v>
      </c>
      <c r="K25" t="s">
        <v>8162</v>
      </c>
    </row>
    <row r="26" spans="1:11" x14ac:dyDescent="0.4">
      <c r="A26" t="s">
        <v>6530</v>
      </c>
      <c r="B26" t="s">
        <v>60</v>
      </c>
      <c r="C26" t="s">
        <v>60</v>
      </c>
      <c r="E26">
        <v>0.889656</v>
      </c>
      <c r="F26" t="s">
        <v>2222</v>
      </c>
      <c r="G26">
        <v>0.104</v>
      </c>
      <c r="H26" t="s">
        <v>8150</v>
      </c>
      <c r="K26" t="s">
        <v>8161</v>
      </c>
    </row>
    <row r="27" spans="1:11" x14ac:dyDescent="0.4">
      <c r="A27" t="s">
        <v>1591</v>
      </c>
      <c r="B27" t="s">
        <v>60</v>
      </c>
      <c r="C27" t="s">
        <v>60</v>
      </c>
      <c r="E27">
        <v>0.955063</v>
      </c>
      <c r="F27" t="s">
        <v>8151</v>
      </c>
      <c r="G27">
        <v>2.9899999999999999E-2</v>
      </c>
      <c r="H27" t="s">
        <v>8148</v>
      </c>
      <c r="K27" t="s">
        <v>8152</v>
      </c>
    </row>
    <row r="28" spans="1:11" x14ac:dyDescent="0.4">
      <c r="A28" t="s">
        <v>5114</v>
      </c>
      <c r="B28" t="s">
        <v>2225</v>
      </c>
      <c r="C28" t="s">
        <v>2225</v>
      </c>
      <c r="E28">
        <v>0.9204</v>
      </c>
      <c r="F28" t="s">
        <v>49</v>
      </c>
      <c r="G28">
        <v>7.9548999999999995E-2</v>
      </c>
      <c r="H28" t="s">
        <v>8148</v>
      </c>
      <c r="K28" t="s">
        <v>8149</v>
      </c>
    </row>
    <row r="29" spans="1:11" x14ac:dyDescent="0.4">
      <c r="A29" t="s">
        <v>5159</v>
      </c>
      <c r="B29" t="s">
        <v>2225</v>
      </c>
      <c r="C29" t="s">
        <v>2225</v>
      </c>
      <c r="E29">
        <v>0.8992</v>
      </c>
      <c r="F29" t="s">
        <v>49</v>
      </c>
      <c r="G29">
        <v>0.100783</v>
      </c>
      <c r="H29" t="s">
        <v>8150</v>
      </c>
      <c r="K29" t="s">
        <v>8158</v>
      </c>
    </row>
    <row r="30" spans="1:11" x14ac:dyDescent="0.4">
      <c r="A30" t="s">
        <v>5838</v>
      </c>
      <c r="B30" t="s">
        <v>60</v>
      </c>
      <c r="C30" t="s">
        <v>2225</v>
      </c>
      <c r="E30">
        <v>0.80100000000000005</v>
      </c>
      <c r="F30" t="s">
        <v>49</v>
      </c>
      <c r="G30">
        <v>0.19895599999999999</v>
      </c>
      <c r="H30" t="s">
        <v>8150</v>
      </c>
      <c r="K30" t="s">
        <v>8158</v>
      </c>
    </row>
    <row r="31" spans="1:11" x14ac:dyDescent="0.4">
      <c r="A31" t="s">
        <v>5685</v>
      </c>
      <c r="B31" t="s">
        <v>2225</v>
      </c>
      <c r="C31" t="s">
        <v>2225</v>
      </c>
      <c r="E31">
        <v>0.77410000000000001</v>
      </c>
      <c r="F31" t="s">
        <v>49</v>
      </c>
      <c r="G31">
        <v>0.225856</v>
      </c>
      <c r="H31" t="s">
        <v>8150</v>
      </c>
      <c r="K31" t="s">
        <v>8158</v>
      </c>
    </row>
    <row r="32" spans="1:11" x14ac:dyDescent="0.4">
      <c r="A32" t="s">
        <v>5590</v>
      </c>
      <c r="B32" t="s">
        <v>60</v>
      </c>
      <c r="C32" t="s">
        <v>2225</v>
      </c>
      <c r="E32">
        <v>0.69450000000000001</v>
      </c>
      <c r="F32" t="s">
        <v>49</v>
      </c>
      <c r="G32">
        <v>0.30547299999999999</v>
      </c>
      <c r="H32" t="s">
        <v>8150</v>
      </c>
      <c r="K32" t="s">
        <v>8158</v>
      </c>
    </row>
    <row r="33" spans="1:11" x14ac:dyDescent="0.4">
      <c r="A33" t="s">
        <v>955</v>
      </c>
      <c r="B33" t="s">
        <v>60</v>
      </c>
      <c r="C33" t="s">
        <v>60</v>
      </c>
      <c r="E33">
        <v>0.66250699999999996</v>
      </c>
      <c r="F33" t="s">
        <v>2222</v>
      </c>
      <c r="G33">
        <v>0.33739999999999998</v>
      </c>
      <c r="H33" t="s">
        <v>8150</v>
      </c>
      <c r="K33" t="s">
        <v>8161</v>
      </c>
    </row>
    <row r="34" spans="1:11" x14ac:dyDescent="0.4">
      <c r="A34" t="s">
        <v>965</v>
      </c>
      <c r="B34" t="s">
        <v>60</v>
      </c>
      <c r="C34" t="s">
        <v>60</v>
      </c>
      <c r="E34">
        <v>0.68573099999999998</v>
      </c>
      <c r="F34" t="s">
        <v>2222</v>
      </c>
      <c r="G34">
        <v>0.31419999999999998</v>
      </c>
      <c r="H34" t="s">
        <v>8150</v>
      </c>
      <c r="K34" t="s">
        <v>8161</v>
      </c>
    </row>
    <row r="35" spans="1:11" x14ac:dyDescent="0.4">
      <c r="A35" t="s">
        <v>869</v>
      </c>
      <c r="B35" t="s">
        <v>60</v>
      </c>
      <c r="C35" t="s">
        <v>60</v>
      </c>
      <c r="E35">
        <v>0.81740100000000004</v>
      </c>
      <c r="F35" t="s">
        <v>2222</v>
      </c>
      <c r="G35">
        <v>0.1825</v>
      </c>
      <c r="H35" t="s">
        <v>8150</v>
      </c>
      <c r="K35" t="s">
        <v>8161</v>
      </c>
    </row>
    <row r="36" spans="1:11" x14ac:dyDescent="0.4">
      <c r="A36" t="s">
        <v>6440</v>
      </c>
      <c r="B36" t="s">
        <v>60</v>
      </c>
      <c r="C36" t="s">
        <v>60</v>
      </c>
      <c r="E36">
        <v>0.89557200000000003</v>
      </c>
      <c r="F36" t="s">
        <v>2222</v>
      </c>
      <c r="G36">
        <v>0.10440000000000001</v>
      </c>
      <c r="H36" t="s">
        <v>8150</v>
      </c>
      <c r="K36" t="s">
        <v>8161</v>
      </c>
    </row>
    <row r="37" spans="1:11" x14ac:dyDescent="0.4">
      <c r="A37" t="s">
        <v>5605</v>
      </c>
      <c r="B37" t="s">
        <v>60</v>
      </c>
      <c r="C37" t="s">
        <v>60</v>
      </c>
      <c r="E37">
        <v>0.91098199999999996</v>
      </c>
      <c r="F37" t="s">
        <v>2222</v>
      </c>
      <c r="G37">
        <v>8.8999999999999996E-2</v>
      </c>
      <c r="H37" t="s">
        <v>8148</v>
      </c>
      <c r="K37" t="s">
        <v>8153</v>
      </c>
    </row>
    <row r="38" spans="1:11" x14ac:dyDescent="0.4">
      <c r="A38" t="s">
        <v>5934</v>
      </c>
      <c r="B38" t="s">
        <v>60</v>
      </c>
      <c r="C38" t="s">
        <v>60</v>
      </c>
      <c r="E38">
        <v>0.91976999999999998</v>
      </c>
      <c r="F38" t="s">
        <v>2222</v>
      </c>
      <c r="G38">
        <v>8.0199999999999994E-2</v>
      </c>
      <c r="H38" t="s">
        <v>8148</v>
      </c>
      <c r="K38" t="s">
        <v>8153</v>
      </c>
    </row>
    <row r="39" spans="1:11" x14ac:dyDescent="0.4">
      <c r="A39" t="s">
        <v>976</v>
      </c>
      <c r="B39" t="s">
        <v>60</v>
      </c>
      <c r="C39" t="s">
        <v>60</v>
      </c>
      <c r="E39">
        <v>0.92545100000000002</v>
      </c>
      <c r="F39" t="s">
        <v>2222</v>
      </c>
      <c r="G39">
        <v>7.4499999999999997E-2</v>
      </c>
      <c r="H39" t="s">
        <v>8148</v>
      </c>
      <c r="K39" t="s">
        <v>8153</v>
      </c>
    </row>
    <row r="40" spans="1:11" x14ac:dyDescent="0.4">
      <c r="A40" t="s">
        <v>6053</v>
      </c>
      <c r="B40" t="s">
        <v>60</v>
      </c>
      <c r="C40" t="s">
        <v>60</v>
      </c>
      <c r="E40">
        <v>0.93675699999999995</v>
      </c>
      <c r="F40" t="s">
        <v>2222</v>
      </c>
      <c r="G40">
        <v>6.3200000000000006E-2</v>
      </c>
      <c r="H40" t="s">
        <v>8148</v>
      </c>
      <c r="K40" t="s">
        <v>8153</v>
      </c>
    </row>
    <row r="41" spans="1:11" x14ac:dyDescent="0.4">
      <c r="A41" t="s">
        <v>912</v>
      </c>
      <c r="B41" t="s">
        <v>60</v>
      </c>
      <c r="C41" t="s">
        <v>60</v>
      </c>
      <c r="E41">
        <v>0.94129399999999996</v>
      </c>
      <c r="F41" t="s">
        <v>2222</v>
      </c>
      <c r="G41">
        <v>5.8599999999999999E-2</v>
      </c>
      <c r="H41" t="s">
        <v>8148</v>
      </c>
      <c r="K41" t="s">
        <v>8153</v>
      </c>
    </row>
    <row r="42" spans="1:11" x14ac:dyDescent="0.4">
      <c r="A42" t="s">
        <v>6485</v>
      </c>
      <c r="B42" t="s">
        <v>60</v>
      </c>
      <c r="C42" t="s">
        <v>60</v>
      </c>
      <c r="E42">
        <v>0.94267000000000001</v>
      </c>
      <c r="F42" t="s">
        <v>2222</v>
      </c>
      <c r="G42">
        <v>5.7299999999999997E-2</v>
      </c>
      <c r="H42" t="s">
        <v>8148</v>
      </c>
      <c r="K42" t="s">
        <v>8153</v>
      </c>
    </row>
    <row r="43" spans="1:11" x14ac:dyDescent="0.4">
      <c r="A43" t="s">
        <v>934</v>
      </c>
      <c r="B43" t="s">
        <v>60</v>
      </c>
      <c r="C43" t="s">
        <v>60</v>
      </c>
      <c r="E43">
        <v>0.94115800000000005</v>
      </c>
      <c r="F43" t="s">
        <v>2222</v>
      </c>
      <c r="G43">
        <v>5.3400000000000003E-2</v>
      </c>
      <c r="H43" t="s">
        <v>8148</v>
      </c>
      <c r="K43" t="s">
        <v>8153</v>
      </c>
    </row>
    <row r="44" spans="1:11" x14ac:dyDescent="0.4">
      <c r="A44" t="s">
        <v>6419</v>
      </c>
      <c r="B44" t="s">
        <v>60</v>
      </c>
      <c r="C44" t="s">
        <v>60</v>
      </c>
      <c r="E44">
        <v>0.956488</v>
      </c>
      <c r="F44" t="s">
        <v>2222</v>
      </c>
      <c r="G44">
        <v>4.3499999999999997E-2</v>
      </c>
      <c r="H44" t="s">
        <v>8148</v>
      </c>
      <c r="K44" t="s">
        <v>8153</v>
      </c>
    </row>
    <row r="45" spans="1:11" x14ac:dyDescent="0.4">
      <c r="A45" t="s">
        <v>1654</v>
      </c>
      <c r="B45" t="s">
        <v>60</v>
      </c>
      <c r="C45" t="s">
        <v>60</v>
      </c>
      <c r="E45">
        <v>0.872004</v>
      </c>
      <c r="F45" t="s">
        <v>8151</v>
      </c>
      <c r="G45">
        <v>0.112</v>
      </c>
      <c r="H45" t="s">
        <v>8150</v>
      </c>
      <c r="K45" t="s">
        <v>8157</v>
      </c>
    </row>
    <row r="46" spans="1:11" x14ac:dyDescent="0.4">
      <c r="A46" t="s">
        <v>1688</v>
      </c>
      <c r="B46" t="s">
        <v>60</v>
      </c>
      <c r="C46" t="s">
        <v>60</v>
      </c>
      <c r="E46">
        <v>0.95636399999999999</v>
      </c>
      <c r="F46" t="s">
        <v>8151</v>
      </c>
      <c r="G46">
        <v>4.36E-2</v>
      </c>
      <c r="H46" t="s">
        <v>8148</v>
      </c>
      <c r="K46" t="s">
        <v>8152</v>
      </c>
    </row>
    <row r="47" spans="1:11" x14ac:dyDescent="0.4">
      <c r="A47" t="s">
        <v>6652</v>
      </c>
      <c r="B47" t="s">
        <v>60</v>
      </c>
      <c r="C47" t="s">
        <v>60</v>
      </c>
      <c r="E47" s="66">
        <v>0.97567700000000002</v>
      </c>
      <c r="F47" t="s">
        <v>2222</v>
      </c>
      <c r="G47">
        <v>2.4299999999999999E-2</v>
      </c>
      <c r="H47" t="s">
        <v>8181</v>
      </c>
      <c r="K47" t="s">
        <v>8182</v>
      </c>
    </row>
    <row r="48" spans="1:11" x14ac:dyDescent="0.4">
      <c r="A48" t="s">
        <v>2686</v>
      </c>
      <c r="B48" t="s">
        <v>2225</v>
      </c>
      <c r="C48" t="s">
        <v>2225</v>
      </c>
      <c r="E48" s="66">
        <v>0.94730000000000003</v>
      </c>
      <c r="F48" t="s">
        <v>49</v>
      </c>
      <c r="G48">
        <v>5.2613E-2</v>
      </c>
      <c r="H48" t="s">
        <v>8181</v>
      </c>
      <c r="K48" t="s">
        <v>8183</v>
      </c>
    </row>
    <row r="49" spans="1:11" x14ac:dyDescent="0.4">
      <c r="A49" t="s">
        <v>1466</v>
      </c>
      <c r="B49" t="s">
        <v>60</v>
      </c>
      <c r="C49" t="s">
        <v>60</v>
      </c>
      <c r="E49" s="66">
        <v>0.97541999999999995</v>
      </c>
      <c r="F49" t="s">
        <v>8151</v>
      </c>
      <c r="G49">
        <v>2.3699999999999999E-2</v>
      </c>
      <c r="H49" t="s">
        <v>8181</v>
      </c>
      <c r="K49" t="s">
        <v>8184</v>
      </c>
    </row>
    <row r="50" spans="1:11" x14ac:dyDescent="0.4">
      <c r="A50" t="s">
        <v>1490</v>
      </c>
      <c r="B50" t="s">
        <v>60</v>
      </c>
      <c r="C50" t="s">
        <v>60</v>
      </c>
      <c r="E50" s="66">
        <v>0.96982000000000002</v>
      </c>
      <c r="F50" t="s">
        <v>8151</v>
      </c>
      <c r="G50">
        <v>3.0099999999999998E-2</v>
      </c>
      <c r="H50" t="s">
        <v>8181</v>
      </c>
      <c r="K50" t="s">
        <v>8184</v>
      </c>
    </row>
    <row r="51" spans="1:11" x14ac:dyDescent="0.4">
      <c r="A51" t="s">
        <v>1550</v>
      </c>
      <c r="B51" t="s">
        <v>60</v>
      </c>
      <c r="C51" t="s">
        <v>60</v>
      </c>
      <c r="E51" s="66">
        <v>0.97632399999999997</v>
      </c>
      <c r="F51" t="s">
        <v>8151</v>
      </c>
      <c r="G51">
        <v>2.3599999999999999E-2</v>
      </c>
      <c r="H51" t="s">
        <v>8181</v>
      </c>
      <c r="K51" t="s">
        <v>8184</v>
      </c>
    </row>
    <row r="52" spans="1:11" x14ac:dyDescent="0.4">
      <c r="A52" t="s">
        <v>6519</v>
      </c>
      <c r="B52" t="s">
        <v>60</v>
      </c>
      <c r="C52" t="s">
        <v>60</v>
      </c>
      <c r="E52" s="66">
        <v>0.96329500000000001</v>
      </c>
      <c r="F52" t="s">
        <v>2222</v>
      </c>
      <c r="G52">
        <v>3.6700000000000003E-2</v>
      </c>
      <c r="H52" t="s">
        <v>8181</v>
      </c>
      <c r="K52" t="s">
        <v>8182</v>
      </c>
    </row>
    <row r="53" spans="1:11" x14ac:dyDescent="0.4">
      <c r="A53" t="s">
        <v>5205</v>
      </c>
      <c r="B53" t="s">
        <v>60</v>
      </c>
      <c r="C53" t="s">
        <v>60</v>
      </c>
      <c r="E53" s="66">
        <v>0.97819100000000003</v>
      </c>
      <c r="F53" t="s">
        <v>2222</v>
      </c>
      <c r="G53">
        <v>2.18E-2</v>
      </c>
      <c r="H53" t="s">
        <v>8181</v>
      </c>
      <c r="K53" t="s">
        <v>8182</v>
      </c>
    </row>
    <row r="54" spans="1:11" x14ac:dyDescent="0.4">
      <c r="A54" t="s">
        <v>5616</v>
      </c>
      <c r="B54" t="s">
        <v>60</v>
      </c>
      <c r="C54" t="s">
        <v>60</v>
      </c>
      <c r="E54" s="66">
        <v>0.97442300000000004</v>
      </c>
      <c r="F54" t="s">
        <v>2222</v>
      </c>
      <c r="G54">
        <v>2.5499999999999998E-2</v>
      </c>
      <c r="H54" t="s">
        <v>8181</v>
      </c>
      <c r="K54" t="s">
        <v>8182</v>
      </c>
    </row>
    <row r="55" spans="1:11" x14ac:dyDescent="0.4">
      <c r="A55" t="s">
        <v>5744</v>
      </c>
      <c r="B55" t="s">
        <v>2225</v>
      </c>
      <c r="C55" t="s">
        <v>2225</v>
      </c>
      <c r="E55" s="66">
        <v>0.93079999999999996</v>
      </c>
      <c r="F55" t="s">
        <v>49</v>
      </c>
      <c r="G55">
        <v>6.9101999999999997E-2</v>
      </c>
      <c r="H55" t="s">
        <v>8181</v>
      </c>
      <c r="K55" t="s">
        <v>8183</v>
      </c>
    </row>
    <row r="56" spans="1:11" x14ac:dyDescent="0.4">
      <c r="A56" t="s">
        <v>5911</v>
      </c>
      <c r="B56" t="s">
        <v>60</v>
      </c>
      <c r="C56" t="s">
        <v>60</v>
      </c>
      <c r="E56" s="66">
        <v>0.96773699999999996</v>
      </c>
      <c r="F56" t="s">
        <v>2222</v>
      </c>
      <c r="G56">
        <v>3.2199999999999999E-2</v>
      </c>
      <c r="H56" t="s">
        <v>8181</v>
      </c>
      <c r="K56" t="s">
        <v>8182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6289-4023-4669-8617-E4ED65FC16C3}">
  <dimension ref="A1:A633"/>
  <sheetViews>
    <sheetView workbookViewId="0">
      <selection activeCell="A2" sqref="A2:A17"/>
    </sheetView>
  </sheetViews>
  <sheetFormatPr defaultRowHeight="14.6" x14ac:dyDescent="0.4"/>
  <cols>
    <col min="1" max="1" width="37.07421875" style="18" customWidth="1"/>
  </cols>
  <sheetData>
    <row r="1" spans="1:1" x14ac:dyDescent="0.4">
      <c r="A1" s="40" t="s">
        <v>8094</v>
      </c>
    </row>
    <row r="2" spans="1:1" x14ac:dyDescent="0.4">
      <c r="A2" s="62" t="s">
        <v>4140</v>
      </c>
    </row>
    <row r="3" spans="1:1" x14ac:dyDescent="0.4">
      <c r="A3" s="58" t="s">
        <v>8119</v>
      </c>
    </row>
    <row r="4" spans="1:1" x14ac:dyDescent="0.4">
      <c r="A4" s="58" t="s">
        <v>8119</v>
      </c>
    </row>
    <row r="5" spans="1:1" x14ac:dyDescent="0.4">
      <c r="A5" s="63" t="s">
        <v>8119</v>
      </c>
    </row>
    <row r="6" spans="1:1" x14ac:dyDescent="0.4">
      <c r="A6" s="58" t="s">
        <v>8119</v>
      </c>
    </row>
    <row r="7" spans="1:1" x14ac:dyDescent="0.4">
      <c r="A7" s="58" t="s">
        <v>8119</v>
      </c>
    </row>
    <row r="8" spans="1:1" x14ac:dyDescent="0.4">
      <c r="A8" s="58" t="s">
        <v>8119</v>
      </c>
    </row>
    <row r="9" spans="1:1" x14ac:dyDescent="0.4">
      <c r="A9" s="58" t="s">
        <v>8111</v>
      </c>
    </row>
    <row r="10" spans="1:1" x14ac:dyDescent="0.4">
      <c r="A10" s="58" t="s">
        <v>8106</v>
      </c>
    </row>
    <row r="11" spans="1:1" x14ac:dyDescent="0.4">
      <c r="A11" s="58" t="s">
        <v>8106</v>
      </c>
    </row>
    <row r="12" spans="1:1" x14ac:dyDescent="0.4">
      <c r="A12" s="63" t="s">
        <v>8106</v>
      </c>
    </row>
    <row r="13" spans="1:1" x14ac:dyDescent="0.4">
      <c r="A13" s="58" t="s">
        <v>8106</v>
      </c>
    </row>
    <row r="14" spans="1:1" x14ac:dyDescent="0.4">
      <c r="A14" s="58" t="s">
        <v>8106</v>
      </c>
    </row>
    <row r="15" spans="1:1" x14ac:dyDescent="0.4">
      <c r="A15" s="58" t="s">
        <v>8138</v>
      </c>
    </row>
    <row r="16" spans="1:1" x14ac:dyDescent="0.4">
      <c r="A16" s="58" t="s">
        <v>8131</v>
      </c>
    </row>
    <row r="17" spans="1:1" x14ac:dyDescent="0.4">
      <c r="A17" s="63" t="s">
        <v>8142</v>
      </c>
    </row>
    <row r="18" spans="1:1" x14ac:dyDescent="0.4">
      <c r="A18" s="41"/>
    </row>
    <row r="19" spans="1:1" x14ac:dyDescent="0.4">
      <c r="A19" s="41"/>
    </row>
    <row r="20" spans="1:1" x14ac:dyDescent="0.4">
      <c r="A20" s="41"/>
    </row>
    <row r="21" spans="1:1" x14ac:dyDescent="0.4">
      <c r="A21" s="41"/>
    </row>
    <row r="22" spans="1:1" x14ac:dyDescent="0.4">
      <c r="A22" s="41"/>
    </row>
    <row r="23" spans="1:1" x14ac:dyDescent="0.4">
      <c r="A23" s="41"/>
    </row>
    <row r="24" spans="1:1" x14ac:dyDescent="0.4">
      <c r="A24" s="41"/>
    </row>
    <row r="25" spans="1:1" x14ac:dyDescent="0.4">
      <c r="A25" s="41"/>
    </row>
    <row r="26" spans="1:1" x14ac:dyDescent="0.4">
      <c r="A26" s="41"/>
    </row>
    <row r="27" spans="1:1" x14ac:dyDescent="0.4">
      <c r="A27" s="41"/>
    </row>
    <row r="28" spans="1:1" x14ac:dyDescent="0.4">
      <c r="A28" s="41"/>
    </row>
    <row r="29" spans="1:1" x14ac:dyDescent="0.4">
      <c r="A29" s="41"/>
    </row>
    <row r="30" spans="1:1" x14ac:dyDescent="0.4">
      <c r="A30" s="41"/>
    </row>
    <row r="31" spans="1:1" x14ac:dyDescent="0.4">
      <c r="A31" s="41"/>
    </row>
    <row r="32" spans="1:1" x14ac:dyDescent="0.4">
      <c r="A32" s="41"/>
    </row>
    <row r="33" spans="1:1" x14ac:dyDescent="0.4">
      <c r="A33" s="41"/>
    </row>
    <row r="34" spans="1:1" x14ac:dyDescent="0.4">
      <c r="A34" s="41"/>
    </row>
    <row r="35" spans="1:1" x14ac:dyDescent="0.4">
      <c r="A35" s="41"/>
    </row>
    <row r="36" spans="1:1" x14ac:dyDescent="0.4">
      <c r="A36" s="41"/>
    </row>
    <row r="37" spans="1:1" x14ac:dyDescent="0.4">
      <c r="A37" s="41"/>
    </row>
    <row r="38" spans="1:1" x14ac:dyDescent="0.4">
      <c r="A38" s="41"/>
    </row>
    <row r="39" spans="1:1" x14ac:dyDescent="0.4">
      <c r="A39" s="41"/>
    </row>
    <row r="40" spans="1:1" x14ac:dyDescent="0.4">
      <c r="A40" s="41"/>
    </row>
    <row r="41" spans="1:1" x14ac:dyDescent="0.4">
      <c r="A41" s="41"/>
    </row>
    <row r="42" spans="1:1" x14ac:dyDescent="0.4">
      <c r="A42" s="41"/>
    </row>
    <row r="43" spans="1:1" x14ac:dyDescent="0.4">
      <c r="A43" s="41"/>
    </row>
    <row r="44" spans="1:1" x14ac:dyDescent="0.4">
      <c r="A44" s="41"/>
    </row>
    <row r="45" spans="1:1" x14ac:dyDescent="0.4">
      <c r="A45" s="41"/>
    </row>
    <row r="46" spans="1:1" x14ac:dyDescent="0.4">
      <c r="A46" s="41"/>
    </row>
    <row r="47" spans="1:1" x14ac:dyDescent="0.4">
      <c r="A47" s="41"/>
    </row>
    <row r="48" spans="1:1" x14ac:dyDescent="0.4">
      <c r="A48" s="41"/>
    </row>
    <row r="49" spans="1:1" x14ac:dyDescent="0.4">
      <c r="A49" s="41"/>
    </row>
    <row r="50" spans="1:1" x14ac:dyDescent="0.4">
      <c r="A50" s="41"/>
    </row>
    <row r="51" spans="1:1" x14ac:dyDescent="0.4">
      <c r="A51" s="41"/>
    </row>
    <row r="52" spans="1:1" x14ac:dyDescent="0.4">
      <c r="A52" s="41"/>
    </row>
    <row r="53" spans="1:1" x14ac:dyDescent="0.4">
      <c r="A53" s="41"/>
    </row>
    <row r="54" spans="1:1" x14ac:dyDescent="0.4">
      <c r="A54" s="41"/>
    </row>
    <row r="55" spans="1:1" x14ac:dyDescent="0.4">
      <c r="A55" s="41"/>
    </row>
    <row r="56" spans="1:1" x14ac:dyDescent="0.4">
      <c r="A56" s="41"/>
    </row>
    <row r="57" spans="1:1" x14ac:dyDescent="0.4">
      <c r="A57" s="41"/>
    </row>
    <row r="58" spans="1:1" x14ac:dyDescent="0.4">
      <c r="A58" s="41"/>
    </row>
    <row r="59" spans="1:1" x14ac:dyDescent="0.4">
      <c r="A59" s="41"/>
    </row>
    <row r="60" spans="1:1" x14ac:dyDescent="0.4">
      <c r="A60" s="41"/>
    </row>
    <row r="61" spans="1:1" x14ac:dyDescent="0.4">
      <c r="A61" s="41"/>
    </row>
    <row r="62" spans="1:1" x14ac:dyDescent="0.4">
      <c r="A62" s="41"/>
    </row>
    <row r="63" spans="1:1" x14ac:dyDescent="0.4">
      <c r="A63" s="41"/>
    </row>
    <row r="64" spans="1:1" x14ac:dyDescent="0.4">
      <c r="A64" s="41"/>
    </row>
    <row r="65" spans="1:1" x14ac:dyDescent="0.4">
      <c r="A65" s="41"/>
    </row>
    <row r="66" spans="1:1" x14ac:dyDescent="0.4">
      <c r="A66" s="41"/>
    </row>
    <row r="67" spans="1:1" x14ac:dyDescent="0.4">
      <c r="A67" s="41"/>
    </row>
    <row r="68" spans="1:1" x14ac:dyDescent="0.4">
      <c r="A68" s="41"/>
    </row>
    <row r="69" spans="1:1" x14ac:dyDescent="0.4">
      <c r="A69" s="41"/>
    </row>
    <row r="70" spans="1:1" x14ac:dyDescent="0.4">
      <c r="A70" s="41"/>
    </row>
    <row r="71" spans="1:1" x14ac:dyDescent="0.4">
      <c r="A71" s="41"/>
    </row>
    <row r="72" spans="1:1" x14ac:dyDescent="0.4">
      <c r="A72" s="41"/>
    </row>
    <row r="73" spans="1:1" x14ac:dyDescent="0.4">
      <c r="A73" s="41"/>
    </row>
    <row r="74" spans="1:1" x14ac:dyDescent="0.4">
      <c r="A74" s="41"/>
    </row>
    <row r="75" spans="1:1" x14ac:dyDescent="0.4">
      <c r="A75" s="41"/>
    </row>
    <row r="76" spans="1:1" x14ac:dyDescent="0.4">
      <c r="A76" s="41"/>
    </row>
    <row r="77" spans="1:1" x14ac:dyDescent="0.4">
      <c r="A77" s="41"/>
    </row>
    <row r="78" spans="1:1" x14ac:dyDescent="0.4">
      <c r="A78" s="41"/>
    </row>
    <row r="79" spans="1:1" x14ac:dyDescent="0.4">
      <c r="A79" s="41"/>
    </row>
    <row r="80" spans="1:1" x14ac:dyDescent="0.4">
      <c r="A80" s="42"/>
    </row>
    <row r="81" spans="1:1" x14ac:dyDescent="0.4">
      <c r="A81" s="42"/>
    </row>
    <row r="82" spans="1:1" x14ac:dyDescent="0.4">
      <c r="A82" s="42"/>
    </row>
    <row r="83" spans="1:1" x14ac:dyDescent="0.4">
      <c r="A83" s="42"/>
    </row>
    <row r="84" spans="1:1" x14ac:dyDescent="0.4">
      <c r="A84" s="42"/>
    </row>
    <row r="85" spans="1:1" x14ac:dyDescent="0.4">
      <c r="A85" s="42"/>
    </row>
    <row r="86" spans="1:1" x14ac:dyDescent="0.4">
      <c r="A86" s="41"/>
    </row>
    <row r="87" spans="1:1" x14ac:dyDescent="0.4">
      <c r="A87" s="41"/>
    </row>
    <row r="88" spans="1:1" x14ac:dyDescent="0.4">
      <c r="A88" s="41"/>
    </row>
    <row r="89" spans="1:1" x14ac:dyDescent="0.4">
      <c r="A89" s="41"/>
    </row>
    <row r="90" spans="1:1" x14ac:dyDescent="0.4">
      <c r="A90" s="41"/>
    </row>
    <row r="91" spans="1:1" x14ac:dyDescent="0.4">
      <c r="A91" s="41"/>
    </row>
    <row r="92" spans="1:1" x14ac:dyDescent="0.4">
      <c r="A92" s="41"/>
    </row>
    <row r="93" spans="1:1" x14ac:dyDescent="0.4">
      <c r="A93" s="41"/>
    </row>
    <row r="94" spans="1:1" x14ac:dyDescent="0.4">
      <c r="A94" s="41"/>
    </row>
    <row r="95" spans="1:1" x14ac:dyDescent="0.4">
      <c r="A95" s="41"/>
    </row>
    <row r="97" spans="1:1" x14ac:dyDescent="0.4">
      <c r="A97" s="41"/>
    </row>
    <row r="99" spans="1:1" x14ac:dyDescent="0.4">
      <c r="A99" s="41"/>
    </row>
    <row r="100" spans="1:1" x14ac:dyDescent="0.4">
      <c r="A100" s="41"/>
    </row>
    <row r="101" spans="1:1" x14ac:dyDescent="0.4">
      <c r="A101" s="41"/>
    </row>
    <row r="102" spans="1:1" x14ac:dyDescent="0.4">
      <c r="A102" s="41"/>
    </row>
    <row r="103" spans="1:1" x14ac:dyDescent="0.4">
      <c r="A103" s="41"/>
    </row>
    <row r="104" spans="1:1" x14ac:dyDescent="0.4">
      <c r="A104" s="41"/>
    </row>
    <row r="105" spans="1:1" x14ac:dyDescent="0.4">
      <c r="A105" s="41"/>
    </row>
    <row r="106" spans="1:1" x14ac:dyDescent="0.4">
      <c r="A106" s="41"/>
    </row>
    <row r="107" spans="1:1" x14ac:dyDescent="0.4">
      <c r="A107" s="41"/>
    </row>
    <row r="108" spans="1:1" x14ac:dyDescent="0.4">
      <c r="A108" s="41"/>
    </row>
    <row r="109" spans="1:1" x14ac:dyDescent="0.4">
      <c r="A109" s="41"/>
    </row>
    <row r="110" spans="1:1" x14ac:dyDescent="0.4">
      <c r="A110" s="41"/>
    </row>
    <row r="111" spans="1:1" x14ac:dyDescent="0.4">
      <c r="A111" s="41"/>
    </row>
    <row r="112" spans="1:1" x14ac:dyDescent="0.4">
      <c r="A112" s="41"/>
    </row>
    <row r="113" spans="1:1" x14ac:dyDescent="0.4">
      <c r="A113" s="41"/>
    </row>
    <row r="114" spans="1:1" x14ac:dyDescent="0.4">
      <c r="A114" s="41"/>
    </row>
    <row r="115" spans="1:1" x14ac:dyDescent="0.4">
      <c r="A115" s="41"/>
    </row>
    <row r="116" spans="1:1" x14ac:dyDescent="0.4">
      <c r="A116" s="41"/>
    </row>
    <row r="117" spans="1:1" x14ac:dyDescent="0.4">
      <c r="A117" s="41"/>
    </row>
    <row r="118" spans="1:1" x14ac:dyDescent="0.4">
      <c r="A118" s="41"/>
    </row>
    <row r="119" spans="1:1" x14ac:dyDescent="0.4">
      <c r="A119" s="41"/>
    </row>
    <row r="120" spans="1:1" x14ac:dyDescent="0.4">
      <c r="A120" s="41"/>
    </row>
    <row r="121" spans="1:1" x14ac:dyDescent="0.4">
      <c r="A121" s="41"/>
    </row>
    <row r="122" spans="1:1" x14ac:dyDescent="0.4">
      <c r="A122" s="41"/>
    </row>
    <row r="123" spans="1:1" x14ac:dyDescent="0.4">
      <c r="A123" s="41"/>
    </row>
    <row r="124" spans="1:1" x14ac:dyDescent="0.4">
      <c r="A124" s="41"/>
    </row>
    <row r="125" spans="1:1" x14ac:dyDescent="0.4">
      <c r="A125" s="41"/>
    </row>
    <row r="126" spans="1:1" x14ac:dyDescent="0.4">
      <c r="A126" s="41"/>
    </row>
    <row r="127" spans="1:1" x14ac:dyDescent="0.4">
      <c r="A127" s="41"/>
    </row>
    <row r="128" spans="1:1" x14ac:dyDescent="0.4">
      <c r="A128" s="41"/>
    </row>
    <row r="129" spans="1:1" x14ac:dyDescent="0.4">
      <c r="A129" s="41"/>
    </row>
    <row r="130" spans="1:1" x14ac:dyDescent="0.4">
      <c r="A130" s="41"/>
    </row>
    <row r="131" spans="1:1" x14ac:dyDescent="0.4">
      <c r="A131" s="41"/>
    </row>
    <row r="132" spans="1:1" x14ac:dyDescent="0.4">
      <c r="A132" s="41"/>
    </row>
    <row r="133" spans="1:1" x14ac:dyDescent="0.4">
      <c r="A133" s="41"/>
    </row>
    <row r="134" spans="1:1" x14ac:dyDescent="0.4">
      <c r="A134" s="41"/>
    </row>
    <row r="135" spans="1:1" x14ac:dyDescent="0.4">
      <c r="A135" s="41"/>
    </row>
    <row r="136" spans="1:1" x14ac:dyDescent="0.4">
      <c r="A136" s="41"/>
    </row>
    <row r="137" spans="1:1" x14ac:dyDescent="0.4">
      <c r="A137" s="41"/>
    </row>
    <row r="138" spans="1:1" x14ac:dyDescent="0.4">
      <c r="A138" s="41"/>
    </row>
    <row r="139" spans="1:1" x14ac:dyDescent="0.4">
      <c r="A139" s="41"/>
    </row>
    <row r="140" spans="1:1" x14ac:dyDescent="0.4">
      <c r="A140" s="41"/>
    </row>
    <row r="141" spans="1:1" x14ac:dyDescent="0.4">
      <c r="A141" s="41"/>
    </row>
    <row r="142" spans="1:1" x14ac:dyDescent="0.4">
      <c r="A142" s="41"/>
    </row>
    <row r="143" spans="1:1" x14ac:dyDescent="0.4">
      <c r="A143" s="41"/>
    </row>
    <row r="144" spans="1:1" x14ac:dyDescent="0.4">
      <c r="A144" s="41"/>
    </row>
    <row r="145" spans="1:1" x14ac:dyDescent="0.4">
      <c r="A145" s="41"/>
    </row>
    <row r="146" spans="1:1" x14ac:dyDescent="0.4">
      <c r="A146" s="41"/>
    </row>
    <row r="147" spans="1:1" x14ac:dyDescent="0.4">
      <c r="A147" s="41"/>
    </row>
    <row r="148" spans="1:1" x14ac:dyDescent="0.4">
      <c r="A148" s="41"/>
    </row>
    <row r="149" spans="1:1" x14ac:dyDescent="0.4">
      <c r="A149" s="41"/>
    </row>
    <row r="150" spans="1:1" x14ac:dyDescent="0.4">
      <c r="A150" s="41"/>
    </row>
    <row r="151" spans="1:1" x14ac:dyDescent="0.4">
      <c r="A151" s="41"/>
    </row>
    <row r="152" spans="1:1" x14ac:dyDescent="0.4">
      <c r="A152" s="41"/>
    </row>
    <row r="153" spans="1:1" x14ac:dyDescent="0.4">
      <c r="A153" s="41"/>
    </row>
    <row r="154" spans="1:1" x14ac:dyDescent="0.4">
      <c r="A154" s="41"/>
    </row>
    <row r="155" spans="1:1" x14ac:dyDescent="0.4">
      <c r="A155" s="41"/>
    </row>
    <row r="156" spans="1:1" x14ac:dyDescent="0.4">
      <c r="A156" s="41"/>
    </row>
    <row r="157" spans="1:1" x14ac:dyDescent="0.4">
      <c r="A157" s="41"/>
    </row>
    <row r="158" spans="1:1" x14ac:dyDescent="0.4">
      <c r="A158" s="41"/>
    </row>
    <row r="159" spans="1:1" x14ac:dyDescent="0.4">
      <c r="A159" s="41"/>
    </row>
    <row r="160" spans="1:1" x14ac:dyDescent="0.4">
      <c r="A160" s="41"/>
    </row>
    <row r="161" spans="1:1" x14ac:dyDescent="0.4">
      <c r="A161" s="41"/>
    </row>
    <row r="162" spans="1:1" x14ac:dyDescent="0.4">
      <c r="A162" s="41"/>
    </row>
    <row r="163" spans="1:1" x14ac:dyDescent="0.4">
      <c r="A163" s="41"/>
    </row>
    <row r="164" spans="1:1" x14ac:dyDescent="0.4">
      <c r="A164" s="41"/>
    </row>
    <row r="165" spans="1:1" x14ac:dyDescent="0.4">
      <c r="A165" s="41"/>
    </row>
    <row r="166" spans="1:1" x14ac:dyDescent="0.4">
      <c r="A166" s="41"/>
    </row>
    <row r="167" spans="1:1" x14ac:dyDescent="0.4">
      <c r="A167" s="41"/>
    </row>
    <row r="168" spans="1:1" x14ac:dyDescent="0.4">
      <c r="A168" s="41"/>
    </row>
    <row r="169" spans="1:1" x14ac:dyDescent="0.4">
      <c r="A169" s="41"/>
    </row>
    <row r="170" spans="1:1" x14ac:dyDescent="0.4">
      <c r="A170" s="41"/>
    </row>
    <row r="171" spans="1:1" x14ac:dyDescent="0.4">
      <c r="A171" s="41"/>
    </row>
    <row r="172" spans="1:1" x14ac:dyDescent="0.4">
      <c r="A172" s="41"/>
    </row>
    <row r="173" spans="1:1" x14ac:dyDescent="0.4">
      <c r="A173" s="41"/>
    </row>
    <row r="174" spans="1:1" x14ac:dyDescent="0.4">
      <c r="A174" s="41"/>
    </row>
    <row r="175" spans="1:1" x14ac:dyDescent="0.4">
      <c r="A175" s="41"/>
    </row>
    <row r="176" spans="1:1" x14ac:dyDescent="0.4">
      <c r="A176" s="41"/>
    </row>
    <row r="177" spans="1:1" x14ac:dyDescent="0.4">
      <c r="A177" s="41"/>
    </row>
    <row r="178" spans="1:1" x14ac:dyDescent="0.4">
      <c r="A178" s="41"/>
    </row>
    <row r="179" spans="1:1" x14ac:dyDescent="0.4">
      <c r="A179" s="41"/>
    </row>
    <row r="180" spans="1:1" x14ac:dyDescent="0.4">
      <c r="A180" s="41"/>
    </row>
    <row r="181" spans="1:1" x14ac:dyDescent="0.4">
      <c r="A181" s="41"/>
    </row>
    <row r="182" spans="1:1" x14ac:dyDescent="0.4">
      <c r="A182" s="41"/>
    </row>
    <row r="183" spans="1:1" x14ac:dyDescent="0.4">
      <c r="A183" s="41"/>
    </row>
    <row r="184" spans="1:1" x14ac:dyDescent="0.4">
      <c r="A184" s="41"/>
    </row>
    <row r="185" spans="1:1" x14ac:dyDescent="0.4">
      <c r="A185" s="41"/>
    </row>
    <row r="186" spans="1:1" x14ac:dyDescent="0.4">
      <c r="A186" s="41"/>
    </row>
    <row r="187" spans="1:1" x14ac:dyDescent="0.4">
      <c r="A187" s="41"/>
    </row>
    <row r="188" spans="1:1" x14ac:dyDescent="0.4">
      <c r="A188" s="41"/>
    </row>
    <row r="189" spans="1:1" x14ac:dyDescent="0.4">
      <c r="A189" s="41"/>
    </row>
    <row r="190" spans="1:1" x14ac:dyDescent="0.4">
      <c r="A190" s="41"/>
    </row>
    <row r="191" spans="1:1" x14ac:dyDescent="0.4">
      <c r="A191" s="41"/>
    </row>
    <row r="192" spans="1:1" x14ac:dyDescent="0.4">
      <c r="A192" s="41"/>
    </row>
    <row r="193" spans="1:1" x14ac:dyDescent="0.4">
      <c r="A193" s="41"/>
    </row>
    <row r="194" spans="1:1" x14ac:dyDescent="0.4">
      <c r="A194" s="41"/>
    </row>
    <row r="195" spans="1:1" x14ac:dyDescent="0.4">
      <c r="A195" s="41"/>
    </row>
    <row r="196" spans="1:1" x14ac:dyDescent="0.4">
      <c r="A196" s="41"/>
    </row>
    <row r="197" spans="1:1" x14ac:dyDescent="0.4">
      <c r="A197" s="41"/>
    </row>
    <row r="198" spans="1:1" x14ac:dyDescent="0.4">
      <c r="A198" s="41"/>
    </row>
    <row r="199" spans="1:1" x14ac:dyDescent="0.4">
      <c r="A199" s="41"/>
    </row>
    <row r="200" spans="1:1" x14ac:dyDescent="0.4">
      <c r="A200" s="41"/>
    </row>
    <row r="201" spans="1:1" x14ac:dyDescent="0.4">
      <c r="A201" s="41"/>
    </row>
    <row r="202" spans="1:1" x14ac:dyDescent="0.4">
      <c r="A202" s="41"/>
    </row>
    <row r="203" spans="1:1" x14ac:dyDescent="0.4">
      <c r="A203" s="41"/>
    </row>
    <row r="204" spans="1:1" x14ac:dyDescent="0.4">
      <c r="A204" s="41"/>
    </row>
    <row r="205" spans="1:1" x14ac:dyDescent="0.4">
      <c r="A205" s="41"/>
    </row>
    <row r="206" spans="1:1" x14ac:dyDescent="0.4">
      <c r="A206" s="41"/>
    </row>
    <row r="207" spans="1:1" x14ac:dyDescent="0.4">
      <c r="A207" s="41"/>
    </row>
    <row r="208" spans="1:1" x14ac:dyDescent="0.4">
      <c r="A208" s="41"/>
    </row>
    <row r="209" spans="1:1" x14ac:dyDescent="0.4">
      <c r="A209" s="41"/>
    </row>
    <row r="210" spans="1:1" x14ac:dyDescent="0.4">
      <c r="A210" s="41"/>
    </row>
    <row r="211" spans="1:1" x14ac:dyDescent="0.4">
      <c r="A211" s="41"/>
    </row>
    <row r="212" spans="1:1" x14ac:dyDescent="0.4">
      <c r="A212" s="41"/>
    </row>
    <row r="213" spans="1:1" x14ac:dyDescent="0.4">
      <c r="A213" s="41"/>
    </row>
    <row r="214" spans="1:1" x14ac:dyDescent="0.4">
      <c r="A214" s="41"/>
    </row>
    <row r="215" spans="1:1" x14ac:dyDescent="0.4">
      <c r="A215" s="41"/>
    </row>
    <row r="216" spans="1:1" x14ac:dyDescent="0.4">
      <c r="A216" s="41"/>
    </row>
    <row r="217" spans="1:1" x14ac:dyDescent="0.4">
      <c r="A217" s="41"/>
    </row>
    <row r="218" spans="1:1" x14ac:dyDescent="0.4">
      <c r="A218" s="41"/>
    </row>
    <row r="219" spans="1:1" x14ac:dyDescent="0.4">
      <c r="A219" s="41"/>
    </row>
    <row r="220" spans="1:1" x14ac:dyDescent="0.4">
      <c r="A220" s="41"/>
    </row>
    <row r="221" spans="1:1" x14ac:dyDescent="0.4">
      <c r="A221" s="41"/>
    </row>
    <row r="222" spans="1:1" x14ac:dyDescent="0.4">
      <c r="A222" s="41"/>
    </row>
    <row r="223" spans="1:1" x14ac:dyDescent="0.4">
      <c r="A223" s="41"/>
    </row>
    <row r="224" spans="1:1" x14ac:dyDescent="0.4">
      <c r="A224" s="41"/>
    </row>
    <row r="225" spans="1:1" x14ac:dyDescent="0.4">
      <c r="A225" s="41"/>
    </row>
    <row r="226" spans="1:1" x14ac:dyDescent="0.4">
      <c r="A226" s="41"/>
    </row>
    <row r="227" spans="1:1" x14ac:dyDescent="0.4">
      <c r="A227" s="41"/>
    </row>
    <row r="228" spans="1:1" x14ac:dyDescent="0.4">
      <c r="A228" s="41"/>
    </row>
    <row r="229" spans="1:1" x14ac:dyDescent="0.4">
      <c r="A229" s="41"/>
    </row>
    <row r="230" spans="1:1" x14ac:dyDescent="0.4">
      <c r="A230" s="41"/>
    </row>
    <row r="231" spans="1:1" x14ac:dyDescent="0.4">
      <c r="A231" s="41"/>
    </row>
    <row r="232" spans="1:1" x14ac:dyDescent="0.4">
      <c r="A232" s="41"/>
    </row>
    <row r="233" spans="1:1" x14ac:dyDescent="0.4">
      <c r="A233" s="41"/>
    </row>
    <row r="234" spans="1:1" x14ac:dyDescent="0.4">
      <c r="A234" s="41"/>
    </row>
    <row r="235" spans="1:1" x14ac:dyDescent="0.4">
      <c r="A235" s="41"/>
    </row>
    <row r="236" spans="1:1" x14ac:dyDescent="0.4">
      <c r="A236" s="41"/>
    </row>
    <row r="237" spans="1:1" x14ac:dyDescent="0.4">
      <c r="A237" s="41"/>
    </row>
    <row r="238" spans="1:1" x14ac:dyDescent="0.4">
      <c r="A238" s="41"/>
    </row>
    <row r="239" spans="1:1" x14ac:dyDescent="0.4">
      <c r="A239" s="41"/>
    </row>
    <row r="240" spans="1:1" x14ac:dyDescent="0.4">
      <c r="A240" s="41"/>
    </row>
    <row r="241" spans="1:1" x14ac:dyDescent="0.4">
      <c r="A241" s="41"/>
    </row>
    <row r="242" spans="1:1" x14ac:dyDescent="0.4">
      <c r="A242" s="41"/>
    </row>
    <row r="243" spans="1:1" x14ac:dyDescent="0.4">
      <c r="A243" s="41"/>
    </row>
    <row r="244" spans="1:1" x14ac:dyDescent="0.4">
      <c r="A244" s="41"/>
    </row>
    <row r="245" spans="1:1" x14ac:dyDescent="0.4">
      <c r="A245" s="41"/>
    </row>
    <row r="246" spans="1:1" x14ac:dyDescent="0.4">
      <c r="A246" s="41"/>
    </row>
    <row r="247" spans="1:1" x14ac:dyDescent="0.4">
      <c r="A247" s="41"/>
    </row>
    <row r="248" spans="1:1" x14ac:dyDescent="0.4">
      <c r="A248" s="41"/>
    </row>
    <row r="249" spans="1:1" x14ac:dyDescent="0.4">
      <c r="A249" s="41"/>
    </row>
    <row r="250" spans="1:1" x14ac:dyDescent="0.4">
      <c r="A250" s="41"/>
    </row>
    <row r="251" spans="1:1" x14ac:dyDescent="0.4">
      <c r="A251" s="41"/>
    </row>
    <row r="252" spans="1:1" x14ac:dyDescent="0.4">
      <c r="A252" s="41"/>
    </row>
    <row r="253" spans="1:1" x14ac:dyDescent="0.4">
      <c r="A253" s="41"/>
    </row>
    <row r="254" spans="1:1" x14ac:dyDescent="0.4">
      <c r="A254" s="41"/>
    </row>
    <row r="255" spans="1:1" x14ac:dyDescent="0.4">
      <c r="A255" s="41"/>
    </row>
    <row r="256" spans="1:1" x14ac:dyDescent="0.4">
      <c r="A256" s="41"/>
    </row>
    <row r="257" spans="1:1" x14ac:dyDescent="0.4">
      <c r="A257" s="41"/>
    </row>
    <row r="258" spans="1:1" x14ac:dyDescent="0.4">
      <c r="A258" s="41"/>
    </row>
    <row r="259" spans="1:1" x14ac:dyDescent="0.4">
      <c r="A259" s="41"/>
    </row>
    <row r="260" spans="1:1" x14ac:dyDescent="0.4">
      <c r="A260" s="41"/>
    </row>
    <row r="261" spans="1:1" x14ac:dyDescent="0.4">
      <c r="A261" s="41"/>
    </row>
    <row r="262" spans="1:1" x14ac:dyDescent="0.4">
      <c r="A262" s="41"/>
    </row>
    <row r="263" spans="1:1" x14ac:dyDescent="0.4">
      <c r="A263" s="41"/>
    </row>
    <row r="264" spans="1:1" x14ac:dyDescent="0.4">
      <c r="A264" s="41"/>
    </row>
    <row r="265" spans="1:1" x14ac:dyDescent="0.4">
      <c r="A265" s="41"/>
    </row>
    <row r="266" spans="1:1" x14ac:dyDescent="0.4">
      <c r="A266" s="41"/>
    </row>
    <row r="267" spans="1:1" x14ac:dyDescent="0.4">
      <c r="A267" s="41"/>
    </row>
    <row r="268" spans="1:1" x14ac:dyDescent="0.4">
      <c r="A268" s="41"/>
    </row>
    <row r="269" spans="1:1" x14ac:dyDescent="0.4">
      <c r="A269" s="41"/>
    </row>
    <row r="270" spans="1:1" x14ac:dyDescent="0.4">
      <c r="A270" s="41"/>
    </row>
    <row r="271" spans="1:1" x14ac:dyDescent="0.4">
      <c r="A271" s="41"/>
    </row>
    <row r="272" spans="1:1" x14ac:dyDescent="0.4">
      <c r="A272" s="41"/>
    </row>
    <row r="273" spans="1:1" x14ac:dyDescent="0.4">
      <c r="A273" s="41"/>
    </row>
    <row r="274" spans="1:1" x14ac:dyDescent="0.4">
      <c r="A274" s="41"/>
    </row>
    <row r="275" spans="1:1" x14ac:dyDescent="0.4">
      <c r="A275" s="41"/>
    </row>
    <row r="276" spans="1:1" x14ac:dyDescent="0.4">
      <c r="A276" s="41"/>
    </row>
    <row r="277" spans="1:1" x14ac:dyDescent="0.4">
      <c r="A277" s="41"/>
    </row>
    <row r="278" spans="1:1" x14ac:dyDescent="0.4">
      <c r="A278" s="41"/>
    </row>
    <row r="279" spans="1:1" x14ac:dyDescent="0.4">
      <c r="A279" s="41"/>
    </row>
    <row r="280" spans="1:1" x14ac:dyDescent="0.4">
      <c r="A280" s="41"/>
    </row>
    <row r="281" spans="1:1" x14ac:dyDescent="0.4">
      <c r="A281" s="41"/>
    </row>
    <row r="282" spans="1:1" x14ac:dyDescent="0.4">
      <c r="A282" s="41"/>
    </row>
    <row r="283" spans="1:1" x14ac:dyDescent="0.4">
      <c r="A283" s="41"/>
    </row>
    <row r="284" spans="1:1" x14ac:dyDescent="0.4">
      <c r="A284" s="41"/>
    </row>
    <row r="285" spans="1:1" x14ac:dyDescent="0.4">
      <c r="A285" s="41"/>
    </row>
    <row r="286" spans="1:1" x14ac:dyDescent="0.4">
      <c r="A286" s="41"/>
    </row>
    <row r="287" spans="1:1" x14ac:dyDescent="0.4">
      <c r="A287" s="41"/>
    </row>
    <row r="288" spans="1:1" x14ac:dyDescent="0.4">
      <c r="A288" s="41"/>
    </row>
    <row r="289" spans="1:1" x14ac:dyDescent="0.4">
      <c r="A289" s="41"/>
    </row>
    <row r="290" spans="1:1" x14ac:dyDescent="0.4">
      <c r="A290" s="41"/>
    </row>
    <row r="291" spans="1:1" x14ac:dyDescent="0.4">
      <c r="A291" s="41"/>
    </row>
    <row r="292" spans="1:1" x14ac:dyDescent="0.4">
      <c r="A292" s="41"/>
    </row>
    <row r="293" spans="1:1" x14ac:dyDescent="0.4">
      <c r="A293" s="41"/>
    </row>
    <row r="294" spans="1:1" x14ac:dyDescent="0.4">
      <c r="A294" s="41"/>
    </row>
    <row r="295" spans="1:1" x14ac:dyDescent="0.4">
      <c r="A295" s="41"/>
    </row>
    <row r="296" spans="1:1" x14ac:dyDescent="0.4">
      <c r="A296" s="41"/>
    </row>
    <row r="297" spans="1:1" x14ac:dyDescent="0.4">
      <c r="A297" s="41"/>
    </row>
    <row r="298" spans="1:1" x14ac:dyDescent="0.4">
      <c r="A298" s="41"/>
    </row>
    <row r="299" spans="1:1" x14ac:dyDescent="0.4">
      <c r="A299" s="41"/>
    </row>
    <row r="300" spans="1:1" x14ac:dyDescent="0.4">
      <c r="A300" s="41"/>
    </row>
    <row r="301" spans="1:1" x14ac:dyDescent="0.4">
      <c r="A301" s="41"/>
    </row>
    <row r="302" spans="1:1" x14ac:dyDescent="0.4">
      <c r="A302" s="41"/>
    </row>
    <row r="303" spans="1:1" x14ac:dyDescent="0.4">
      <c r="A303" s="41"/>
    </row>
    <row r="304" spans="1:1" x14ac:dyDescent="0.4">
      <c r="A304" s="41"/>
    </row>
    <row r="305" spans="1:1" x14ac:dyDescent="0.4">
      <c r="A305" s="41"/>
    </row>
    <row r="306" spans="1:1" x14ac:dyDescent="0.4">
      <c r="A306" s="41"/>
    </row>
    <row r="307" spans="1:1" x14ac:dyDescent="0.4">
      <c r="A307" s="41"/>
    </row>
    <row r="308" spans="1:1" x14ac:dyDescent="0.4">
      <c r="A308" s="41"/>
    </row>
    <row r="309" spans="1:1" x14ac:dyDescent="0.4">
      <c r="A309" s="41"/>
    </row>
    <row r="310" spans="1:1" x14ac:dyDescent="0.4">
      <c r="A310" s="41"/>
    </row>
    <row r="311" spans="1:1" x14ac:dyDescent="0.4">
      <c r="A311" s="41"/>
    </row>
    <row r="312" spans="1:1" x14ac:dyDescent="0.4">
      <c r="A312" s="41"/>
    </row>
    <row r="313" spans="1:1" x14ac:dyDescent="0.4">
      <c r="A313" s="41"/>
    </row>
    <row r="314" spans="1:1" x14ac:dyDescent="0.4">
      <c r="A314" s="41"/>
    </row>
    <row r="315" spans="1:1" x14ac:dyDescent="0.4">
      <c r="A315" s="41"/>
    </row>
    <row r="316" spans="1:1" x14ac:dyDescent="0.4">
      <c r="A316" s="41"/>
    </row>
    <row r="317" spans="1:1" x14ac:dyDescent="0.4">
      <c r="A317" s="41"/>
    </row>
    <row r="318" spans="1:1" x14ac:dyDescent="0.4">
      <c r="A318" s="41"/>
    </row>
    <row r="319" spans="1:1" x14ac:dyDescent="0.4">
      <c r="A319" s="41"/>
    </row>
    <row r="320" spans="1:1" x14ac:dyDescent="0.4">
      <c r="A320" s="41"/>
    </row>
    <row r="321" spans="1:1" x14ac:dyDescent="0.4">
      <c r="A321" s="41"/>
    </row>
    <row r="322" spans="1:1" x14ac:dyDescent="0.4">
      <c r="A322" s="41"/>
    </row>
    <row r="323" spans="1:1" x14ac:dyDescent="0.4">
      <c r="A323" s="41"/>
    </row>
    <row r="324" spans="1:1" x14ac:dyDescent="0.4">
      <c r="A324" s="41"/>
    </row>
    <row r="325" spans="1:1" x14ac:dyDescent="0.4">
      <c r="A325" s="41"/>
    </row>
    <row r="326" spans="1:1" x14ac:dyDescent="0.4">
      <c r="A326" s="41"/>
    </row>
    <row r="327" spans="1:1" x14ac:dyDescent="0.4">
      <c r="A327" s="41"/>
    </row>
    <row r="328" spans="1:1" x14ac:dyDescent="0.4">
      <c r="A328" s="41"/>
    </row>
    <row r="329" spans="1:1" x14ac:dyDescent="0.4">
      <c r="A329" s="41"/>
    </row>
    <row r="330" spans="1:1" x14ac:dyDescent="0.4">
      <c r="A330" s="41"/>
    </row>
    <row r="331" spans="1:1" x14ac:dyDescent="0.4">
      <c r="A331" s="41"/>
    </row>
    <row r="332" spans="1:1" x14ac:dyDescent="0.4">
      <c r="A332" s="41"/>
    </row>
    <row r="333" spans="1:1" x14ac:dyDescent="0.4">
      <c r="A333" s="41"/>
    </row>
    <row r="334" spans="1:1" x14ac:dyDescent="0.4">
      <c r="A334" s="41"/>
    </row>
    <row r="335" spans="1:1" x14ac:dyDescent="0.4">
      <c r="A335" s="41"/>
    </row>
    <row r="336" spans="1:1" x14ac:dyDescent="0.4">
      <c r="A336" s="41"/>
    </row>
    <row r="337" spans="1:1" x14ac:dyDescent="0.4">
      <c r="A337" s="41"/>
    </row>
    <row r="338" spans="1:1" x14ac:dyDescent="0.4">
      <c r="A338" s="41"/>
    </row>
    <row r="339" spans="1:1" x14ac:dyDescent="0.4">
      <c r="A339" s="41"/>
    </row>
    <row r="340" spans="1:1" x14ac:dyDescent="0.4">
      <c r="A340" s="41"/>
    </row>
    <row r="341" spans="1:1" x14ac:dyDescent="0.4">
      <c r="A341" s="41"/>
    </row>
    <row r="342" spans="1:1" x14ac:dyDescent="0.4">
      <c r="A342" s="41"/>
    </row>
    <row r="343" spans="1:1" x14ac:dyDescent="0.4">
      <c r="A343" s="41"/>
    </row>
    <row r="344" spans="1:1" x14ac:dyDescent="0.4">
      <c r="A344" s="41"/>
    </row>
    <row r="345" spans="1:1" x14ac:dyDescent="0.4">
      <c r="A345" s="41"/>
    </row>
    <row r="346" spans="1:1" x14ac:dyDescent="0.4">
      <c r="A346" s="41"/>
    </row>
    <row r="347" spans="1:1" x14ac:dyDescent="0.4">
      <c r="A347" s="41"/>
    </row>
    <row r="348" spans="1:1" x14ac:dyDescent="0.4">
      <c r="A348" s="41"/>
    </row>
    <row r="349" spans="1:1" x14ac:dyDescent="0.4">
      <c r="A349" s="41"/>
    </row>
    <row r="350" spans="1:1" x14ac:dyDescent="0.4">
      <c r="A350" s="41"/>
    </row>
    <row r="351" spans="1:1" x14ac:dyDescent="0.4">
      <c r="A351" s="41"/>
    </row>
    <row r="352" spans="1:1" x14ac:dyDescent="0.4">
      <c r="A352" s="41"/>
    </row>
    <row r="353" spans="1:1" x14ac:dyDescent="0.4">
      <c r="A353" s="41"/>
    </row>
    <row r="354" spans="1:1" x14ac:dyDescent="0.4">
      <c r="A354" s="41"/>
    </row>
    <row r="355" spans="1:1" x14ac:dyDescent="0.4">
      <c r="A355" s="41"/>
    </row>
    <row r="356" spans="1:1" x14ac:dyDescent="0.4">
      <c r="A356" s="41"/>
    </row>
    <row r="357" spans="1:1" x14ac:dyDescent="0.4">
      <c r="A357" s="41"/>
    </row>
    <row r="358" spans="1:1" x14ac:dyDescent="0.4">
      <c r="A358" s="41"/>
    </row>
    <row r="359" spans="1:1" x14ac:dyDescent="0.4">
      <c r="A359" s="41"/>
    </row>
    <row r="360" spans="1:1" x14ac:dyDescent="0.4">
      <c r="A360" s="41"/>
    </row>
    <row r="361" spans="1:1" x14ac:dyDescent="0.4">
      <c r="A361" s="41"/>
    </row>
    <row r="362" spans="1:1" x14ac:dyDescent="0.4">
      <c r="A362" s="41"/>
    </row>
    <row r="363" spans="1:1" x14ac:dyDescent="0.4">
      <c r="A363" s="41"/>
    </row>
    <row r="364" spans="1:1" x14ac:dyDescent="0.4">
      <c r="A364" s="41"/>
    </row>
    <row r="365" spans="1:1" x14ac:dyDescent="0.4">
      <c r="A365" s="41"/>
    </row>
    <row r="366" spans="1:1" x14ac:dyDescent="0.4">
      <c r="A366" s="41"/>
    </row>
    <row r="367" spans="1:1" x14ac:dyDescent="0.4">
      <c r="A367" s="41"/>
    </row>
    <row r="368" spans="1:1" x14ac:dyDescent="0.4">
      <c r="A368" s="41"/>
    </row>
    <row r="369" spans="1:1" x14ac:dyDescent="0.4">
      <c r="A369" s="41"/>
    </row>
    <row r="370" spans="1:1" x14ac:dyDescent="0.4">
      <c r="A370" s="41"/>
    </row>
    <row r="371" spans="1:1" x14ac:dyDescent="0.4">
      <c r="A371" s="41"/>
    </row>
    <row r="372" spans="1:1" x14ac:dyDescent="0.4">
      <c r="A372" s="41"/>
    </row>
    <row r="373" spans="1:1" x14ac:dyDescent="0.4">
      <c r="A373" s="41"/>
    </row>
    <row r="374" spans="1:1" x14ac:dyDescent="0.4">
      <c r="A374" s="41"/>
    </row>
    <row r="375" spans="1:1" x14ac:dyDescent="0.4">
      <c r="A375" s="41"/>
    </row>
    <row r="376" spans="1:1" x14ac:dyDescent="0.4">
      <c r="A376" s="41"/>
    </row>
    <row r="377" spans="1:1" x14ac:dyDescent="0.4">
      <c r="A377" s="41"/>
    </row>
    <row r="378" spans="1:1" x14ac:dyDescent="0.4">
      <c r="A378" s="41"/>
    </row>
    <row r="379" spans="1:1" x14ac:dyDescent="0.4">
      <c r="A379" s="41"/>
    </row>
    <row r="380" spans="1:1" x14ac:dyDescent="0.4">
      <c r="A380" s="41"/>
    </row>
    <row r="381" spans="1:1" x14ac:dyDescent="0.4">
      <c r="A381" s="41"/>
    </row>
    <row r="382" spans="1:1" x14ac:dyDescent="0.4">
      <c r="A382" s="41"/>
    </row>
    <row r="383" spans="1:1" x14ac:dyDescent="0.4">
      <c r="A383" s="41"/>
    </row>
    <row r="384" spans="1:1" x14ac:dyDescent="0.4">
      <c r="A384" s="41"/>
    </row>
    <row r="385" spans="1:1" x14ac:dyDescent="0.4">
      <c r="A385" s="41"/>
    </row>
    <row r="386" spans="1:1" x14ac:dyDescent="0.4">
      <c r="A386" s="41"/>
    </row>
    <row r="387" spans="1:1" x14ac:dyDescent="0.4">
      <c r="A387" s="41"/>
    </row>
    <row r="388" spans="1:1" x14ac:dyDescent="0.4">
      <c r="A388" s="41"/>
    </row>
    <row r="389" spans="1:1" x14ac:dyDescent="0.4">
      <c r="A389" s="41"/>
    </row>
    <row r="390" spans="1:1" x14ac:dyDescent="0.4">
      <c r="A390" s="41"/>
    </row>
    <row r="391" spans="1:1" x14ac:dyDescent="0.4">
      <c r="A391" s="41"/>
    </row>
    <row r="392" spans="1:1" x14ac:dyDescent="0.4">
      <c r="A392" s="41"/>
    </row>
    <row r="393" spans="1:1" x14ac:dyDescent="0.4">
      <c r="A393" s="41"/>
    </row>
    <row r="394" spans="1:1" x14ac:dyDescent="0.4">
      <c r="A394" s="41"/>
    </row>
    <row r="395" spans="1:1" x14ac:dyDescent="0.4">
      <c r="A395" s="41"/>
    </row>
    <row r="396" spans="1:1" x14ac:dyDescent="0.4">
      <c r="A396" s="41"/>
    </row>
    <row r="397" spans="1:1" x14ac:dyDescent="0.4">
      <c r="A397" s="41"/>
    </row>
    <row r="398" spans="1:1" x14ac:dyDescent="0.4">
      <c r="A398" s="41"/>
    </row>
    <row r="399" spans="1:1" x14ac:dyDescent="0.4">
      <c r="A399" s="41"/>
    </row>
    <row r="400" spans="1:1" x14ac:dyDescent="0.4">
      <c r="A400" s="41"/>
    </row>
    <row r="401" spans="1:1" x14ac:dyDescent="0.4">
      <c r="A401" s="41"/>
    </row>
    <row r="402" spans="1:1" x14ac:dyDescent="0.4">
      <c r="A402" s="41"/>
    </row>
    <row r="403" spans="1:1" x14ac:dyDescent="0.4">
      <c r="A403" s="41"/>
    </row>
    <row r="404" spans="1:1" x14ac:dyDescent="0.4">
      <c r="A404" s="41"/>
    </row>
    <row r="405" spans="1:1" x14ac:dyDescent="0.4">
      <c r="A405" s="41"/>
    </row>
    <row r="406" spans="1:1" x14ac:dyDescent="0.4">
      <c r="A406" s="41"/>
    </row>
    <row r="407" spans="1:1" x14ac:dyDescent="0.4">
      <c r="A407" s="41"/>
    </row>
    <row r="408" spans="1:1" x14ac:dyDescent="0.4">
      <c r="A408" s="41"/>
    </row>
    <row r="409" spans="1:1" x14ac:dyDescent="0.4">
      <c r="A409" s="41"/>
    </row>
    <row r="410" spans="1:1" x14ac:dyDescent="0.4">
      <c r="A410" s="41"/>
    </row>
    <row r="411" spans="1:1" x14ac:dyDescent="0.4">
      <c r="A411" s="41"/>
    </row>
    <row r="412" spans="1:1" x14ac:dyDescent="0.4">
      <c r="A412" s="41"/>
    </row>
    <row r="413" spans="1:1" x14ac:dyDescent="0.4">
      <c r="A413" s="41"/>
    </row>
    <row r="414" spans="1:1" x14ac:dyDescent="0.4">
      <c r="A414" s="41"/>
    </row>
    <row r="415" spans="1:1" x14ac:dyDescent="0.4">
      <c r="A415" s="41"/>
    </row>
    <row r="416" spans="1:1" x14ac:dyDescent="0.4">
      <c r="A416" s="41"/>
    </row>
    <row r="417" spans="1:1" x14ac:dyDescent="0.4">
      <c r="A417" s="41"/>
    </row>
    <row r="418" spans="1:1" x14ac:dyDescent="0.4">
      <c r="A418" s="41"/>
    </row>
    <row r="419" spans="1:1" x14ac:dyDescent="0.4">
      <c r="A419" s="41"/>
    </row>
    <row r="420" spans="1:1" x14ac:dyDescent="0.4">
      <c r="A420" s="41"/>
    </row>
    <row r="421" spans="1:1" x14ac:dyDescent="0.4">
      <c r="A421" s="41"/>
    </row>
    <row r="422" spans="1:1" x14ac:dyDescent="0.4">
      <c r="A422" s="41"/>
    </row>
    <row r="423" spans="1:1" x14ac:dyDescent="0.4">
      <c r="A423" s="41"/>
    </row>
    <row r="424" spans="1:1" x14ac:dyDescent="0.4">
      <c r="A424" s="41"/>
    </row>
    <row r="425" spans="1:1" x14ac:dyDescent="0.4">
      <c r="A425" s="41"/>
    </row>
    <row r="426" spans="1:1" x14ac:dyDescent="0.4">
      <c r="A426" s="41"/>
    </row>
    <row r="427" spans="1:1" x14ac:dyDescent="0.4">
      <c r="A427" s="41"/>
    </row>
    <row r="428" spans="1:1" x14ac:dyDescent="0.4">
      <c r="A428" s="41"/>
    </row>
    <row r="429" spans="1:1" x14ac:dyDescent="0.4">
      <c r="A429" s="41"/>
    </row>
    <row r="430" spans="1:1" x14ac:dyDescent="0.4">
      <c r="A430" s="41"/>
    </row>
    <row r="431" spans="1:1" x14ac:dyDescent="0.4">
      <c r="A431" s="41"/>
    </row>
    <row r="432" spans="1:1" x14ac:dyDescent="0.4">
      <c r="A432" s="41"/>
    </row>
    <row r="433" spans="1:1" x14ac:dyDescent="0.4">
      <c r="A433" s="41"/>
    </row>
    <row r="434" spans="1:1" x14ac:dyDescent="0.4">
      <c r="A434" s="41"/>
    </row>
    <row r="435" spans="1:1" x14ac:dyDescent="0.4">
      <c r="A435" s="41"/>
    </row>
    <row r="436" spans="1:1" x14ac:dyDescent="0.4">
      <c r="A436" s="41"/>
    </row>
    <row r="437" spans="1:1" x14ac:dyDescent="0.4">
      <c r="A437" s="41"/>
    </row>
    <row r="438" spans="1:1" x14ac:dyDescent="0.4">
      <c r="A438" s="41"/>
    </row>
    <row r="439" spans="1:1" x14ac:dyDescent="0.4">
      <c r="A439" s="41"/>
    </row>
    <row r="440" spans="1:1" x14ac:dyDescent="0.4">
      <c r="A440" s="41"/>
    </row>
    <row r="441" spans="1:1" x14ac:dyDescent="0.4">
      <c r="A441" s="41"/>
    </row>
    <row r="442" spans="1:1" x14ac:dyDescent="0.4">
      <c r="A442" s="41"/>
    </row>
    <row r="443" spans="1:1" x14ac:dyDescent="0.4">
      <c r="A443" s="41"/>
    </row>
    <row r="444" spans="1:1" x14ac:dyDescent="0.4">
      <c r="A444" s="41"/>
    </row>
    <row r="445" spans="1:1" x14ac:dyDescent="0.4">
      <c r="A445" s="41"/>
    </row>
    <row r="446" spans="1:1" x14ac:dyDescent="0.4">
      <c r="A446" s="41"/>
    </row>
    <row r="447" spans="1:1" x14ac:dyDescent="0.4">
      <c r="A447" s="41"/>
    </row>
    <row r="448" spans="1:1" x14ac:dyDescent="0.4">
      <c r="A448" s="41"/>
    </row>
    <row r="449" spans="1:1" x14ac:dyDescent="0.4">
      <c r="A449" s="41"/>
    </row>
    <row r="450" spans="1:1" x14ac:dyDescent="0.4">
      <c r="A450" s="41"/>
    </row>
    <row r="451" spans="1:1" x14ac:dyDescent="0.4">
      <c r="A451" s="41"/>
    </row>
    <row r="452" spans="1:1" x14ac:dyDescent="0.4">
      <c r="A452" s="41"/>
    </row>
    <row r="453" spans="1:1" x14ac:dyDescent="0.4">
      <c r="A453" s="41"/>
    </row>
    <row r="454" spans="1:1" x14ac:dyDescent="0.4">
      <c r="A454" s="41"/>
    </row>
    <row r="455" spans="1:1" x14ac:dyDescent="0.4">
      <c r="A455" s="41"/>
    </row>
    <row r="456" spans="1:1" x14ac:dyDescent="0.4">
      <c r="A456" s="41"/>
    </row>
    <row r="457" spans="1:1" x14ac:dyDescent="0.4">
      <c r="A457" s="41"/>
    </row>
    <row r="458" spans="1:1" x14ac:dyDescent="0.4">
      <c r="A458" s="41"/>
    </row>
    <row r="459" spans="1:1" x14ac:dyDescent="0.4">
      <c r="A459" s="41"/>
    </row>
    <row r="460" spans="1:1" x14ac:dyDescent="0.4">
      <c r="A460" s="41"/>
    </row>
    <row r="461" spans="1:1" x14ac:dyDescent="0.4">
      <c r="A461" s="41"/>
    </row>
    <row r="462" spans="1:1" x14ac:dyDescent="0.4">
      <c r="A462" s="41"/>
    </row>
    <row r="463" spans="1:1" x14ac:dyDescent="0.4">
      <c r="A463" s="41"/>
    </row>
    <row r="464" spans="1:1" x14ac:dyDescent="0.4">
      <c r="A464" s="41"/>
    </row>
    <row r="465" spans="1:1" x14ac:dyDescent="0.4">
      <c r="A465" s="41"/>
    </row>
    <row r="466" spans="1:1" x14ac:dyDescent="0.4">
      <c r="A466" s="41"/>
    </row>
    <row r="467" spans="1:1" x14ac:dyDescent="0.4">
      <c r="A467" s="41"/>
    </row>
    <row r="468" spans="1:1" x14ac:dyDescent="0.4">
      <c r="A468" s="41"/>
    </row>
    <row r="469" spans="1:1" x14ac:dyDescent="0.4">
      <c r="A469" s="41"/>
    </row>
    <row r="470" spans="1:1" x14ac:dyDescent="0.4">
      <c r="A470" s="41"/>
    </row>
    <row r="471" spans="1:1" x14ac:dyDescent="0.4">
      <c r="A471" s="41"/>
    </row>
    <row r="472" spans="1:1" x14ac:dyDescent="0.4">
      <c r="A472" s="41"/>
    </row>
    <row r="473" spans="1:1" x14ac:dyDescent="0.4">
      <c r="A473" s="41"/>
    </row>
    <row r="474" spans="1:1" x14ac:dyDescent="0.4">
      <c r="A474" s="41"/>
    </row>
    <row r="475" spans="1:1" x14ac:dyDescent="0.4">
      <c r="A475" s="41"/>
    </row>
    <row r="476" spans="1:1" x14ac:dyDescent="0.4">
      <c r="A476" s="41"/>
    </row>
    <row r="477" spans="1:1" x14ac:dyDescent="0.4">
      <c r="A477" s="41"/>
    </row>
    <row r="478" spans="1:1" x14ac:dyDescent="0.4">
      <c r="A478" s="41"/>
    </row>
    <row r="479" spans="1:1" x14ac:dyDescent="0.4">
      <c r="A479" s="41"/>
    </row>
    <row r="480" spans="1:1" x14ac:dyDescent="0.4">
      <c r="A480" s="41"/>
    </row>
    <row r="481" spans="1:1" x14ac:dyDescent="0.4">
      <c r="A481" s="41"/>
    </row>
    <row r="482" spans="1:1" x14ac:dyDescent="0.4">
      <c r="A482" s="41"/>
    </row>
    <row r="483" spans="1:1" x14ac:dyDescent="0.4">
      <c r="A483" s="41"/>
    </row>
    <row r="484" spans="1:1" x14ac:dyDescent="0.4">
      <c r="A484" s="41"/>
    </row>
    <row r="485" spans="1:1" x14ac:dyDescent="0.4">
      <c r="A485" s="41"/>
    </row>
    <row r="486" spans="1:1" x14ac:dyDescent="0.4">
      <c r="A486" s="41"/>
    </row>
    <row r="487" spans="1:1" x14ac:dyDescent="0.4">
      <c r="A487" s="41"/>
    </row>
    <row r="488" spans="1:1" x14ac:dyDescent="0.4">
      <c r="A488" s="41"/>
    </row>
    <row r="489" spans="1:1" x14ac:dyDescent="0.4">
      <c r="A489" s="41"/>
    </row>
    <row r="490" spans="1:1" x14ac:dyDescent="0.4">
      <c r="A490" s="41"/>
    </row>
    <row r="491" spans="1:1" x14ac:dyDescent="0.4">
      <c r="A491" s="41"/>
    </row>
    <row r="492" spans="1:1" x14ac:dyDescent="0.4">
      <c r="A492" s="41"/>
    </row>
    <row r="493" spans="1:1" x14ac:dyDescent="0.4">
      <c r="A493" s="41"/>
    </row>
    <row r="494" spans="1:1" x14ac:dyDescent="0.4">
      <c r="A494" s="41"/>
    </row>
    <row r="495" spans="1:1" x14ac:dyDescent="0.4">
      <c r="A495" s="41"/>
    </row>
    <row r="496" spans="1:1" x14ac:dyDescent="0.4">
      <c r="A496" s="41"/>
    </row>
    <row r="497" spans="1:1" x14ac:dyDescent="0.4">
      <c r="A497" s="41"/>
    </row>
    <row r="498" spans="1:1" x14ac:dyDescent="0.4">
      <c r="A498" s="41"/>
    </row>
    <row r="499" spans="1:1" x14ac:dyDescent="0.4">
      <c r="A499" s="41"/>
    </row>
    <row r="500" spans="1:1" x14ac:dyDescent="0.4">
      <c r="A500" s="41"/>
    </row>
    <row r="501" spans="1:1" x14ac:dyDescent="0.4">
      <c r="A501" s="41"/>
    </row>
    <row r="502" spans="1:1" x14ac:dyDescent="0.4">
      <c r="A502" s="41"/>
    </row>
    <row r="503" spans="1:1" x14ac:dyDescent="0.4">
      <c r="A503" s="41"/>
    </row>
    <row r="504" spans="1:1" x14ac:dyDescent="0.4">
      <c r="A504" s="41"/>
    </row>
    <row r="505" spans="1:1" x14ac:dyDescent="0.4">
      <c r="A505" s="41"/>
    </row>
    <row r="506" spans="1:1" x14ac:dyDescent="0.4">
      <c r="A506" s="41"/>
    </row>
    <row r="507" spans="1:1" x14ac:dyDescent="0.4">
      <c r="A507" s="41"/>
    </row>
    <row r="508" spans="1:1" x14ac:dyDescent="0.4">
      <c r="A508" s="41"/>
    </row>
    <row r="509" spans="1:1" x14ac:dyDescent="0.4">
      <c r="A509" s="41"/>
    </row>
    <row r="510" spans="1:1" x14ac:dyDescent="0.4">
      <c r="A510" s="41"/>
    </row>
    <row r="511" spans="1:1" x14ac:dyDescent="0.4">
      <c r="A511" s="41"/>
    </row>
    <row r="512" spans="1:1" x14ac:dyDescent="0.4">
      <c r="A512" s="41"/>
    </row>
    <row r="513" spans="1:1" x14ac:dyDescent="0.4">
      <c r="A513" s="41"/>
    </row>
    <row r="514" spans="1:1" x14ac:dyDescent="0.4">
      <c r="A514" s="41"/>
    </row>
    <row r="515" spans="1:1" x14ac:dyDescent="0.4">
      <c r="A515" s="41"/>
    </row>
    <row r="516" spans="1:1" x14ac:dyDescent="0.4">
      <c r="A516" s="41"/>
    </row>
    <row r="517" spans="1:1" x14ac:dyDescent="0.4">
      <c r="A517" s="41"/>
    </row>
    <row r="518" spans="1:1" x14ac:dyDescent="0.4">
      <c r="A518" s="41"/>
    </row>
    <row r="519" spans="1:1" x14ac:dyDescent="0.4">
      <c r="A519" s="41"/>
    </row>
    <row r="520" spans="1:1" x14ac:dyDescent="0.4">
      <c r="A520" s="41"/>
    </row>
    <row r="521" spans="1:1" x14ac:dyDescent="0.4">
      <c r="A521" s="41"/>
    </row>
    <row r="522" spans="1:1" x14ac:dyDescent="0.4">
      <c r="A522" s="41"/>
    </row>
    <row r="523" spans="1:1" x14ac:dyDescent="0.4">
      <c r="A523" s="41"/>
    </row>
    <row r="524" spans="1:1" x14ac:dyDescent="0.4">
      <c r="A524" s="41"/>
    </row>
    <row r="525" spans="1:1" x14ac:dyDescent="0.4">
      <c r="A525" s="41"/>
    </row>
    <row r="526" spans="1:1" x14ac:dyDescent="0.4">
      <c r="A526" s="41"/>
    </row>
    <row r="527" spans="1:1" x14ac:dyDescent="0.4">
      <c r="A527" s="41"/>
    </row>
    <row r="528" spans="1:1" x14ac:dyDescent="0.4">
      <c r="A528" s="41"/>
    </row>
    <row r="529" spans="1:1" x14ac:dyDescent="0.4">
      <c r="A529" s="41"/>
    </row>
    <row r="530" spans="1:1" x14ac:dyDescent="0.4">
      <c r="A530" s="41"/>
    </row>
    <row r="531" spans="1:1" x14ac:dyDescent="0.4">
      <c r="A531" s="41"/>
    </row>
    <row r="532" spans="1:1" x14ac:dyDescent="0.4">
      <c r="A532" s="41"/>
    </row>
    <row r="533" spans="1:1" x14ac:dyDescent="0.4">
      <c r="A533" s="41"/>
    </row>
    <row r="534" spans="1:1" x14ac:dyDescent="0.4">
      <c r="A534" s="41"/>
    </row>
    <row r="535" spans="1:1" x14ac:dyDescent="0.4">
      <c r="A535" s="41"/>
    </row>
    <row r="536" spans="1:1" x14ac:dyDescent="0.4">
      <c r="A536" s="41"/>
    </row>
    <row r="537" spans="1:1" x14ac:dyDescent="0.4">
      <c r="A537" s="41"/>
    </row>
    <row r="538" spans="1:1" x14ac:dyDescent="0.4">
      <c r="A538" s="41"/>
    </row>
    <row r="539" spans="1:1" x14ac:dyDescent="0.4">
      <c r="A539" s="41"/>
    </row>
    <row r="540" spans="1:1" x14ac:dyDescent="0.4">
      <c r="A540" s="41"/>
    </row>
    <row r="541" spans="1:1" x14ac:dyDescent="0.4">
      <c r="A541" s="41"/>
    </row>
    <row r="542" spans="1:1" x14ac:dyDescent="0.4">
      <c r="A542" s="41"/>
    </row>
    <row r="543" spans="1:1" x14ac:dyDescent="0.4">
      <c r="A543" s="41"/>
    </row>
    <row r="544" spans="1:1" x14ac:dyDescent="0.4">
      <c r="A544" s="41"/>
    </row>
    <row r="545" spans="1:1" x14ac:dyDescent="0.4">
      <c r="A545" s="41"/>
    </row>
    <row r="546" spans="1:1" x14ac:dyDescent="0.4">
      <c r="A546" s="41"/>
    </row>
    <row r="547" spans="1:1" x14ac:dyDescent="0.4">
      <c r="A547" s="41"/>
    </row>
    <row r="548" spans="1:1" x14ac:dyDescent="0.4">
      <c r="A548" s="41"/>
    </row>
    <row r="549" spans="1:1" x14ac:dyDescent="0.4">
      <c r="A549" s="41"/>
    </row>
    <row r="550" spans="1:1" x14ac:dyDescent="0.4">
      <c r="A550" s="41"/>
    </row>
    <row r="551" spans="1:1" x14ac:dyDescent="0.4">
      <c r="A551" s="41"/>
    </row>
    <row r="552" spans="1:1" x14ac:dyDescent="0.4">
      <c r="A552" s="41"/>
    </row>
    <row r="553" spans="1:1" x14ac:dyDescent="0.4">
      <c r="A553" s="41"/>
    </row>
    <row r="554" spans="1:1" x14ac:dyDescent="0.4">
      <c r="A554" s="41"/>
    </row>
    <row r="555" spans="1:1" x14ac:dyDescent="0.4">
      <c r="A555" s="41"/>
    </row>
    <row r="556" spans="1:1" x14ac:dyDescent="0.4">
      <c r="A556" s="41"/>
    </row>
    <row r="557" spans="1:1" x14ac:dyDescent="0.4">
      <c r="A557" s="41"/>
    </row>
    <row r="558" spans="1:1" x14ac:dyDescent="0.4">
      <c r="A558" s="41"/>
    </row>
    <row r="559" spans="1:1" x14ac:dyDescent="0.4">
      <c r="A559" s="41"/>
    </row>
    <row r="560" spans="1:1" x14ac:dyDescent="0.4">
      <c r="A560" s="41"/>
    </row>
    <row r="561" spans="1:1" x14ac:dyDescent="0.4">
      <c r="A561" s="41"/>
    </row>
    <row r="562" spans="1:1" x14ac:dyDescent="0.4">
      <c r="A562" s="41"/>
    </row>
    <row r="563" spans="1:1" x14ac:dyDescent="0.4">
      <c r="A563" s="41"/>
    </row>
    <row r="564" spans="1:1" x14ac:dyDescent="0.4">
      <c r="A564" s="41"/>
    </row>
    <row r="565" spans="1:1" x14ac:dyDescent="0.4">
      <c r="A565" s="41"/>
    </row>
    <row r="566" spans="1:1" x14ac:dyDescent="0.4">
      <c r="A566" s="41"/>
    </row>
    <row r="567" spans="1:1" x14ac:dyDescent="0.4">
      <c r="A567" s="41"/>
    </row>
    <row r="568" spans="1:1" x14ac:dyDescent="0.4">
      <c r="A568" s="41"/>
    </row>
    <row r="569" spans="1:1" x14ac:dyDescent="0.4">
      <c r="A569" s="41"/>
    </row>
    <row r="570" spans="1:1" x14ac:dyDescent="0.4">
      <c r="A570" s="41"/>
    </row>
    <row r="571" spans="1:1" x14ac:dyDescent="0.4">
      <c r="A571" s="41"/>
    </row>
    <row r="572" spans="1:1" x14ac:dyDescent="0.4">
      <c r="A572" s="41"/>
    </row>
    <row r="573" spans="1:1" x14ac:dyDescent="0.4">
      <c r="A573" s="41"/>
    </row>
    <row r="574" spans="1:1" x14ac:dyDescent="0.4">
      <c r="A574" s="41"/>
    </row>
    <row r="575" spans="1:1" x14ac:dyDescent="0.4">
      <c r="A575" s="41"/>
    </row>
    <row r="576" spans="1:1" x14ac:dyDescent="0.4">
      <c r="A576" s="41"/>
    </row>
    <row r="577" spans="1:1" x14ac:dyDescent="0.4">
      <c r="A577" s="41"/>
    </row>
    <row r="578" spans="1:1" x14ac:dyDescent="0.4">
      <c r="A578" s="41"/>
    </row>
    <row r="579" spans="1:1" x14ac:dyDescent="0.4">
      <c r="A579" s="41"/>
    </row>
    <row r="580" spans="1:1" x14ac:dyDescent="0.4">
      <c r="A580" s="41"/>
    </row>
    <row r="581" spans="1:1" x14ac:dyDescent="0.4">
      <c r="A581" s="41"/>
    </row>
    <row r="582" spans="1:1" x14ac:dyDescent="0.4">
      <c r="A582" s="41"/>
    </row>
    <row r="583" spans="1:1" x14ac:dyDescent="0.4">
      <c r="A583" s="41"/>
    </row>
    <row r="584" spans="1:1" x14ac:dyDescent="0.4">
      <c r="A584" s="41"/>
    </row>
    <row r="585" spans="1:1" x14ac:dyDescent="0.4">
      <c r="A585" s="41"/>
    </row>
    <row r="586" spans="1:1" x14ac:dyDescent="0.4">
      <c r="A586" s="41"/>
    </row>
    <row r="587" spans="1:1" x14ac:dyDescent="0.4">
      <c r="A587" s="41"/>
    </row>
    <row r="588" spans="1:1" x14ac:dyDescent="0.4">
      <c r="A588" s="41"/>
    </row>
    <row r="589" spans="1:1" x14ac:dyDescent="0.4">
      <c r="A589" s="41"/>
    </row>
    <row r="590" spans="1:1" x14ac:dyDescent="0.4">
      <c r="A590" s="41"/>
    </row>
    <row r="591" spans="1:1" x14ac:dyDescent="0.4">
      <c r="A591" s="41"/>
    </row>
    <row r="592" spans="1:1" x14ac:dyDescent="0.4">
      <c r="A592" s="41"/>
    </row>
    <row r="593" spans="1:1" x14ac:dyDescent="0.4">
      <c r="A593" s="41"/>
    </row>
    <row r="594" spans="1:1" x14ac:dyDescent="0.4">
      <c r="A594" s="41"/>
    </row>
    <row r="595" spans="1:1" x14ac:dyDescent="0.4">
      <c r="A595" s="41"/>
    </row>
    <row r="596" spans="1:1" x14ac:dyDescent="0.4">
      <c r="A596" s="41"/>
    </row>
    <row r="597" spans="1:1" x14ac:dyDescent="0.4">
      <c r="A597" s="41"/>
    </row>
    <row r="598" spans="1:1" x14ac:dyDescent="0.4">
      <c r="A598" s="41"/>
    </row>
    <row r="599" spans="1:1" x14ac:dyDescent="0.4">
      <c r="A599" s="41"/>
    </row>
    <row r="600" spans="1:1" x14ac:dyDescent="0.4">
      <c r="A600" s="41"/>
    </row>
    <row r="601" spans="1:1" x14ac:dyDescent="0.4">
      <c r="A601" s="41"/>
    </row>
    <row r="602" spans="1:1" x14ac:dyDescent="0.4">
      <c r="A602" s="41"/>
    </row>
    <row r="603" spans="1:1" x14ac:dyDescent="0.4">
      <c r="A603" s="41"/>
    </row>
    <row r="604" spans="1:1" x14ac:dyDescent="0.4">
      <c r="A604" s="41"/>
    </row>
    <row r="605" spans="1:1" x14ac:dyDescent="0.4">
      <c r="A605" s="41"/>
    </row>
    <row r="606" spans="1:1" x14ac:dyDescent="0.4">
      <c r="A606" s="41"/>
    </row>
    <row r="607" spans="1:1" x14ac:dyDescent="0.4">
      <c r="A607" s="41"/>
    </row>
    <row r="608" spans="1:1" x14ac:dyDescent="0.4">
      <c r="A608" s="41"/>
    </row>
    <row r="609" spans="1:1" x14ac:dyDescent="0.4">
      <c r="A609" s="41"/>
    </row>
    <row r="610" spans="1:1" x14ac:dyDescent="0.4">
      <c r="A610" s="41"/>
    </row>
    <row r="611" spans="1:1" x14ac:dyDescent="0.4">
      <c r="A611" s="41"/>
    </row>
    <row r="612" spans="1:1" x14ac:dyDescent="0.4">
      <c r="A612" s="41"/>
    </row>
    <row r="613" spans="1:1" x14ac:dyDescent="0.4">
      <c r="A613" s="41"/>
    </row>
    <row r="614" spans="1:1" x14ac:dyDescent="0.4">
      <c r="A614" s="41"/>
    </row>
    <row r="615" spans="1:1" x14ac:dyDescent="0.4">
      <c r="A615" s="41"/>
    </row>
    <row r="616" spans="1:1" x14ac:dyDescent="0.4">
      <c r="A616" s="41"/>
    </row>
    <row r="617" spans="1:1" x14ac:dyDescent="0.4">
      <c r="A617" s="41"/>
    </row>
    <row r="618" spans="1:1" x14ac:dyDescent="0.4">
      <c r="A618" s="41"/>
    </row>
    <row r="619" spans="1:1" x14ac:dyDescent="0.4">
      <c r="A619" s="41"/>
    </row>
    <row r="620" spans="1:1" x14ac:dyDescent="0.4">
      <c r="A620" s="41"/>
    </row>
    <row r="621" spans="1:1" x14ac:dyDescent="0.4">
      <c r="A621" s="41"/>
    </row>
    <row r="622" spans="1:1" x14ac:dyDescent="0.4">
      <c r="A622" s="41"/>
    </row>
    <row r="623" spans="1:1" x14ac:dyDescent="0.4">
      <c r="A623" s="41"/>
    </row>
    <row r="624" spans="1:1" x14ac:dyDescent="0.4">
      <c r="A624" s="41"/>
    </row>
    <row r="625" spans="1:1" x14ac:dyDescent="0.4">
      <c r="A625" s="41"/>
    </row>
    <row r="626" spans="1:1" x14ac:dyDescent="0.4">
      <c r="A626" s="41"/>
    </row>
    <row r="627" spans="1:1" x14ac:dyDescent="0.4">
      <c r="A627" s="41"/>
    </row>
    <row r="628" spans="1:1" x14ac:dyDescent="0.4">
      <c r="A628" s="41"/>
    </row>
    <row r="629" spans="1:1" x14ac:dyDescent="0.4">
      <c r="A629" s="41"/>
    </row>
    <row r="630" spans="1:1" x14ac:dyDescent="0.4">
      <c r="A630" s="41"/>
    </row>
    <row r="631" spans="1:1" x14ac:dyDescent="0.4">
      <c r="A631" s="41"/>
    </row>
    <row r="632" spans="1:1" x14ac:dyDescent="0.4">
      <c r="A632" s="41"/>
    </row>
    <row r="633" spans="1:1" x14ac:dyDescent="0.4">
      <c r="A633" s="4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ForMarlene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Hahn</dc:creator>
  <cp:lastModifiedBy>Rebekah Mohn</cp:lastModifiedBy>
  <dcterms:created xsi:type="dcterms:W3CDTF">2026-04-14T21:29:19Z</dcterms:created>
  <dcterms:modified xsi:type="dcterms:W3CDTF">2026-05-01T21:35:38Z</dcterms:modified>
</cp:coreProperties>
</file>